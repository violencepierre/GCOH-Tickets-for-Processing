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7AF49B9-309D-447A-A8D3-AD9AEB861C90}" xr6:coauthVersionLast="47" xr6:coauthVersionMax="47" xr10:uidLastSave="{00000000-0000-0000-0000-000000000000}"/>
  <bookViews>
    <workbookView xWindow="19785" yWindow="4155" windowWidth="10620" windowHeight="15585" activeTab="6" xr2:uid="{9EF57C3D-F6AB-450C-9EC3-AF89A75F272D}"/>
  </bookViews>
  <sheets>
    <sheet name="KPI" sheetId="5" r:id="rId1"/>
    <sheet name="Sheet5" sheetId="32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9" sheetId="36" r:id="rId8"/>
    <sheet name="Sheet8" sheetId="35" r:id="rId9"/>
    <sheet name="Sheet6" sheetId="33" r:id="rId10"/>
    <sheet name="Sheet4" sheetId="31" r:id="rId11"/>
    <sheet name="Sheet3" sheetId="30" r:id="rId12"/>
    <sheet name="Sheet2" sheetId="29" r:id="rId13"/>
    <sheet name="Sheet1" sheetId="28" r:id="rId14"/>
    <sheet name="For Commentary" sheetId="20" r:id="rId15"/>
    <sheet name="Authors" sheetId="18" r:id="rId16"/>
    <sheet name="STAT" sheetId="10" r:id="rId17"/>
    <sheet name="Sector" sheetId="3" r:id="rId18"/>
    <sheet name="YelTable" sheetId="24" r:id="rId19"/>
  </sheets>
  <definedNames>
    <definedName name="_xlnm._FilterDatabase" localSheetId="4" hidden="1">OK!$A$67:$C$67</definedName>
    <definedName name="_xlnm._FilterDatabase" localSheetId="3" hidden="1">Report!$A$2:$F$1353</definedName>
    <definedName name="_xlnm._FilterDatabase" localSheetId="11" hidden="1">Sheet3!$A$1:$C$87</definedName>
    <definedName name="ExternalData_1" localSheetId="18" hidden="1">YelTable!$A$1:$E$5</definedName>
    <definedName name="ID" localSheetId="15" hidden="1">"f29e49f0-c842-4a01-8df8-c72694a7b15c"</definedName>
    <definedName name="ID" localSheetId="5" hidden="1">"3fb6490e-8bae-4ce5-b09c-5121e79bff69"</definedName>
    <definedName name="ID" localSheetId="14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7" hidden="1">"fa560984-7bbe-4a11-88aa-39d6eb27c9e2"</definedName>
    <definedName name="ID" localSheetId="16" hidden="1">"e95ef0c9-3382-426f-86db-9e8ceaf6f6b4"</definedName>
    <definedName name="ID" localSheetId="18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414" i="1" l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J5413" i="1"/>
  <c r="K5413" i="1"/>
  <c r="Q5413" i="1"/>
  <c r="P5413" i="1" s="1"/>
  <c r="B5412" i="1"/>
  <c r="H5412" i="1"/>
  <c r="J5412" i="1"/>
  <c r="K5412" i="1"/>
  <c r="Q5412" i="1"/>
  <c r="P5412" i="1" s="1"/>
  <c r="F5411" i="1"/>
  <c r="J5411" i="1" s="1"/>
  <c r="F5410" i="1"/>
  <c r="F5409" i="1"/>
  <c r="F5408" i="1"/>
  <c r="F5407" i="1"/>
  <c r="J5407" i="1" s="1"/>
  <c r="F5406" i="1"/>
  <c r="J5406" i="1" s="1"/>
  <c r="F5405" i="1"/>
  <c r="J5405" i="1" s="1"/>
  <c r="F5404" i="1"/>
  <c r="J5404" i="1" s="1"/>
  <c r="F5403" i="1"/>
  <c r="J5403" i="1" s="1"/>
  <c r="F5402" i="1"/>
  <c r="J5402" i="1" s="1"/>
  <c r="F5401" i="1"/>
  <c r="F5400" i="1"/>
  <c r="F5399" i="1"/>
  <c r="F5398" i="1"/>
  <c r="F5397" i="1"/>
  <c r="J5397" i="1" s="1"/>
  <c r="F5396" i="1"/>
  <c r="J5396" i="1" s="1"/>
  <c r="F5395" i="1"/>
  <c r="F5394" i="1"/>
  <c r="F5393" i="1"/>
  <c r="F5392" i="1"/>
  <c r="F5391" i="1"/>
  <c r="F5390" i="1"/>
  <c r="J5390" i="1" s="1"/>
  <c r="F5389" i="1"/>
  <c r="J5389" i="1" s="1"/>
  <c r="F5388" i="1"/>
  <c r="J5388" i="1" s="1"/>
  <c r="F5387" i="1"/>
  <c r="J5387" i="1" s="1"/>
  <c r="F5386" i="1"/>
  <c r="J5386" i="1" s="1"/>
  <c r="F5385" i="1"/>
  <c r="F5384" i="1"/>
  <c r="F5383" i="1"/>
  <c r="F5382" i="1"/>
  <c r="J5382" i="1" s="1"/>
  <c r="F5381" i="1"/>
  <c r="J5381" i="1" s="1"/>
  <c r="F5380" i="1"/>
  <c r="J5380" i="1" s="1"/>
  <c r="F5379" i="1"/>
  <c r="F5378" i="1"/>
  <c r="F5377" i="1"/>
  <c r="F5376" i="1"/>
  <c r="F5375" i="1"/>
  <c r="J5375" i="1" s="1"/>
  <c r="F5374" i="1"/>
  <c r="J5374" i="1" s="1"/>
  <c r="F5373" i="1"/>
  <c r="J5373" i="1" s="1"/>
  <c r="F5372" i="1"/>
  <c r="J5372" i="1" s="1"/>
  <c r="F5371" i="1"/>
  <c r="J5371" i="1" s="1"/>
  <c r="F5370" i="1"/>
  <c r="J5370" i="1" s="1"/>
  <c r="F5369" i="1"/>
  <c r="F5368" i="1"/>
  <c r="F5367" i="1"/>
  <c r="J5367" i="1" s="1"/>
  <c r="F5366" i="1"/>
  <c r="J5366" i="1" s="1"/>
  <c r="F5365" i="1"/>
  <c r="J5365" i="1" s="1"/>
  <c r="F5364" i="1"/>
  <c r="J5364" i="1" s="1"/>
  <c r="F5363" i="1"/>
  <c r="F5362" i="1"/>
  <c r="F5361" i="1"/>
  <c r="F5360" i="1"/>
  <c r="F5359" i="1"/>
  <c r="J5359" i="1" s="1"/>
  <c r="F5358" i="1"/>
  <c r="J5358" i="1" s="1"/>
  <c r="F5357" i="1"/>
  <c r="J5357" i="1" s="1"/>
  <c r="F5356" i="1"/>
  <c r="J5356" i="1" s="1"/>
  <c r="F5355" i="1"/>
  <c r="J5355" i="1" s="1"/>
  <c r="F5354" i="1"/>
  <c r="J5354" i="1" s="1"/>
  <c r="F5353" i="1"/>
  <c r="J5353" i="1" s="1"/>
  <c r="F5352" i="1"/>
  <c r="J5352" i="1" s="1"/>
  <c r="F5351" i="1"/>
  <c r="J5351" i="1" s="1"/>
  <c r="F5350" i="1"/>
  <c r="J5350" i="1" s="1"/>
  <c r="F5349" i="1"/>
  <c r="J5349" i="1" s="1"/>
  <c r="F5348" i="1"/>
  <c r="J5348" i="1" s="1"/>
  <c r="F5347" i="1"/>
  <c r="F5346" i="1"/>
  <c r="F5345" i="1"/>
  <c r="F5344" i="1"/>
  <c r="F5343" i="1"/>
  <c r="J5343" i="1" s="1"/>
  <c r="F5342" i="1"/>
  <c r="J5342" i="1" s="1"/>
  <c r="F5341" i="1"/>
  <c r="J5341" i="1" s="1"/>
  <c r="F5340" i="1"/>
  <c r="J5340" i="1" s="1"/>
  <c r="F5339" i="1"/>
  <c r="J5339" i="1" s="1"/>
  <c r="F5338" i="1"/>
  <c r="J5338" i="1" s="1"/>
  <c r="F5337" i="1"/>
  <c r="J5337" i="1" s="1"/>
  <c r="F5336" i="1"/>
  <c r="J5336" i="1" s="1"/>
  <c r="F5335" i="1"/>
  <c r="J5335" i="1" s="1"/>
  <c r="F5334" i="1"/>
  <c r="J5334" i="1" s="1"/>
  <c r="J5332" i="1"/>
  <c r="F5330" i="1"/>
  <c r="J5330" i="1" s="1"/>
  <c r="F5329" i="1"/>
  <c r="F5328" i="1"/>
  <c r="F5327" i="1"/>
  <c r="F5326" i="1"/>
  <c r="F5325" i="1"/>
  <c r="J5325" i="1" s="1"/>
  <c r="F5324" i="1"/>
  <c r="J5324" i="1" s="1"/>
  <c r="F5323" i="1"/>
  <c r="J5323" i="1" s="1"/>
  <c r="F5322" i="1"/>
  <c r="J5322" i="1" s="1"/>
  <c r="F5321" i="1"/>
  <c r="J5321" i="1" s="1"/>
  <c r="F5320" i="1"/>
  <c r="J5320" i="1" s="1"/>
  <c r="F5319" i="1"/>
  <c r="F5318" i="1"/>
  <c r="F5317" i="1"/>
  <c r="F5316" i="1"/>
  <c r="J5316" i="1" s="1"/>
  <c r="F5315" i="1"/>
  <c r="J5315" i="1" s="1"/>
  <c r="F5314" i="1"/>
  <c r="J5314" i="1" s="1"/>
  <c r="F5313" i="1"/>
  <c r="F5312" i="1"/>
  <c r="F5311" i="1"/>
  <c r="F5310" i="1"/>
  <c r="F5309" i="1"/>
  <c r="J5309" i="1" s="1"/>
  <c r="F5308" i="1"/>
  <c r="J5308" i="1" s="1"/>
  <c r="F5307" i="1"/>
  <c r="J5307" i="1" s="1"/>
  <c r="F5306" i="1"/>
  <c r="J5306" i="1" s="1"/>
  <c r="F5305" i="1"/>
  <c r="J5305" i="1" s="1"/>
  <c r="F5304" i="1"/>
  <c r="J5304" i="1" s="1"/>
  <c r="F5303" i="1"/>
  <c r="F5302" i="1"/>
  <c r="F5301" i="1"/>
  <c r="F5300" i="1"/>
  <c r="J5300" i="1" s="1"/>
  <c r="F5299" i="1"/>
  <c r="J5299" i="1" s="1"/>
  <c r="F5298" i="1"/>
  <c r="J5298" i="1" s="1"/>
  <c r="F5297" i="1"/>
  <c r="F5296" i="1"/>
  <c r="F5295" i="1"/>
  <c r="F5294" i="1"/>
  <c r="F5293" i="1"/>
  <c r="J5293" i="1" s="1"/>
  <c r="F5292" i="1"/>
  <c r="F5291" i="1"/>
  <c r="J5291" i="1" s="1"/>
  <c r="F5290" i="1"/>
  <c r="J5290" i="1" s="1"/>
  <c r="F5289" i="1"/>
  <c r="J5289" i="1" s="1"/>
  <c r="F5288" i="1"/>
  <c r="F5287" i="1"/>
  <c r="F5286" i="1"/>
  <c r="F5285" i="1"/>
  <c r="F5284" i="1"/>
  <c r="J5284" i="1" s="1"/>
  <c r="F5283" i="1"/>
  <c r="J5283" i="1" s="1"/>
  <c r="F5282" i="1"/>
  <c r="J5282" i="1" s="1"/>
  <c r="F5281" i="1"/>
  <c r="F5280" i="1"/>
  <c r="F5279" i="1"/>
  <c r="F5278" i="1"/>
  <c r="F5277" i="1"/>
  <c r="J5277" i="1" s="1"/>
  <c r="F5276" i="1"/>
  <c r="F5275" i="1"/>
  <c r="J5275" i="1" s="1"/>
  <c r="F5274" i="1"/>
  <c r="J5274" i="1" s="1"/>
  <c r="F5273" i="1"/>
  <c r="J5273" i="1" s="1"/>
  <c r="F5272" i="1"/>
  <c r="J5272" i="1" s="1"/>
  <c r="F5271" i="1"/>
  <c r="F5270" i="1"/>
  <c r="F5269" i="1"/>
  <c r="F5268" i="1"/>
  <c r="J5268" i="1" s="1"/>
  <c r="F5267" i="1"/>
  <c r="J5267" i="1" s="1"/>
  <c r="F5266" i="1"/>
  <c r="J5266" i="1" s="1"/>
  <c r="F5265" i="1"/>
  <c r="F5264" i="1"/>
  <c r="F5263" i="1"/>
  <c r="F5262" i="1"/>
  <c r="F5261" i="1"/>
  <c r="F5260" i="1"/>
  <c r="J5260" i="1" s="1"/>
  <c r="F5259" i="1"/>
  <c r="J5259" i="1" s="1"/>
  <c r="F5258" i="1"/>
  <c r="J5258" i="1" s="1"/>
  <c r="F5257" i="1"/>
  <c r="J5257" i="1" s="1"/>
  <c r="F5256" i="1"/>
  <c r="J5256" i="1" s="1"/>
  <c r="F5255" i="1"/>
  <c r="F5254" i="1"/>
  <c r="F5253" i="1"/>
  <c r="F5252" i="1"/>
  <c r="J5252" i="1" s="1"/>
  <c r="F5251" i="1"/>
  <c r="J5251" i="1" s="1"/>
  <c r="F5250" i="1"/>
  <c r="J5250" i="1" s="1"/>
  <c r="F5249" i="1"/>
  <c r="F5248" i="1"/>
  <c r="F5247" i="1"/>
  <c r="F5246" i="1"/>
  <c r="F5245" i="1"/>
  <c r="J5245" i="1" s="1"/>
  <c r="F5244" i="1"/>
  <c r="F5243" i="1"/>
  <c r="F5242" i="1"/>
  <c r="F5240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199" i="1"/>
  <c r="F5198" i="1"/>
  <c r="F511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46" i="1"/>
  <c r="J5347" i="1"/>
  <c r="J5360" i="1"/>
  <c r="J5361" i="1"/>
  <c r="J5362" i="1"/>
  <c r="J5363" i="1"/>
  <c r="J5368" i="1"/>
  <c r="J5369" i="1"/>
  <c r="J5376" i="1"/>
  <c r="J5377" i="1"/>
  <c r="J5378" i="1"/>
  <c r="J5379" i="1"/>
  <c r="J5383" i="1"/>
  <c r="J5384" i="1"/>
  <c r="J5385" i="1"/>
  <c r="J5391" i="1"/>
  <c r="J5392" i="1"/>
  <c r="J5393" i="1"/>
  <c r="J5394" i="1"/>
  <c r="J5395" i="1"/>
  <c r="J5398" i="1"/>
  <c r="J5399" i="1"/>
  <c r="J5400" i="1"/>
  <c r="J5401" i="1"/>
  <c r="J5408" i="1"/>
  <c r="J5409" i="1"/>
  <c r="J5410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3" i="1"/>
  <c r="J5254" i="1"/>
  <c r="J5255" i="1"/>
  <c r="J5261" i="1"/>
  <c r="J5262" i="1"/>
  <c r="J5263" i="1"/>
  <c r="J5264" i="1"/>
  <c r="J5265" i="1"/>
  <c r="J5269" i="1"/>
  <c r="J5270" i="1"/>
  <c r="J5271" i="1"/>
  <c r="J5276" i="1"/>
  <c r="J5278" i="1"/>
  <c r="J5279" i="1"/>
  <c r="J5280" i="1"/>
  <c r="J5281" i="1"/>
  <c r="J5285" i="1"/>
  <c r="J5286" i="1"/>
  <c r="J5287" i="1"/>
  <c r="J5288" i="1"/>
  <c r="J5292" i="1"/>
  <c r="J5294" i="1"/>
  <c r="J5295" i="1"/>
  <c r="J5296" i="1"/>
  <c r="J5297" i="1"/>
  <c r="J5301" i="1"/>
  <c r="J5302" i="1"/>
  <c r="J5303" i="1"/>
  <c r="J5310" i="1"/>
  <c r="J5311" i="1"/>
  <c r="J5312" i="1"/>
  <c r="J5313" i="1"/>
  <c r="J5317" i="1"/>
  <c r="J5318" i="1"/>
  <c r="J5319" i="1"/>
  <c r="J5326" i="1"/>
  <c r="J5327" i="1"/>
  <c r="J5328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<sst xmlns="http://schemas.openxmlformats.org/spreadsheetml/2006/main" count="49393" uniqueCount="7994">
  <si>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</si>
  <si>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</si>
  <si>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</si>
  <si>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</si>
  <si>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</si>
  <si>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</si>
  <si>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</si>
  <si>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</si>
  <si>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</si>
  <si>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</si>
  <si>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</si>
  <si>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</si>
  <si>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</si>
  <si>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</si>
  <si>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</si>
  <si>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</si>
  <si>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</si>
  <si>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</si>
  <si>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</si>
  <si>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</si>
  <si>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</si>
  <si>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</si>
  <si>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</si>
  <si>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</si>
  <si>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</si>
  <si>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</si>
  <si>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</si>
  <si>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</si>
  <si>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</si>
  <si>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</si>
  <si>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</si>
  <si>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</si>
  <si>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</si>
  <si>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</si>
  <si>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</si>
  <si>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</si>
  <si>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</si>
  <si>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</si>
  <si>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</si>
  <si>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</si>
  <si>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</si>
  <si>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</si>
  <si>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</si>
  <si>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</si>
  <si>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</si>
  <si>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</si>
  <si>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</si>
  <si>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</si>
  <si>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</si>
  <si>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</si>
  <si>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</si>
  <si>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</si>
  <si>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</si>
  <si>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</si>
  <si>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</si>
  <si>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</si>
  <si>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</si>
  <si>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</si>
  <si>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</si>
  <si>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</si>
  <si>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</si>
  <si>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</si>
  <si>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</si>
  <si>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</si>
  <si>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</si>
  <si>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</si>
  <si>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</si>
  <si>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</si>
  <si>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</si>
  <si>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</si>
  <si>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</si>
  <si>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</si>
  <si>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</si>
  <si>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</si>
  <si>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</si>
  <si>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</si>
  <si>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</si>
  <si>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</si>
  <si>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</si>
  <si>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</si>
  <si>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</si>
  <si>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</si>
  <si>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</si>
  <si>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</si>
  <si>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</si>
  <si>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</si>
  <si>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</si>
  <si>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</si>
  <si>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</si>
  <si>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</si>
  <si>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</si>
  <si>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</si>
  <si>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</si>
  <si>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</si>
  <si>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</si>
  <si>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</si>
  <si>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</si>
  <si>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</si>
  <si>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</si>
  <si>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</si>
  <si>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</si>
  <si>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</si>
  <si>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</si>
  <si>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</si>
  <si>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</si>
  <si>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</si>
  <si>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</si>
  <si>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</si>
  <si>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</si>
  <si>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</si>
  <si>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</si>
  <si>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</si>
  <si>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</si>
  <si>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</si>
  <si>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</si>
  <si>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</si>
  <si>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</si>
  <si>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</si>
  <si>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</si>
  <si>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</si>
  <si>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</si>
  <si>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</si>
  <si>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</si>
  <si>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</si>
  <si>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</si>
  <si>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</si>
  <si>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</si>
  <si>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</si>
  <si>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</si>
  <si>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</si>
  <si>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</si>
  <si>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</si>
  <si>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</si>
  <si>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</si>
  <si>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</si>
  <si>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</si>
  <si>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</si>
  <si>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</si>
  <si>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</si>
  <si>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</si>
  <si>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</si>
  <si>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</si>
  <si>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</si>
  <si>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</si>
  <si>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</si>
  <si>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</si>
  <si>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</si>
  <si>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</si>
  <si>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</si>
  <si>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</si>
  <si>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</si>
  <si>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</si>
  <si>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</si>
  <si>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</si>
  <si>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</si>
  <si>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</si>
  <si>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</si>
  <si>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</si>
  <si>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</si>
  <si>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</si>
  <si>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</si>
  <si>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</si>
  <si>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</si>
  <si>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</si>
  <si>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</si>
  <si>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</si>
  <si>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</si>
  <si>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</si>
  <si>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</si>
  <si>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</si>
  <si>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</si>
  <si>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</si>
  <si>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</si>
  <si>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</si>
  <si>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</si>
  <si>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</si>
  <si>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</si>
  <si>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</si>
  <si>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</si>
  <si>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</si>
  <si>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</si>
  <si>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</si>
  <si>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</si>
  <si>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</si>
  <si>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</si>
  <si>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</si>
  <si>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</si>
  <si>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</si>
  <si>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</si>
  <si>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</si>
  <si>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</si>
  <si>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</si>
  <si>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</si>
  <si>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</si>
  <si>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</si>
  <si>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</si>
  <si>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</si>
  <si>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</si>
  <si>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</si>
  <si>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</si>
  <si>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</si>
  <si>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</si>
  <si>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</si>
  <si>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</si>
  <si>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</si>
  <si>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</si>
  <si>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</si>
  <si>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</si>
  <si>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</si>
  <si>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</si>
  <si>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</si>
  <si>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</si>
  <si>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</si>
  <si>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</si>
  <si>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</si>
  <si>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</si>
  <si>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</si>
  <si>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</si>
  <si>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</si>
  <si>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</si>
  <si>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</si>
  <si>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</si>
  <si>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</si>
  <si>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</si>
  <si>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</si>
  <si>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</si>
  <si>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</si>
  <si>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</si>
  <si>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</si>
  <si>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</si>
  <si>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</si>
  <si>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</si>
  <si>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</si>
  <si>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</si>
  <si>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</si>
  <si>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</si>
  <si>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</si>
  <si>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</si>
  <si>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</si>
  <si>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</si>
  <si>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</si>
  <si>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</si>
  <si>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</si>
  <si>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</si>
  <si>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</si>
  <si>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</si>
  <si>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</si>
  <si>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</si>
  <si>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</si>
  <si>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</si>
  <si>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</si>
  <si>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</si>
  <si>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</si>
  <si>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</si>
  <si>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</si>
  <si>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</si>
  <si>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</si>
  <si>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</si>
  <si>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</si>
  <si>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</si>
  <si>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</si>
  <si>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</si>
  <si>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</si>
  <si>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</si>
  <si>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</si>
  <si>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</si>
  <si>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</si>
  <si>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</si>
  <si>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</si>
  <si>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</si>
  <si>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</si>
  <si>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</si>
  <si>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</si>
  <si>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</si>
  <si>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</si>
  <si>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</si>
  <si>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</si>
  <si>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</si>
  <si>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</si>
  <si>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</si>
  <si>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</si>
  <si>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</si>
  <si>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</si>
  <si>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</si>
  <si>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</si>
  <si>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</si>
  <si>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</si>
  <si>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</si>
  <si>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</si>
  <si>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</si>
  <si>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</si>
  <si>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</si>
  <si>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</si>
  <si>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</si>
  <si>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</si>
  <si>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</si>
  <si>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</si>
  <si>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</si>
  <si>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</si>
  <si>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</si>
  <si>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</si>
  <si>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</si>
  <si>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</si>
  <si>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</si>
  <si>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</si>
  <si>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</si>
  <si>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</si>
  <si>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</si>
  <si>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</si>
  <si>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</si>
  <si>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</si>
  <si>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</si>
  <si>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</si>
  <si>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</si>
  <si>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</si>
  <si>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</si>
  <si>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</si>
  <si>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</si>
  <si>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</si>
  <si>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</si>
  <si>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</si>
  <si>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</si>
  <si>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</si>
  <si>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</si>
  <si>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</si>
  <si>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</si>
  <si>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</si>
  <si>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</si>
  <si>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</si>
  <si>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</si>
  <si>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</si>
  <si>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</si>
  <si>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</si>
  <si>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</si>
  <si>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</si>
  <si>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</si>
  <si>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</si>
  <si>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</si>
  <si>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</si>
  <si>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</si>
  <si>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</si>
  <si>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</si>
  <si>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</si>
  <si>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</si>
  <si>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</si>
  <si>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</si>
  <si>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</si>
  <si>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</si>
  <si>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</si>
  <si>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</si>
  <si>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</si>
  <si>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</si>
  <si>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</si>
  <si>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</si>
  <si>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</si>
  <si>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</si>
  <si>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</si>
  <si>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</si>
  <si>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</si>
  <si>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</si>
  <si>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</si>
  <si>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</si>
  <si>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</si>
  <si>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</si>
  <si>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</si>
  <si>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</si>
  <si>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</si>
  <si>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</si>
  <si>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</si>
  <si>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</si>
  <si>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</si>
  <si>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</si>
  <si>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</si>
  <si>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</si>
  <si>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</si>
  <si>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</si>
  <si>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</si>
  <si>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</si>
  <si>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</si>
  <si>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</si>
  <si>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</si>
  <si>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</si>
  <si>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</si>
  <si>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</si>
  <si>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</si>
  <si>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</si>
  <si>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</si>
  <si>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</si>
  <si>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</si>
  <si>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</si>
  <si>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</si>
  <si>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</si>
  <si>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</si>
  <si>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</si>
  <si>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</si>
  <si>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</si>
  <si>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</si>
  <si>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</si>
  <si>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</si>
  <si>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</si>
  <si>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</si>
  <si>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</si>
  <si>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</si>
  <si>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</si>
  <si>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</si>
  <si>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</si>
  <si>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</si>
  <si>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</si>
  <si>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</si>
  <si>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</si>
  <si>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</si>
  <si>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</si>
  <si>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</si>
  <si>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</si>
  <si>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</si>
  <si>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</si>
  <si>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</si>
  <si>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</si>
  <si>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</si>
  <si>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</si>
  <si>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</si>
  <si>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</si>
  <si>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</si>
  <si>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</si>
  <si>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</si>
  <si>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</si>
  <si>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</si>
  <si>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</si>
  <si>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</si>
  <si>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</si>
  <si>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</si>
  <si>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</si>
  <si>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</si>
  <si>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</si>
  <si>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</si>
  <si>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</si>
  <si>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</si>
  <si>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</si>
  <si>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</si>
  <si>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</si>
  <si>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</si>
  <si>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</si>
  <si>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</si>
  <si>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</si>
  <si>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</si>
  <si>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</si>
  <si>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</si>
  <si>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</si>
  <si>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</si>
  <si>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</si>
  <si>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</si>
  <si>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</si>
  <si>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</si>
  <si>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</si>
  <si>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</si>
  <si>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</si>
  <si>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</si>
  <si>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</si>
  <si>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</si>
  <si>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</si>
  <si>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</si>
  <si>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</si>
  <si>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</si>
  <si>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</si>
  <si>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</si>
  <si>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</si>
  <si>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</si>
  <si>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</si>
  <si>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</si>
  <si>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</si>
  <si>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</si>
  <si>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</si>
  <si>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</si>
  <si>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</si>
  <si>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</si>
  <si>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</si>
  <si>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</si>
  <si>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</si>
  <si>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</si>
  <si>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</si>
  <si>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</si>
  <si>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</si>
  <si>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</si>
  <si>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</si>
  <si>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</si>
  <si>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</si>
  <si>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</si>
  <si>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</si>
  <si>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</si>
  <si>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</si>
  <si>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</si>
  <si>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</si>
  <si>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</si>
  <si>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</si>
  <si>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</si>
  <si>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</si>
  <si>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</si>
  <si>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</si>
  <si>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</si>
  <si>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</si>
  <si>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</si>
  <si>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</si>
  <si>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</si>
  <si>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</si>
  <si>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</si>
  <si>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</si>
  <si>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</si>
  <si>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</si>
  <si>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</si>
  <si>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</si>
  <si>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</si>
  <si>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</si>
  <si>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</si>
  <si>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</si>
  <si>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</si>
  <si>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</si>
  <si>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</si>
  <si>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</si>
  <si>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</si>
  <si>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</si>
  <si>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</si>
  <si>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</si>
  <si>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</si>
  <si>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</si>
  <si>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</si>
  <si>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</si>
  <si>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</si>
  <si>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</si>
  <si>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</si>
  <si>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</si>
  <si>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</si>
  <si>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</si>
  <si>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</si>
  <si>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</si>
  <si>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</si>
  <si>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</si>
  <si>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</si>
  <si>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</si>
  <si>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</si>
  <si>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</si>
  <si>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</si>
  <si>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</si>
  <si>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</si>
  <si>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</si>
  <si>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</si>
  <si>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</si>
  <si>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</si>
  <si>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</si>
  <si>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</si>
  <si>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</si>
  <si>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</si>
  <si>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</si>
  <si>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</si>
  <si>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</si>
  <si>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</si>
  <si>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</si>
  <si>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</si>
  <si>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</si>
  <si>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</si>
  <si>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</si>
  <si>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</si>
  <si>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</si>
  <si>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</si>
  <si>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</si>
  <si>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</si>
  <si>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</si>
  <si>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</si>
  <si>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</si>
  <si>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</si>
  <si>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</si>
  <si>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</si>
  <si>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</si>
  <si>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</si>
  <si>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</si>
  <si>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</si>
  <si>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</si>
  <si>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</si>
  <si>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</si>
  <si>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</si>
  <si>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</si>
  <si>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</si>
  <si>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</si>
  <si>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</si>
  <si>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</si>
  <si>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</si>
  <si>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</si>
  <si>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</si>
  <si>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</si>
  <si>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</si>
  <si>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</si>
  <si>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</si>
  <si>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</si>
  <si>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</si>
  <si>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</si>
  <si>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</si>
  <si>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</si>
  <si>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</si>
  <si>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</si>
  <si>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</si>
  <si>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</si>
  <si>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</si>
  <si>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</si>
  <si>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</si>
  <si>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</si>
  <si>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</si>
  <si>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</si>
  <si>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</si>
  <si>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</si>
  <si>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</si>
  <si>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</si>
  <si>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</si>
  <si>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</si>
  <si>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</si>
  <si>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</si>
  <si>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</si>
  <si>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</si>
  <si>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</si>
  <si>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</si>
  <si>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</si>
  <si>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</si>
  <si>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</si>
  <si>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</si>
  <si>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</si>
  <si>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</si>
  <si>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</si>
  <si>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</si>
  <si>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</si>
  <si>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</si>
  <si>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</si>
  <si>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</si>
  <si>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</si>
  <si>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</si>
  <si>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</si>
  <si>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</si>
  <si>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</si>
  <si>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</si>
  <si>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</si>
  <si>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</si>
  <si>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</si>
  <si>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</si>
  <si>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</si>
  <si>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</si>
  <si>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</si>
  <si>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</si>
  <si>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</si>
  <si>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</si>
  <si>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</si>
  <si>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</si>
  <si>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</si>
  <si>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</si>
  <si>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</si>
  <si>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</si>
  <si>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</si>
  <si>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</si>
  <si>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</si>
  <si>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</si>
  <si>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</si>
  <si>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</si>
  <si>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</si>
  <si>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</si>
  <si>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</si>
  <si>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</si>
  <si>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</si>
  <si>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</si>
  <si>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</si>
  <si>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</si>
  <si>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</si>
  <si>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</si>
  <si>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</si>
  <si>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</si>
  <si>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</si>
  <si>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</si>
  <si>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</si>
  <si>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</si>
  <si>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</si>
  <si>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</si>
  <si>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</si>
  <si>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</si>
  <si>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</si>
  <si>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</si>
  <si>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</si>
  <si>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</si>
  <si>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</si>
  <si>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</si>
  <si>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</si>
  <si>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</si>
  <si>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</si>
  <si>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</si>
  <si>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</si>
  <si>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</si>
  <si>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</si>
  <si>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</si>
  <si>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</si>
  <si>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</si>
  <si>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</si>
  <si>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</si>
  <si>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</si>
  <si>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</si>
  <si>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</si>
  <si>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</si>
  <si>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</si>
  <si>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</si>
  <si>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</si>
  <si>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</si>
  <si>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</si>
  <si>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</si>
  <si>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</si>
  <si>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</si>
  <si>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</si>
  <si>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</si>
  <si>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</si>
  <si>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</si>
  <si>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</si>
  <si>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</si>
  <si>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</si>
  <si>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</si>
  <si>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</si>
  <si>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</si>
  <si>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</si>
  <si>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</si>
  <si>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</si>
  <si>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</si>
  <si>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</si>
  <si>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</si>
  <si>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</si>
  <si>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</si>
  <si>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</si>
  <si>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</si>
  <si>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</si>
  <si>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</si>
  <si>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</si>
  <si>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</si>
  <si>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</si>
  <si>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</si>
  <si>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</si>
  <si>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</si>
  <si>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</si>
  <si>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</si>
  <si>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</si>
  <si>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</si>
  <si>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</si>
  <si>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</si>
  <si>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</si>
  <si>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</si>
  <si>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</si>
  <si>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</si>
  <si>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</si>
  <si>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</si>
  <si>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</si>
  <si>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</si>
  <si>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</si>
  <si>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</si>
  <si>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</si>
  <si>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</si>
  <si>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</si>
  <si>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</si>
  <si>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</si>
  <si>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</si>
  <si>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</si>
  <si>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</si>
  <si>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</si>
  <si>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</si>
  <si>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</si>
  <si>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</si>
  <si>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</si>
  <si>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</si>
  <si>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</si>
  <si>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</si>
  <si>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</si>
  <si>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</si>
  <si>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</si>
  <si>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</si>
  <si>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</si>
  <si>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</si>
  <si>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</si>
  <si>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</si>
  <si>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</si>
  <si>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</si>
  <si>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</si>
  <si>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</si>
  <si>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</si>
  <si>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</si>
  <si>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</si>
  <si>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</si>
  <si>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</si>
  <si>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</si>
  <si>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</si>
  <si>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</si>
  <si>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</si>
  <si>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</si>
  <si>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</si>
  <si>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</si>
  <si>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</si>
  <si>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</si>
  <si>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</si>
  <si>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</si>
  <si>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</si>
  <si>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</si>
  <si>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</si>
  <si>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</si>
  <si>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</si>
  <si>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</si>
  <si>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</si>
  <si>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</si>
  <si>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</si>
  <si>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</si>
  <si>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</si>
  <si>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</si>
  <si>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</si>
  <si>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</si>
  <si>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</si>
  <si>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</si>
  <si>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</si>
  <si>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</si>
  <si>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</si>
  <si>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</si>
  <si>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</si>
  <si>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</si>
  <si>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</si>
  <si>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</si>
  <si>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</si>
  <si>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</si>
  <si>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</si>
  <si>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</si>
  <si>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</si>
  <si>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</si>
  <si>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</si>
  <si>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</si>
  <si>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</si>
  <si>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</si>
  <si>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</si>
  <si>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</si>
  <si>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</si>
  <si>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</si>
  <si>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</si>
  <si>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</si>
  <si>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</si>
  <si>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</si>
  <si>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</si>
  <si>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</si>
  <si>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</si>
  <si>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</si>
  <si>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</si>
  <si>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</si>
  <si>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</si>
  <si>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</si>
  <si>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</si>
  <si>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</si>
  <si>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</si>
  <si>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</si>
  <si>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</si>
  <si>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</si>
  <si>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</si>
  <si>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</si>
  <si>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</si>
  <si>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</si>
  <si>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</si>
  <si>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</si>
  <si>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</si>
  <si>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</si>
  <si>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</si>
  <si>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</si>
  <si>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</si>
  <si>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</si>
  <si>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</si>
  <si>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</si>
  <si>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</si>
  <si>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</si>
  <si>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</si>
  <si>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</si>
  <si>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</si>
  <si>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</si>
  <si>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</si>
  <si>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</si>
  <si>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</si>
  <si>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</si>
  <si>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</si>
  <si>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</si>
  <si>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</si>
  <si>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</si>
  <si>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</si>
  <si>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</si>
  <si>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</si>
  <si>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</si>
  <si>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</si>
  <si>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</si>
  <si>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</si>
  <si>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</si>
  <si>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</si>
  <si>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</si>
  <si>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</si>
  <si>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</si>
  <si>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</si>
  <si>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</si>
  <si>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</si>
  <si>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</si>
  <si>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</si>
  <si>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</si>
  <si>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</si>
  <si>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</si>
  <si>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</si>
  <si>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</si>
  <si>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</si>
  <si>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</si>
  <si>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</si>
  <si>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</si>
  <si>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</si>
  <si>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</si>
  <si>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</si>
  <si>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</si>
  <si>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</si>
  <si>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</si>
  <si>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</si>
  <si>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</si>
  <si>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</si>
  <si>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</si>
  <si>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</si>
  <si>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</si>
  <si>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</si>
  <si>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</si>
  <si>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</si>
  <si>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</si>
  <si>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</si>
  <si>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</si>
  <si>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</si>
  <si>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</si>
  <si>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</si>
  <si>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</si>
  <si>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</si>
  <si>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</si>
  <si>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</si>
  <si>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</si>
  <si>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</si>
  <si>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</si>
  <si>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</si>
  <si>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</si>
  <si>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</si>
  <si>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</si>
  <si>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</si>
  <si>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</si>
  <si>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</si>
  <si>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</si>
  <si>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</si>
  <si>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</si>
  <si>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</si>
  <si>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</si>
  <si>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</si>
  <si>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</si>
  <si>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</si>
  <si>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</si>
  <si>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</si>
  <si>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</si>
  <si>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</si>
  <si>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</si>
  <si>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</si>
  <si>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</si>
  <si>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</si>
  <si>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</si>
  <si>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</si>
  <si>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</si>
  <si>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</si>
  <si>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</si>
  <si>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</si>
  <si>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</si>
  <si>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</si>
  <si>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</si>
  <si>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</si>
  <si>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</si>
  <si>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</si>
  <si>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</si>
  <si>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</si>
  <si>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</si>
  <si>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</si>
  <si>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</si>
  <si>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</si>
  <si>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</si>
  <si>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</si>
  <si>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</si>
  <si>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</si>
  <si>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</si>
  <si>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</si>
  <si>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</si>
  <si>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</si>
  <si>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</si>
  <si>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</si>
  <si>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</si>
  <si>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</si>
  <si>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</si>
  <si>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</si>
  <si>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</si>
  <si>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</si>
  <si>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</si>
  <si>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</si>
  <si>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</si>
  <si>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</si>
  <si>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</si>
  <si>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</si>
  <si>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</si>
  <si>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</si>
  <si>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</si>
  <si>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</si>
  <si>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</si>
  <si>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</si>
  <si>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</si>
  <si>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</si>
  <si>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</si>
  <si>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</si>
  <si>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</si>
  <si>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</si>
  <si>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</si>
  <si>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</si>
  <si>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</si>
  <si>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</si>
  <si>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</si>
  <si>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</si>
  <si>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</si>
  <si>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</si>
  <si>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</si>
  <si>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</si>
  <si>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</si>
  <si>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</si>
  <si>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</si>
  <si>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</si>
  <si>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</si>
  <si>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</si>
  <si>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</si>
  <si>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</si>
  <si>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</si>
  <si>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</si>
  <si>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</si>
  <si>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</si>
  <si>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</si>
  <si>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</si>
  <si>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</si>
  <si>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</si>
  <si>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</si>
  <si>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</si>
  <si>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</si>
  <si>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</si>
  <si>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</si>
  <si>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</si>
  <si>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</si>
  <si>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</si>
  <si>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</si>
  <si>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</si>
  <si>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</si>
  <si>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</si>
  <si>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</si>
  <si>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</si>
  <si>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</si>
  <si>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</si>
  <si>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</si>
  <si>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</si>
  <si>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</si>
  <si>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</si>
  <si>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</si>
  <si>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</si>
  <si>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</si>
  <si>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</si>
  <si>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</si>
  <si>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</si>
  <si>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</si>
  <si>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</si>
  <si>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</si>
  <si>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</si>
  <si>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</si>
  <si>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</si>
  <si>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</si>
  <si>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</si>
  <si>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</si>
  <si>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</si>
  <si>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</si>
  <si>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</si>
  <si>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</si>
  <si>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</si>
  <si>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</si>
  <si>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</si>
  <si>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</si>
  <si>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</si>
  <si>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</si>
  <si>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</si>
  <si>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</si>
  <si>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</si>
  <si>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</si>
  <si>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</si>
  <si>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</si>
  <si>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</si>
  <si>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</si>
  <si>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</si>
  <si>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</si>
  <si>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</si>
  <si>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</si>
  <si>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</si>
  <si>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</si>
  <si>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</si>
  <si>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</si>
  <si>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</si>
  <si>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</si>
  <si>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</si>
  <si>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</si>
  <si>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</si>
  <si>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</si>
  <si>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</si>
  <si>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</si>
  <si>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</si>
  <si>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</si>
  <si>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</si>
  <si>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</si>
  <si>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</si>
  <si>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</si>
  <si>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</si>
  <si>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</si>
  <si>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</si>
  <si>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</si>
  <si>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</si>
  <si>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</si>
  <si>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</si>
  <si>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</si>
  <si>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</si>
  <si>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</si>
  <si>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</si>
  <si>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</si>
  <si>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</si>
  <si>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</si>
  <si>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</si>
  <si>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</si>
  <si>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</si>
  <si>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</si>
  <si>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</si>
  <si>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</si>
  <si>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</si>
  <si>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</si>
  <si>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</si>
  <si>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</si>
  <si>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</si>
  <si>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</si>
  <si>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</si>
  <si>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</si>
  <si>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</si>
  <si>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</si>
  <si>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</si>
  <si>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</si>
  <si>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</si>
  <si>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</si>
  <si>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</si>
  <si>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</si>
  <si>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</si>
  <si>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</si>
  <si>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</si>
  <si>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</si>
  <si>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</si>
  <si>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</si>
  <si>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</si>
  <si>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</si>
  <si>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</si>
  <si>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</si>
  <si>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</si>
  <si>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</si>
  <si>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</si>
  <si>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</si>
  <si>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</si>
  <si>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</si>
  <si>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</si>
  <si>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</si>
  <si>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</si>
  <si>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</si>
  <si>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</si>
  <si>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</si>
  <si>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</si>
  <si>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</si>
  <si>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</si>
  <si>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</si>
  <si>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</si>
  <si>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</si>
  <si>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</si>
  <si>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</si>
  <si>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</si>
  <si>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</si>
  <si>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</si>
  <si>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</si>
  <si>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</si>
  <si>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</si>
  <si>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</si>
  <si>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</si>
  <si>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</si>
  <si>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</si>
  <si>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</si>
  <si>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</si>
  <si>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</si>
  <si>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</si>
  <si>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</si>
  <si>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</si>
  <si>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</si>
  <si>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</si>
  <si>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</si>
  <si>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</si>
  <si>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</si>
  <si>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</si>
  <si>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</si>
  <si>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</si>
  <si>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</si>
  <si>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</si>
  <si>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</si>
  <si>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</si>
  <si>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</si>
  <si>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</si>
  <si>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</si>
  <si>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</si>
  <si>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</si>
  <si>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</si>
  <si>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</si>
  <si>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</si>
  <si>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</si>
  <si>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</si>
  <si>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</si>
  <si>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</si>
  <si>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</si>
  <si>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</si>
  <si>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</si>
  <si>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</si>
  <si>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</si>
  <si>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</si>
  <si>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</si>
  <si>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</si>
  <si>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</si>
  <si>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</si>
  <si>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</si>
  <si>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</si>
  <si>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</si>
  <si>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</si>
  <si>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</si>
  <si>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</si>
  <si>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</si>
  <si>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</si>
  <si>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</si>
  <si>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</si>
  <si>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</si>
  <si>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</si>
  <si>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</si>
  <si>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</si>
  <si>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</si>
  <si>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</si>
  <si>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</si>
  <si>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</si>
  <si>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</si>
  <si>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</si>
  <si>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</si>
  <si>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</si>
  <si>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</si>
  <si>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</si>
  <si>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</si>
  <si>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</si>
  <si>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</si>
  <si>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</si>
  <si>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</si>
  <si>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</si>
  <si>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</si>
  <si>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</si>
  <si>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</si>
  <si>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</si>
  <si>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</si>
  <si>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</si>
  <si>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</si>
  <si>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</si>
  <si>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</si>
  <si>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</si>
  <si>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</si>
  <si>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</si>
  <si>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</si>
  <si>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</si>
  <si>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</si>
  <si>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</si>
  <si>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</si>
  <si>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</si>
  <si>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</si>
  <si>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</si>
  <si>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</si>
  <si>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</si>
  <si>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</si>
  <si>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</si>
  <si>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</si>
  <si>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</si>
  <si>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</si>
  <si>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</si>
  <si>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</si>
  <si>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</si>
  <si>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</si>
  <si>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</si>
  <si>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</si>
  <si>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</si>
  <si>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</si>
  <si>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</si>
  <si>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</si>
  <si>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</si>
  <si>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</si>
  <si>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</si>
  <si>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</si>
  <si>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</si>
  <si>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</si>
  <si>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</si>
  <si>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</si>
  <si>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</si>
  <si>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</si>
  <si>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</si>
  <si>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</si>
  <si>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</si>
  <si>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</si>
  <si>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</si>
  <si>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</si>
  <si>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</si>
  <si>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</si>
  <si>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</si>
  <si>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</si>
  <si>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</si>
  <si>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</si>
  <si>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</si>
  <si>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</si>
  <si>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</si>
  <si>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</si>
  <si>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</si>
  <si>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</si>
  <si>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</si>
  <si>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</si>
  <si>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</si>
  <si>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</si>
  <si>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</si>
  <si>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</si>
  <si>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</si>
  <si>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</si>
  <si>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</si>
  <si>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</si>
  <si>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</si>
  <si>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</si>
  <si>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</si>
  <si>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</si>
  <si>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</si>
  <si>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</si>
  <si>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</si>
  <si>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</si>
  <si>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</si>
  <si>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</si>
  <si>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</si>
  <si>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</si>
  <si>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</si>
  <si>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</si>
  <si>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</si>
  <si>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</si>
  <si>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</si>
  <si>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</si>
  <si>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</si>
  <si>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</si>
  <si>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</si>
  <si>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</si>
  <si>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</si>
  <si>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</si>
  <si>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</si>
  <si>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</si>
  <si>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</si>
  <si>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</si>
  <si>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</si>
  <si>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</si>
  <si>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</si>
  <si>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</si>
  <si>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</si>
  <si>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</si>
  <si>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</si>
  <si>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</si>
  <si>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</si>
  <si>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</si>
  <si>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</si>
  <si>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</si>
  <si>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</si>
  <si>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</si>
  <si>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</si>
  <si>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</si>
  <si>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</si>
  <si>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</si>
  <si>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</si>
  <si>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</si>
  <si>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</si>
  <si>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</si>
  <si>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</si>
  <si>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</si>
  <si>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</si>
  <si>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</si>
  <si>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</si>
  <si>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</si>
  <si>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</si>
  <si>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</si>
  <si>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</si>
  <si>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</si>
  <si>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</si>
  <si>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</si>
  <si>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</si>
  <si>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</si>
  <si>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</si>
  <si>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</si>
  <si>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</si>
  <si>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</si>
  <si>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</si>
  <si>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</si>
  <si>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</si>
  <si>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</si>
  <si>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</si>
  <si>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</si>
  <si>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</si>
  <si>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</si>
  <si>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</si>
  <si>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</si>
  <si>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</si>
  <si>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</si>
  <si>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</si>
  <si>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</si>
  <si>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</si>
  <si>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</si>
  <si>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</si>
  <si>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</si>
  <si>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</si>
  <si>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</si>
  <si>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</si>
  <si>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</si>
  <si>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</si>
  <si>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</si>
  <si>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</si>
  <si>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</si>
  <si>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</si>
  <si>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</si>
  <si>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</si>
  <si>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</si>
  <si>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</si>
  <si>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</si>
  <si>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</si>
  <si>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</si>
  <si>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</si>
  <si>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</si>
  <si>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</si>
  <si>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</si>
  <si>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</si>
  <si>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</si>
  <si>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</si>
  <si>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</si>
  <si>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</si>
  <si>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</si>
  <si>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</si>
  <si>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</si>
  <si>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</si>
  <si>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</si>
  <si>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</si>
  <si>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</si>
  <si>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</si>
  <si>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</si>
  <si>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</si>
  <si>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</si>
  <si>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</si>
  <si>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</si>
  <si>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</si>
  <si>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</si>
  <si>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</si>
  <si>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</si>
  <si>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</si>
  <si>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</si>
  <si>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</si>
  <si>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</si>
  <si>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</si>
  <si>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</si>
  <si>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</si>
  <si>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</si>
  <si>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</si>
  <si>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</si>
  <si>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</si>
  <si>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</si>
  <si>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</si>
  <si>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</si>
  <si>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</si>
  <si>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</si>
  <si>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</si>
  <si>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</si>
  <si>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</si>
  <si>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</si>
  <si>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</si>
  <si>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</si>
  <si>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</si>
  <si>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</si>
  <si>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</si>
  <si>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</si>
  <si>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</si>
  <si>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</si>
  <si>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</si>
  <si>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</si>
  <si>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</si>
  <si>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</si>
  <si>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</si>
  <si>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</si>
  <si>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</si>
  <si>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</si>
  <si>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</si>
  <si>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</si>
  <si>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</si>
  <si>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</si>
  <si>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</si>
  <si>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</si>
  <si>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</si>
  <si>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</si>
  <si>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</si>
  <si>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</si>
  <si>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</si>
  <si>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</si>
  <si>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</si>
  <si>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</si>
  <si>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</si>
  <si>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</si>
  <si>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</si>
  <si>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</si>
  <si>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</si>
  <si>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</si>
  <si>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</si>
  <si>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</si>
  <si>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</si>
  <si>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</si>
  <si>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</si>
  <si>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</si>
  <si>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</si>
  <si>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</si>
  <si>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</si>
  <si>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</si>
  <si>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</si>
  <si>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</si>
  <si>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</si>
  <si>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</si>
  <si>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</si>
  <si>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</si>
  <si>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</si>
  <si>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</si>
  <si>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</si>
  <si>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</si>
  <si>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</si>
  <si>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</si>
  <si>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</si>
  <si>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</si>
  <si>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</si>
  <si>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</si>
  <si>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</si>
  <si>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</si>
  <si>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</si>
  <si>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</si>
  <si>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</si>
  <si>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</si>
  <si>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</si>
  <si>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</si>
  <si>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</si>
  <si>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</si>
  <si>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</si>
  <si>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</si>
  <si>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</si>
  <si>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</si>
  <si>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</si>
  <si>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</si>
  <si>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</si>
  <si>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</si>
  <si>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</si>
  <si>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</si>
  <si>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</si>
  <si>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</si>
  <si>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</si>
  <si>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</si>
  <si>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</si>
  <si>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</si>
  <si>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</si>
  <si>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</si>
  <si>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</si>
  <si>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</si>
  <si>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</si>
  <si>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</si>
  <si>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</si>
  <si>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</si>
  <si>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</si>
  <si>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</si>
  <si>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</si>
  <si>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</si>
  <si>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</si>
  <si>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</si>
  <si>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</si>
  <si>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</si>
  <si>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</si>
  <si>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</si>
  <si>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</si>
  <si>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</si>
  <si>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</si>
  <si>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</si>
  <si>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</si>
  <si>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</si>
  <si>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</si>
  <si>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</si>
  <si>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</si>
  <si>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</si>
  <si>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</si>
  <si>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</si>
  <si>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</si>
  <si>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</si>
  <si>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</si>
  <si>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</si>
  <si>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</si>
  <si>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</si>
  <si>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</si>
  <si>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</si>
  <si>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</si>
  <si>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</si>
  <si>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</si>
  <si>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</si>
  <si>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</si>
  <si>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</si>
  <si>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</si>
  <si>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</si>
  <si>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</si>
  <si>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</si>
  <si>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</si>
  <si>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</si>
  <si>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</si>
  <si>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</si>
  <si>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</si>
  <si>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</si>
  <si>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</si>
  <si>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</si>
  <si>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</si>
  <si>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</si>
  <si>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</si>
  <si>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</si>
  <si>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</si>
  <si>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</si>
  <si>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</si>
  <si>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</si>
  <si>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</si>
  <si>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</si>
  <si>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</si>
  <si>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</si>
  <si>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</si>
  <si>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</si>
  <si>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</si>
  <si>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</si>
  <si>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</si>
  <si>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</si>
  <si>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</si>
  <si>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</si>
  <si>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</si>
  <si>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</si>
  <si>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</si>
  <si>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</si>
  <si>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</si>
  <si>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</si>
  <si>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</si>
  <si>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</si>
  <si>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</si>
  <si>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</si>
  <si>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</si>
  <si>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</si>
  <si>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</si>
  <si>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</si>
  <si>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</si>
  <si>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</si>
  <si>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</si>
  <si>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</si>
  <si>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</si>
  <si>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</si>
  <si>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</si>
  <si>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</si>
  <si>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</si>
  <si>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</si>
  <si>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</si>
  <si>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</si>
  <si>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</si>
  <si>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</si>
  <si>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</si>
  <si>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</si>
  <si>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</si>
  <si>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</si>
  <si>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</si>
  <si>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</si>
  <si>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</si>
  <si>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</si>
  <si>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</si>
  <si>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</si>
  <si>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</si>
  <si>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</si>
  <si>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</si>
  <si>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</si>
  <si>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</si>
  <si>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</si>
  <si>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</si>
  <si>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</si>
  <si>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</si>
  <si>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</si>
  <si>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</si>
  <si>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</si>
  <si>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</si>
  <si>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</si>
  <si>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</si>
  <si>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</si>
  <si>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</si>
  <si>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</si>
  <si>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</si>
  <si>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</si>
  <si>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</si>
  <si>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</si>
  <si>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</si>
  <si>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</si>
  <si>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</si>
  <si>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</si>
  <si>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</si>
  <si>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</si>
  <si>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</si>
  <si>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</si>
  <si>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</si>
  <si>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</si>
  <si>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</si>
  <si>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</si>
  <si>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</si>
  <si>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</si>
  <si>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</si>
  <si>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</si>
  <si>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</si>
  <si>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</si>
  <si>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</si>
  <si>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</si>
  <si>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</si>
  <si>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</si>
  <si>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</si>
  <si>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</si>
  <si>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</si>
  <si>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</si>
  <si>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</si>
  <si>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</si>
  <si>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</si>
  <si>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</si>
  <si>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</si>
  <si>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</si>
  <si>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</si>
  <si>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</si>
  <si>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</si>
  <si>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</si>
  <si>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</si>
  <si>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</si>
  <si>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</si>
  <si>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</si>
  <si>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</si>
  <si>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</si>
  <si>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</si>
  <si>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</si>
  <si>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</si>
  <si>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</si>
  <si>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</si>
  <si>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</si>
  <si>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</si>
  <si>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</si>
  <si>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</si>
  <si>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</si>
  <si>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</si>
  <si>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</si>
  <si>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</si>
  <si>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</si>
  <si>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</si>
  <si>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</si>
  <si>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</si>
  <si>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</si>
  <si>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</si>
  <si>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</si>
  <si>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</si>
  <si>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</si>
  <si>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</si>
  <si>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</si>
  <si>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</si>
  <si>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</si>
  <si>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</si>
  <si>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</si>
  <si>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</si>
  <si>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</si>
  <si>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</si>
  <si>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</si>
  <si>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</si>
  <si>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</si>
  <si>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</si>
  <si>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</si>
  <si>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</si>
  <si>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</si>
  <si>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</si>
  <si>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</si>
  <si>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</si>
  <si>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</si>
  <si>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</si>
  <si>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</si>
  <si>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</si>
  <si>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</si>
  <si>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</si>
  <si>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</si>
  <si>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</si>
  <si>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</si>
  <si>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</si>
  <si>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</si>
  <si>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</si>
  <si>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</si>
  <si>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</si>
  <si>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</si>
  <si>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</si>
  <si>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</si>
  <si>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</si>
  <si>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</si>
  <si>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</si>
  <si>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</si>
  <si>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</si>
  <si>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</si>
  <si>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</si>
  <si>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</si>
  <si>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</si>
  <si>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</si>
  <si>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</si>
  <si>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</si>
  <si>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</si>
  <si>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</si>
  <si>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</si>
  <si>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</si>
  <si>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</si>
  <si>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</si>
  <si>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</si>
  <si>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</si>
  <si>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</si>
  <si>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</si>
  <si>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</si>
  <si>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</si>
  <si>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</si>
  <si>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</si>
  <si>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</si>
  <si>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</si>
  <si>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</si>
  <si>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</si>
  <si>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</si>
  <si>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</si>
  <si>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</si>
  <si>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</si>
  <si>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</si>
  <si>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</si>
  <si>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</si>
  <si>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</si>
  <si>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</si>
  <si>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</si>
  <si>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</si>
  <si>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</si>
  <si>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</si>
  <si>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</si>
  <si>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</si>
  <si>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</si>
  <si>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</si>
  <si>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</si>
  <si>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</si>
  <si>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</si>
  <si>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</si>
  <si>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</si>
  <si>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</si>
  <si>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</si>
  <si>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</si>
  <si>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</si>
  <si>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</si>
  <si>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</si>
  <si>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</si>
  <si>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</si>
  <si>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</si>
  <si>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</si>
  <si>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</si>
  <si>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</si>
  <si>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</si>
  <si>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</si>
  <si>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</si>
  <si>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</si>
  <si>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</si>
  <si>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</si>
  <si>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</si>
  <si>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</si>
  <si>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</si>
  <si>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</si>
  <si>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</si>
  <si>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</si>
  <si>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</si>
  <si>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</si>
  <si>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</si>
  <si>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</si>
  <si>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</si>
  <si>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</si>
  <si>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</si>
  <si>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</si>
  <si>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</si>
  <si>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</si>
  <si>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</si>
  <si>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</si>
  <si>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</si>
  <si>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</si>
  <si>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</si>
  <si>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</si>
  <si>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</si>
  <si>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</si>
  <si>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</si>
  <si>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</si>
  <si>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</si>
  <si>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</si>
  <si>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</si>
  <si>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</si>
  <si>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</si>
  <si>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</si>
  <si>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</si>
  <si>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</si>
  <si>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</si>
  <si>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</si>
  <si>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</si>
  <si>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</si>
  <si>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</si>
  <si>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</si>
  <si>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</si>
  <si>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</si>
  <si>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</si>
  <si>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</si>
  <si>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</si>
  <si>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</si>
  <si>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</si>
  <si>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</si>
  <si>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</si>
  <si>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</si>
  <si>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</si>
  <si>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</si>
  <si>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</si>
  <si>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</si>
  <si>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</si>
  <si>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</si>
  <si>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</si>
  <si>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</si>
  <si>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</si>
  <si>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</si>
  <si>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</si>
  <si>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</si>
  <si>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</si>
  <si>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</si>
  <si>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</si>
  <si>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</si>
  <si>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</si>
  <si>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</si>
  <si>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</si>
  <si>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</si>
  <si>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</si>
  <si>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</si>
  <si>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</si>
  <si>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</si>
  <si>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</si>
  <si>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</si>
  <si>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</si>
  <si>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</si>
  <si>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</si>
  <si>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</si>
  <si>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</si>
  <si>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</si>
  <si>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</si>
  <si>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</si>
  <si>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</si>
  <si>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</si>
  <si>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</si>
  <si>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</si>
  <si>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</si>
  <si>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</si>
  <si>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</si>
  <si>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</si>
  <si>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</si>
  <si>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</si>
  <si>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</si>
  <si>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</si>
  <si>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</si>
  <si>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</si>
  <si>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</si>
  <si>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</si>
  <si>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</si>
  <si>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</si>
  <si>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</si>
  <si>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</si>
  <si>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</si>
  <si>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</si>
  <si>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</si>
  <si>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</si>
  <si>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</si>
  <si>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</si>
  <si>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</si>
  <si>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</si>
  <si>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</si>
  <si>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</si>
  <si>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</si>
  <si>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</si>
  <si>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</si>
  <si>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</si>
  <si>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</si>
  <si>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</si>
  <si>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</si>
  <si>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</si>
  <si>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</si>
  <si>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</si>
  <si>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</si>
  <si>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</si>
  <si>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</si>
  <si>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</si>
  <si>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</si>
  <si>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</si>
  <si>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</si>
  <si>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</si>
  <si>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</si>
  <si>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</si>
  <si>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</si>
  <si>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</si>
  <si>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</si>
  <si>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</si>
  <si>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</si>
  <si>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</si>
  <si>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</si>
  <si>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</si>
  <si>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</si>
  <si>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</si>
  <si>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</si>
  <si>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</si>
  <si>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</si>
  <si>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</si>
  <si>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</si>
  <si>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</si>
  <si>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</si>
  <si>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</si>
  <si>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</si>
  <si>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</si>
  <si>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</si>
  <si>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</si>
  <si>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</si>
  <si>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</si>
  <si>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</si>
  <si>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</si>
  <si>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</si>
  <si>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</si>
  <si>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</si>
  <si>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</si>
  <si>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</si>
  <si>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</si>
  <si>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</si>
  <si>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</si>
  <si>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</si>
  <si>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</si>
  <si>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</si>
  <si>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</si>
  <si>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</si>
  <si>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</si>
  <si>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</si>
  <si>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</si>
  <si>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</si>
  <si>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</si>
  <si>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</si>
  <si>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</si>
  <si>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</si>
  <si>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</si>
  <si>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</si>
  <si>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</si>
  <si>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</si>
  <si>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</si>
  <si>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</si>
  <si>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</si>
  <si>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</si>
  <si>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</si>
  <si>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</si>
  <si>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</si>
  <si>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</si>
  <si>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</si>
  <si>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</si>
  <si>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</si>
  <si>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</si>
  <si>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</si>
  <si>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</si>
  <si>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</si>
  <si>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</si>
  <si>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</si>
  <si>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</si>
  <si>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</si>
  <si>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</si>
  <si>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</si>
  <si>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</si>
  <si>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</si>
  <si>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</si>
  <si>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</si>
  <si>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</si>
  <si>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</si>
  <si>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</si>
  <si>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</si>
  <si>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</si>
  <si>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</si>
  <si>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</si>
  <si>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</si>
  <si>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</si>
  <si>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</si>
  <si>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</si>
  <si>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</si>
  <si>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</si>
  <si>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</si>
  <si>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</si>
  <si>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</si>
  <si>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</si>
  <si>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</si>
  <si>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</si>
  <si>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</si>
  <si>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</si>
  <si>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</si>
  <si>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</si>
  <si>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</si>
  <si>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</si>
  <si>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</si>
  <si>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</si>
  <si>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</si>
  <si>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</si>
  <si>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</si>
  <si>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</si>
  <si>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</si>
  <si>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</si>
  <si>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</si>
  <si>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</si>
  <si>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</si>
  <si>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</si>
  <si>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</si>
  <si>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</si>
  <si>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</si>
  <si>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</si>
  <si>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</si>
  <si>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</si>
  <si>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</si>
  <si>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</si>
  <si>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</si>
  <si>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</si>
  <si>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</si>
  <si>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</si>
  <si>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</si>
  <si>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</si>
  <si>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</si>
  <si>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</si>
  <si>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</si>
  <si>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</si>
  <si>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</si>
  <si>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</si>
  <si>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</si>
  <si>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</si>
  <si>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</si>
  <si>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</si>
  <si>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</si>
  <si>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</si>
  <si>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</si>
  <si>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</si>
  <si>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</si>
  <si>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</si>
  <si>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</si>
  <si>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</si>
  <si>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</si>
  <si>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</si>
  <si>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</si>
  <si>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</si>
  <si>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</si>
  <si>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</si>
  <si>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</si>
  <si>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</si>
  <si>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</si>
  <si>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</si>
  <si>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</si>
  <si>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</si>
  <si>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</si>
  <si>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</si>
  <si>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</si>
  <si>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</si>
  <si>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</si>
  <si>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</si>
  <si>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</si>
  <si>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</si>
  <si>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</si>
  <si>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</si>
  <si>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</si>
  <si>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</si>
  <si>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</si>
  <si>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</si>
  <si>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</si>
  <si>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</si>
  <si>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</si>
  <si>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</si>
  <si>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</si>
  <si>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</si>
  <si>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</si>
  <si>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</si>
  <si>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</si>
  <si>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</si>
  <si>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</si>
  <si>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</si>
  <si>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</si>
  <si>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</si>
  <si>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</si>
  <si>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</si>
  <si>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</si>
  <si>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</si>
  <si>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</si>
  <si>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</si>
  <si>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</si>
  <si>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</si>
  <si>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</si>
  <si>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</si>
  <si>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</si>
  <si>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</si>
  <si>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</si>
  <si>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</si>
  <si>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</si>
  <si>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</si>
  <si>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</si>
  <si>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</si>
  <si>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</si>
  <si>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</si>
  <si>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</si>
  <si>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</si>
  <si>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</si>
  <si>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</si>
  <si>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</si>
  <si>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</si>
  <si>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</si>
  <si>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</si>
  <si>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</si>
  <si>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</si>
  <si>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</si>
  <si>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</si>
  <si>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</si>
  <si>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</si>
  <si>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</si>
  <si>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</si>
  <si>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</si>
  <si>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</si>
  <si>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</si>
  <si>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</si>
  <si>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</si>
  <si>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</si>
  <si>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</si>
  <si>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</si>
  <si>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</si>
  <si>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</si>
  <si>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</si>
  <si>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</si>
  <si>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</si>
  <si>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</si>
  <si>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</si>
  <si>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</si>
  <si>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</si>
  <si>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</si>
  <si>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</si>
  <si>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</si>
  <si>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</si>
  <si>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</si>
  <si>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</si>
  <si>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</si>
  <si>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</si>
  <si>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</si>
  <si>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</si>
  <si>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</si>
  <si>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</si>
  <si>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</si>
  <si>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</si>
  <si>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</si>
  <si>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</si>
  <si>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</si>
  <si>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</si>
  <si>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</si>
  <si>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</si>
  <si>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</si>
  <si>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</si>
  <si>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</si>
  <si>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</si>
  <si>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</si>
  <si>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</si>
  <si>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</si>
  <si>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</si>
  <si>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</si>
  <si>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</si>
  <si>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</si>
  <si>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</si>
  <si>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</si>
  <si>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</si>
  <si>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</si>
  <si>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</si>
  <si>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</si>
  <si>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</si>
  <si>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</si>
  <si>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</si>
  <si>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</si>
  <si>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</si>
  <si>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</si>
  <si>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</si>
  <si>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</si>
  <si>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</si>
  <si>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</si>
  <si>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</si>
  <si>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</si>
  <si>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</si>
  <si>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</si>
  <si>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</si>
  <si>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</si>
  <si>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</si>
  <si>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</si>
  <si>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</si>
  <si>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</si>
  <si>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</si>
  <si>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</si>
  <si>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</si>
  <si>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</si>
  <si>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</si>
  <si>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</si>
  <si>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</si>
  <si>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</si>
  <si>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</si>
  <si>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</si>
  <si>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</si>
  <si>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</si>
  <si>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</si>
  <si>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</si>
  <si>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</si>
  <si>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</si>
  <si>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</si>
  <si>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</si>
  <si>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</si>
  <si>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</si>
  <si>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</si>
  <si>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</si>
  <si>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</si>
  <si>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</si>
  <si>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</si>
  <si>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</si>
  <si>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</si>
  <si>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</si>
  <si>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</si>
  <si>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</si>
  <si>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</si>
  <si>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</si>
  <si>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</si>
  <si>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</si>
  <si>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</si>
  <si>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</si>
  <si>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</si>
  <si>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</si>
  <si>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</si>
  <si>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</si>
  <si>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</si>
  <si>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</si>
  <si>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</si>
  <si>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</si>
  <si>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</si>
  <si>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</si>
  <si>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</si>
  <si>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</si>
  <si>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</si>
  <si>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</si>
  <si>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</si>
  <si>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</si>
  <si>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</si>
  <si>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</si>
  <si>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</si>
  <si>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</si>
  <si>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</si>
  <si>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</si>
  <si>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</si>
  <si>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</si>
  <si>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</si>
  <si>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</si>
  <si>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</si>
  <si>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</si>
  <si>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</si>
  <si>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</si>
  <si>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</si>
  <si>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</si>
  <si>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</si>
  <si>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</si>
  <si>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</si>
  <si>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</si>
  <si>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</si>
  <si>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</si>
  <si>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</si>
  <si>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</si>
  <si>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</si>
  <si>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</si>
  <si>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</si>
  <si>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</si>
  <si>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</si>
  <si>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</si>
  <si>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</si>
  <si>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</si>
  <si>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</si>
  <si>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</si>
  <si>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</si>
  <si>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</si>
  <si>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</si>
  <si>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</si>
  <si>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</si>
  <si>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</si>
  <si>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</si>
  <si>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</si>
  <si>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</si>
  <si>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</si>
  <si>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</si>
  <si>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</si>
  <si>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</si>
  <si>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</si>
  <si>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</si>
  <si>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</si>
  <si>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</si>
  <si>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</si>
  <si>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</si>
  <si>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</si>
  <si>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</si>
  <si>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</si>
  <si>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</si>
  <si>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</si>
  <si>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</si>
  <si>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</si>
  <si>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</si>
  <si>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</si>
  <si>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</si>
  <si>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</si>
  <si>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</si>
  <si>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</si>
  <si>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</si>
  <si>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</si>
  <si>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</si>
  <si>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</si>
  <si>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</si>
  <si>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</si>
  <si>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</si>
  <si>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</si>
  <si>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</si>
  <si>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</si>
  <si>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</si>
  <si>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</si>
  <si>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</si>
  <si>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</si>
  <si>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</si>
  <si>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</si>
  <si>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</si>
  <si>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</si>
  <si>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</si>
  <si>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</si>
  <si>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</si>
  <si>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</si>
  <si>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</si>
  <si>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</si>
  <si>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</si>
  <si>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</si>
  <si>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</si>
  <si>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</si>
  <si>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</si>
  <si>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</si>
  <si>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</si>
  <si>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</si>
  <si>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</si>
  <si>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</si>
  <si>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</si>
  <si>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</si>
  <si>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</si>
  <si>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</si>
  <si>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</si>
  <si>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</si>
  <si>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</si>
  <si>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</si>
  <si>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</si>
  <si>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</si>
  <si>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</si>
  <si>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</si>
  <si>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</si>
  <si>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</si>
  <si>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</si>
  <si>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</si>
  <si>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</si>
  <si>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</si>
  <si>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</si>
  <si>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</si>
  <si>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</si>
  <si>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</si>
  <si>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</si>
  <si>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</si>
  <si>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</si>
  <si>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</si>
  <si>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</si>
  <si>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</si>
  <si>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</si>
  <si>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</si>
  <si>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</si>
  <si>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</si>
  <si>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</si>
  <si>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</si>
  <si>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</si>
  <si>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</si>
  <si>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</si>
  <si>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</si>
  <si>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</si>
  <si>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</si>
  <si>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</si>
  <si>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</si>
  <si>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</si>
  <si>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</si>
  <si>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</si>
  <si>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</si>
  <si>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</si>
  <si>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</si>
  <si>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</si>
  <si>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</si>
  <si>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</si>
  <si>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</si>
  <si>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</si>
  <si>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</si>
  <si>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</si>
  <si>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</si>
  <si>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</si>
  <si>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</si>
  <si>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</si>
  <si>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</si>
  <si>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</si>
  <si>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</si>
  <si>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</si>
  <si>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</si>
  <si>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</si>
  <si>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</si>
  <si>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</si>
  <si>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</si>
  <si>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</si>
  <si>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</si>
  <si>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</si>
  <si>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</si>
  <si>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</si>
  <si>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</si>
  <si>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</si>
  <si>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</si>
  <si>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</si>
  <si>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</si>
  <si>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</si>
  <si>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</si>
  <si>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</si>
  <si>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</si>
  <si>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</si>
  <si>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</si>
  <si>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</si>
  <si>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</si>
  <si>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</si>
  <si>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</si>
  <si>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</si>
  <si>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</si>
  <si>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</si>
  <si>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</si>
  <si>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</si>
  <si>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</si>
  <si>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</si>
  <si>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</si>
  <si>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</si>
  <si>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</si>
  <si>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</si>
  <si>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</si>
  <si>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</si>
  <si>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</si>
  <si>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</si>
  <si>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</si>
  <si>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</si>
  <si>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</si>
  <si>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</si>
  <si>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</si>
  <si>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</si>
  <si>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</si>
  <si>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</si>
  <si>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</si>
  <si>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</si>
  <si>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</si>
  <si>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</si>
  <si>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</si>
  <si>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</si>
  <si>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</si>
  <si>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</si>
  <si>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</si>
  <si>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</si>
  <si>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</si>
  <si>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</si>
  <si>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</si>
  <si>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</si>
  <si>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</si>
  <si>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</si>
  <si>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</si>
  <si>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</si>
  <si>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</si>
  <si>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</si>
  <si>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</si>
  <si>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</si>
  <si>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</si>
  <si>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</si>
  <si>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</si>
  <si>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</si>
  <si>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</si>
  <si>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</si>
  <si>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</si>
  <si>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</si>
  <si>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</si>
  <si>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</si>
  <si>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</si>
  <si>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</si>
  <si>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</si>
  <si>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</si>
  <si>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</si>
  <si>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</si>
  <si>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</si>
  <si>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</si>
  <si>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</si>
  <si>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</si>
  <si>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</si>
  <si>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</si>
  <si>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</si>
  <si>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</si>
  <si>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</si>
  <si>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</si>
  <si>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</si>
  <si>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</si>
  <si>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</si>
  <si>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</si>
  <si>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</si>
  <si>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</si>
  <si>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</si>
  <si>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</si>
  <si>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</si>
  <si>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</si>
  <si>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</si>
  <si>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</si>
  <si>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</si>
  <si>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</si>
  <si>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</si>
  <si>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</si>
  <si>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</si>
  <si>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</si>
  <si>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</si>
  <si>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</si>
  <si>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</si>
  <si>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</si>
  <si>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</si>
  <si>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</si>
  <si>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</si>
  <si>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</si>
  <si>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</si>
  <si>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</si>
  <si>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</si>
  <si>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</si>
  <si>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</si>
  <si>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</si>
  <si>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</si>
  <si>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</si>
  <si>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</si>
  <si>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</si>
  <si>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</si>
  <si>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</si>
  <si>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</si>
  <si>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</si>
  <si>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</si>
  <si>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</si>
  <si>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</si>
  <si>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</si>
  <si>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</si>
  <si>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</si>
  <si>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</si>
  <si>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</si>
  <si>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</si>
  <si>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</si>
  <si>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</si>
  <si>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</si>
  <si>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</si>
  <si>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</si>
  <si>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</si>
  <si>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</si>
  <si>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</si>
  <si>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</si>
  <si>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</si>
  <si>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</si>
  <si>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</si>
  <si>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</si>
  <si>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</si>
  <si>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</si>
  <si>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</si>
  <si>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</si>
  <si>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</si>
  <si>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</si>
  <si>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</si>
  <si>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</si>
  <si>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</si>
  <si>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</si>
  <si>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</si>
  <si>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</si>
  <si>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</si>
  <si>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</si>
  <si>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</si>
  <si>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</si>
  <si>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</si>
  <si>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</si>
  <si>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</si>
  <si>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</si>
  <si>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</si>
  <si>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</si>
  <si>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</si>
  <si>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</si>
  <si>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</si>
  <si>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</si>
  <si>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</si>
  <si>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</si>
  <si>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</si>
  <si>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</si>
  <si>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</si>
  <si>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</si>
  <si>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</si>
  <si>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</si>
  <si>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</si>
  <si>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</si>
  <si>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</si>
  <si>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</si>
  <si>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</si>
  <si>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</si>
  <si>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</si>
  <si>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</si>
  <si>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</si>
  <si>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</si>
  <si>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</si>
  <si>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</si>
  <si>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</si>
  <si>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</si>
  <si>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</si>
  <si>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</si>
  <si>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</si>
  <si>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</si>
  <si>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</si>
  <si>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</si>
  <si>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</si>
  <si>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</si>
  <si>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</si>
  <si>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</si>
  <si>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</si>
  <si>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</si>
  <si>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</si>
  <si>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</si>
  <si>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</si>
  <si>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</si>
  <si>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</si>
  <si>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</si>
  <si>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</si>
  <si>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</si>
  <si>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</si>
  <si>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</si>
  <si>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</si>
  <si>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</si>
  <si>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</si>
  <si>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</si>
  <si>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</si>
  <si>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</si>
  <si>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</si>
  <si>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</si>
  <si>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</si>
  <si>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</si>
  <si>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</si>
  <si>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</si>
  <si>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</si>
  <si>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</si>
  <si>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</si>
  <si>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</si>
  <si>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</si>
  <si>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</si>
  <si>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</si>
  <si>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</si>
  <si>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</si>
  <si>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</si>
  <si>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</si>
  <si>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</si>
  <si>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</si>
  <si>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</si>
  <si>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</si>
  <si>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</si>
  <si>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</si>
  <si>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</si>
  <si>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</si>
  <si>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</si>
  <si>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</si>
  <si>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</si>
  <si>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</si>
  <si>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</si>
  <si>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</si>
  <si>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</si>
  <si>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</si>
  <si>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</si>
  <si>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</si>
  <si>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</si>
  <si>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</si>
  <si>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</si>
  <si>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</si>
  <si>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</si>
  <si>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</si>
  <si>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</si>
  <si>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</si>
  <si>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</si>
  <si>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</si>
  <si>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</si>
  <si>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</si>
  <si>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</si>
  <si>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</si>
  <si>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</si>
  <si>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</si>
  <si>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</si>
  <si>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</si>
  <si>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</si>
  <si>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</si>
  <si>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</si>
  <si>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</si>
  <si>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</si>
  <si>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</si>
  <si>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</si>
  <si>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</si>
  <si>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</si>
  <si>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</si>
  <si>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</si>
  <si>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</si>
  <si>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</si>
  <si>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</si>
  <si>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</si>
  <si>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</si>
  <si>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</si>
  <si>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</si>
  <si>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</si>
  <si>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</si>
  <si>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</si>
  <si>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</si>
  <si>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</si>
  <si>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</si>
  <si>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</si>
  <si>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</si>
  <si>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</si>
  <si>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</si>
  <si>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</si>
  <si>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</si>
  <si>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</si>
  <si>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</si>
  <si>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</si>
  <si>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</si>
  <si>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</si>
  <si>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</si>
  <si>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</si>
  <si>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</si>
  <si>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</si>
  <si>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</si>
  <si>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</si>
  <si>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</si>
  <si>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</si>
  <si>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</si>
  <si>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</si>
  <si>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</si>
  <si>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</si>
  <si>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</si>
  <si>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</si>
  <si>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</si>
  <si>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</si>
  <si>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</si>
  <si>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</si>
  <si>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</si>
  <si>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</si>
  <si>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</si>
  <si>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</si>
  <si>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</si>
  <si>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</si>
  <si>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</si>
  <si>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</si>
  <si>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</si>
  <si>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</si>
  <si>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</si>
  <si>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</si>
  <si>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</si>
  <si>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</si>
  <si>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</si>
  <si>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</si>
  <si>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</si>
  <si>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</si>
  <si>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</si>
  <si>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</si>
  <si>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</si>
  <si>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</si>
  <si>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</si>
  <si>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</si>
  <si>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</si>
  <si>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</si>
  <si>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</si>
  <si>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</si>
  <si>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</si>
  <si>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</si>
  <si>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</si>
  <si>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</si>
  <si>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</si>
  <si>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</si>
  <si>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</si>
  <si>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</si>
  <si>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</si>
  <si>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</si>
  <si>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</si>
  <si>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</si>
  <si>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</si>
  <si>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</si>
  <si>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</si>
  <si>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</si>
  <si>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</si>
  <si>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</si>
  <si>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</si>
  <si>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</si>
  <si>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</si>
  <si>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</si>
  <si>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</si>
  <si>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</si>
  <si>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</si>
  <si>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</si>
  <si>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</si>
  <si>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</si>
  <si>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</si>
  <si>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</si>
  <si>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</si>
  <si>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</si>
  <si>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</si>
  <si>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</si>
  <si>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</si>
  <si>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</si>
  <si>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</si>
  <si>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</si>
  <si>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</si>
  <si>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</si>
  <si>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</si>
  <si>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</si>
  <si>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</si>
  <si>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</si>
  <si>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</si>
  <si>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</si>
  <si>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</si>
  <si>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</si>
  <si>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</si>
  <si>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</si>
  <si>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</si>
  <si>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</si>
  <si>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</si>
  <si>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</si>
  <si>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</si>
  <si>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</si>
  <si>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</si>
  <si>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</si>
  <si>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</si>
  <si>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</si>
  <si>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</si>
  <si>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</si>
  <si>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</si>
  <si>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</si>
  <si>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</si>
  <si>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</si>
  <si>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</si>
  <si>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</si>
  <si>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</si>
  <si>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</si>
  <si>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</si>
  <si>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</si>
  <si>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</si>
  <si>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</si>
  <si>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</si>
  <si>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</si>
  <si>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</si>
  <si>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</si>
  <si>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</si>
  <si>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</si>
  <si>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</si>
  <si>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</si>
  <si>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</si>
  <si>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</si>
  <si>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</si>
  <si>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</si>
  <si>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</si>
  <si>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</si>
  <si>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</si>
  <si>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</si>
  <si>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</si>
  <si>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</si>
  <si>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</si>
  <si>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</si>
  <si>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</si>
  <si>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</si>
  <si>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</si>
  <si>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</si>
  <si>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</si>
  <si>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</si>
  <si>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</si>
  <si>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</si>
  <si>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</si>
  <si>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</si>
  <si>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</si>
  <si>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</si>
  <si>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</si>
  <si>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</si>
  <si>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</si>
  <si>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</si>
  <si>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</si>
  <si>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</si>
  <si>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</si>
  <si>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</si>
  <si>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</si>
  <si>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</si>
  <si>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</si>
  <si>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</si>
  <si>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</si>
  <si>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</si>
  <si>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</si>
  <si>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</si>
  <si>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</si>
  <si>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</si>
  <si>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</si>
  <si>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</si>
  <si>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</si>
  <si>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</si>
  <si>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</si>
  <si>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</si>
  <si>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</si>
  <si>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</si>
  <si>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</si>
  <si>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</si>
  <si>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</si>
  <si>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</si>
  <si>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</si>
  <si>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</si>
  <si>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</si>
  <si>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</si>
  <si>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</si>
  <si>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</si>
  <si>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</si>
  <si>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</si>
  <si>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</si>
  <si>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</si>
  <si>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</si>
  <si>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</si>
  <si>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</si>
  <si>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</si>
  <si>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</si>
  <si>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</si>
  <si>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</si>
  <si>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</si>
  <si>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</si>
  <si>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</si>
  <si>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</si>
  <si>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</si>
  <si>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</si>
  <si>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</si>
  <si>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</si>
  <si>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</si>
  <si>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</si>
  <si>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</si>
  <si>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</si>
  <si>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</si>
  <si>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</si>
  <si>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</si>
  <si>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</si>
  <si>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</si>
  <si>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</si>
  <si>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</si>
  <si>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</si>
  <si>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</si>
  <si>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</si>
  <si>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</si>
  <si>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</si>
  <si>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</si>
  <si>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</si>
  <si>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</si>
  <si>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</si>
  <si>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</si>
  <si>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</si>
  <si>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</si>
  <si>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</si>
  <si>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</si>
  <si>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</si>
  <si>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</si>
  <si>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</si>
  <si>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</si>
  <si>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</si>
  <si>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</si>
  <si>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</si>
  <si>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</si>
  <si>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</si>
  <si>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</si>
  <si>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</si>
  <si>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</si>
  <si>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</si>
  <si>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</si>
  <si>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</si>
  <si>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</si>
  <si>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</si>
  <si>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</si>
  <si>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</si>
  <si>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</si>
  <si>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</si>
  <si>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</si>
  <si>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</si>
  <si>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</si>
  <si>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</si>
  <si>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</si>
  <si>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</si>
  <si>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</si>
  <si>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</si>
  <si>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</si>
  <si>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</si>
  <si>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</si>
  <si>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</si>
  <si>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</si>
  <si>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</si>
  <si>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</si>
  <si>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</si>
  <si>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</si>
  <si>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</si>
  <si>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</si>
  <si>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</si>
  <si>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</si>
  <si>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</si>
  <si>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</si>
  <si>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</si>
  <si>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</si>
  <si>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</si>
  <si>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</si>
  <si>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</si>
  <si>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</si>
  <si>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</si>
  <si>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</si>
  <si>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</si>
  <si>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</si>
  <si>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</si>
  <si>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</si>
  <si>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</si>
  <si>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</si>
  <si>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</si>
  <si>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</si>
  <si>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</si>
  <si>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</si>
  <si>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</si>
  <si>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</si>
  <si>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</si>
  <si>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</si>
  <si>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</si>
  <si>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</si>
  <si>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</si>
  <si>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</si>
  <si>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</si>
  <si>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</si>
  <si>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</si>
  <si>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</si>
  <si>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</si>
  <si>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</si>
  <si>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</si>
  <si>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</si>
  <si>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</si>
  <si>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</si>
  <si>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</si>
  <si>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</si>
  <si>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</si>
  <si>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</si>
  <si>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</si>
  <si>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</si>
  <si>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</si>
  <si>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</si>
  <si>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</si>
  <si>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</si>
  <si>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</si>
  <si>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</si>
  <si>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</si>
  <si>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</si>
  <si>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</si>
  <si>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</si>
  <si>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</si>
  <si>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</si>
  <si>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</si>
  <si>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</si>
  <si>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</si>
  <si>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</si>
  <si>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</si>
  <si>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</si>
  <si>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</si>
  <si>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</si>
  <si>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</si>
  <si>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</si>
  <si>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</si>
  <si>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</si>
  <si>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</si>
  <si>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</si>
  <si>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</si>
  <si>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</si>
  <si>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</si>
  <si>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</si>
  <si>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</si>
  <si>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</si>
  <si>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</si>
  <si>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</si>
  <si>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</si>
  <si>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</si>
  <si>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</si>
  <si>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</si>
  <si>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</si>
  <si>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</si>
  <si>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</si>
  <si>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</si>
  <si>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</si>
  <si>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</si>
  <si>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</si>
  <si>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</si>
  <si>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</si>
  <si>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</si>
  <si>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</si>
  <si>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</si>
  <si>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</si>
  <si>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</si>
  <si>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</si>
  <si>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</si>
  <si>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</si>
  <si>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</si>
  <si>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</si>
  <si>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</si>
  <si>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</si>
  <si>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</si>
  <si>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</si>
  <si>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</si>
  <si>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</si>
  <si>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</si>
  <si>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</si>
  <si>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</si>
  <si>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</si>
  <si>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</si>
  <si>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</si>
  <si>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</si>
  <si>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</si>
  <si>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</si>
  <si>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</si>
  <si>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</si>
  <si>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</si>
  <si>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</si>
  <si>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</si>
  <si>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</si>
  <si>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</si>
  <si>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</si>
  <si>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</si>
  <si>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</si>
  <si>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</si>
  <si>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</si>
  <si>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</si>
  <si>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</si>
  <si>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</si>
  <si>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</si>
  <si>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</si>
  <si>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</si>
  <si>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</si>
  <si>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</si>
  <si>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</si>
  <si>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</si>
  <si>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</si>
  <si>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</si>
  <si>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</si>
  <si>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</si>
  <si>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</si>
  <si>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</si>
  <si>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</si>
  <si>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</si>
  <si>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</si>
  <si>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</si>
  <si>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</si>
  <si>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</si>
  <si>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</si>
  <si>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</si>
  <si>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</si>
  <si>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</si>
  <si>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</si>
  <si>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</si>
  <si>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</si>
  <si>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</si>
  <si>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</si>
  <si>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</si>
  <si>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</si>
  <si>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</si>
  <si>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</si>
  <si>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</si>
  <si>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</si>
  <si>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</si>
  <si>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</si>
  <si>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</si>
  <si>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</si>
  <si>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</si>
  <si>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</si>
  <si>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</si>
  <si>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</si>
  <si>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</si>
  <si>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</si>
  <si>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</si>
  <si>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</si>
  <si>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</si>
  <si>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</si>
  <si>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</si>
  <si>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</si>
  <si>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</si>
  <si>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</si>
  <si>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</si>
  <si>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</si>
  <si>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</si>
  <si>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</si>
  <si>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</si>
  <si>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</si>
  <si>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</si>
  <si>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</si>
  <si>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</si>
  <si>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</si>
  <si>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</si>
  <si>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</si>
  <si>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</si>
  <si>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</si>
  <si>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</si>
  <si>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</si>
  <si>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</si>
  <si>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</si>
  <si>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</si>
  <si>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</si>
  <si>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</si>
  <si>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</si>
  <si>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</si>
  <si>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</si>
  <si>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</si>
  <si>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</si>
  <si>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</si>
  <si>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</si>
  <si>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</si>
  <si>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</si>
  <si>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</si>
  <si>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</si>
  <si>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</si>
  <si>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</si>
  <si>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</si>
  <si>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</si>
  <si>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</si>
  <si>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</si>
  <si>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</si>
  <si>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</si>
  <si>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</si>
  <si>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</si>
  <si>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</si>
  <si>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</si>
  <si>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</si>
  <si>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</si>
  <si>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</si>
  <si>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</si>
  <si>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</si>
  <si>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</si>
  <si>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</si>
  <si>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</si>
  <si>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</si>
  <si>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</si>
  <si>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</si>
  <si>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</si>
  <si>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</si>
  <si>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</si>
  <si>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</si>
  <si>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</si>
  <si>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</si>
  <si>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</si>
  <si>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</si>
  <si>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</si>
  <si>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</si>
  <si>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</si>
  <si>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</si>
  <si>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</si>
  <si>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</si>
  <si>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</si>
  <si>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</si>
  <si>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</si>
  <si>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</si>
  <si>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</si>
  <si>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</si>
  <si>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</si>
  <si>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</si>
  <si>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</si>
  <si>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</si>
  <si>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</si>
  <si>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</si>
  <si>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</si>
  <si>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</si>
  <si>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</si>
  <si>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</si>
  <si>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</si>
  <si>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</si>
  <si>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</si>
  <si>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</si>
  <si>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</si>
  <si>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</si>
  <si>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</si>
  <si>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</si>
  <si>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</si>
  <si>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</si>
  <si>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</si>
  <si>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</si>
  <si>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</si>
  <si>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</si>
  <si>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</si>
  <si>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</si>
  <si>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</si>
  <si>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</si>
  <si>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</si>
  <si>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</si>
  <si>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</si>
  <si>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</si>
  <si>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</si>
  <si>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</si>
  <si>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</si>
  <si>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</si>
  <si>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</si>
  <si>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</si>
  <si>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</si>
  <si>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</si>
  <si>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</si>
  <si>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</si>
  <si>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</si>
  <si>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</si>
  <si>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</si>
  <si>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</si>
  <si>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</si>
  <si>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</si>
  <si>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</si>
  <si>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</si>
  <si>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</si>
  <si>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</si>
  <si>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</si>
  <si>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</si>
  <si>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</si>
  <si>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</si>
  <si>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</si>
  <si>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</si>
  <si>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</si>
  <si>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</si>
  <si>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</si>
  <si>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</si>
  <si>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</si>
  <si>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</si>
  <si>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</si>
  <si>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</si>
  <si>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</si>
  <si>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</si>
  <si>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</si>
  <si>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</si>
  <si>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</si>
  <si>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</si>
  <si>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</si>
  <si>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</si>
  <si>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</si>
  <si>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</si>
  <si>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</si>
  <si>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</si>
  <si>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</si>
  <si>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</si>
  <si>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</si>
  <si>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</si>
  <si>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</si>
  <si>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</si>
  <si>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</si>
  <si>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</si>
  <si>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</si>
  <si>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</si>
  <si>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</si>
  <si>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</si>
  <si>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</si>
  <si>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</si>
  <si>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</si>
  <si>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</si>
  <si>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</si>
  <si>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</si>
  <si>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</si>
  <si>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</si>
  <si>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</si>
  <si>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</si>
  <si>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</si>
  <si>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</si>
  <si>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</si>
  <si>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</si>
  <si>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</si>
  <si>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</si>
  <si>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</si>
  <si>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</si>
  <si>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</si>
  <si>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</si>
  <si>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</si>
  <si>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</si>
  <si>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</si>
  <si>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</si>
  <si>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</si>
  <si>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</si>
  <si>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</si>
  <si>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</si>
  <si>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</si>
  <si>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</si>
  <si>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</si>
  <si>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</si>
  <si>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</si>
  <si>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</si>
  <si>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</si>
  <si>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</si>
  <si>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</si>
  <si>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</si>
  <si>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</si>
  <si>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</si>
  <si>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</si>
  <si>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</si>
  <si>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</si>
  <si>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</si>
  <si>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</si>
  <si>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</si>
  <si>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</si>
  <si>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</si>
  <si>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</si>
  <si>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</si>
  <si>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</si>
  <si>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</si>
  <si>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</si>
  <si>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</si>
  <si>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</si>
  <si>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</si>
  <si>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</si>
  <si>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</si>
  <si>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</si>
  <si>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</si>
  <si>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</si>
  <si>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</si>
  <si>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</si>
  <si>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</si>
  <si>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</si>
  <si>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</si>
  <si>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</si>
  <si>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</si>
  <si>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</si>
  <si>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</si>
  <si>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</si>
  <si>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</si>
  <si>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</si>
  <si>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</si>
  <si>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</si>
  <si>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</si>
  <si>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</si>
  <si>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</si>
  <si>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</si>
  <si>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</si>
  <si>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</si>
  <si>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</si>
  <si>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</si>
  <si>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</si>
  <si>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</si>
  <si>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</si>
  <si>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</si>
  <si>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</si>
  <si>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</si>
  <si>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</si>
  <si>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</si>
  <si>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</si>
  <si>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</si>
  <si>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</si>
  <si>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</si>
  <si>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</si>
  <si>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</si>
  <si>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</si>
  <si>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</si>
  <si>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</si>
  <si>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</si>
  <si>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</si>
  <si>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</si>
  <si>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</si>
  <si>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</si>
  <si>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</si>
  <si>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</si>
  <si>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</si>
  <si>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</si>
  <si>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</si>
  <si>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</si>
  <si>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</si>
  <si>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</si>
  <si>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</si>
  <si>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</si>
  <si>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</si>
  <si>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</si>
  <si>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</si>
  <si>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</si>
  <si>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</si>
  <si>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</si>
  <si>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</si>
  <si>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</si>
  <si>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</si>
  <si>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</si>
  <si>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</si>
  <si>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</si>
  <si>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</si>
  <si>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</si>
  <si>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</si>
  <si>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</si>
  <si>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</si>
  <si>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</si>
  <si>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</si>
  <si>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</si>
  <si>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</si>
  <si>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</si>
  <si>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</si>
  <si>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</si>
  <si>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</si>
  <si>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</si>
  <si>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</si>
  <si>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</si>
  <si>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</si>
  <si>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</si>
  <si>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</si>
  <si>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</si>
  <si>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</si>
  <si>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</si>
  <si>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</si>
  <si>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</si>
  <si>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</si>
  <si>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</si>
  <si>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</si>
  <si>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</si>
  <si>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</si>
  <si>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</si>
  <si>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</si>
  <si>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</si>
  <si>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</si>
  <si>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</si>
  <si>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</si>
  <si>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</si>
  <si>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</si>
  <si>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</si>
  <si>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</si>
  <si>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</si>
  <si>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</si>
  <si>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</si>
  <si>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</si>
  <si>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</si>
  <si>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</si>
  <si>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</si>
  <si>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</si>
  <si>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</si>
  <si>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</si>
  <si>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</si>
  <si>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</si>
  <si>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</si>
  <si>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</si>
  <si>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</si>
  <si>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</si>
  <si>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</si>
  <si>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</si>
  <si>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</si>
  <si>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</si>
  <si>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</si>
  <si>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</si>
  <si>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</si>
  <si>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</si>
  <si>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</si>
  <si>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</si>
  <si>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</si>
  <si>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</si>
  <si>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</si>
  <si>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</si>
  <si>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</si>
  <si>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</si>
  <si>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</si>
  <si>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</si>
  <si>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</si>
  <si>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</si>
  <si>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</si>
  <si>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</si>
  <si>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</si>
  <si>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</si>
  <si>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</si>
  <si>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</si>
  <si>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</si>
  <si>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</si>
  <si>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</si>
  <si>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</si>
  <si>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</si>
  <si>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</si>
  <si>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</si>
  <si>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</si>
  <si>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</si>
  <si>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</si>
  <si>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</si>
  <si>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</si>
  <si>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</si>
  <si>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</si>
  <si>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</si>
  <si>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</si>
  <si>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</si>
  <si>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</si>
  <si>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</si>
  <si>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</si>
  <si>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</si>
  <si>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</si>
  <si>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</si>
  <si>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</si>
  <si>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</si>
  <si>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</si>
  <si>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</si>
  <si>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</si>
  <si>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</si>
  <si>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</si>
  <si>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</si>
  <si>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</si>
  <si>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</si>
  <si>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</si>
  <si>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</si>
  <si>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</si>
  <si>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</si>
  <si>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</si>
  <si>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</si>
  <si>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</si>
  <si>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</si>
  <si>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</si>
  <si>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</si>
  <si>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</si>
  <si>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</si>
  <si>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</si>
  <si>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</si>
  <si>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</si>
  <si>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</si>
  <si>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</si>
  <si>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</si>
  <si>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</si>
  <si>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</si>
  <si>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</si>
  <si>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</si>
  <si>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</si>
  <si>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</si>
  <si>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</si>
  <si>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</si>
  <si>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</si>
  <si>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</si>
  <si>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</si>
  <si>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</si>
  <si>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</si>
  <si>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</si>
  <si>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</si>
  <si>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</si>
  <si>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</si>
  <si>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</si>
  <si>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</si>
  <si>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</si>
  <si>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</si>
  <si>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</si>
  <si>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</si>
  <si>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</si>
  <si>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</si>
  <si>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</si>
  <si>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</si>
  <si>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</si>
  <si>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</si>
  <si>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</si>
  <si>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</si>
  <si>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</si>
  <si>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</si>
  <si>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</si>
  <si>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</si>
  <si>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</si>
  <si>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</si>
  <si>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</si>
  <si>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</si>
  <si>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</si>
  <si>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</si>
  <si>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</si>
  <si>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</si>
  <si>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</si>
  <si>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</si>
  <si>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</si>
  <si>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</si>
  <si>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</si>
  <si>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</si>
  <si>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</si>
  <si>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</si>
  <si>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</si>
  <si>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</si>
  <si>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</si>
  <si>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</si>
  <si>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</si>
  <si>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</si>
  <si>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</si>
  <si>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</si>
  <si>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</si>
  <si>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</si>
  <si>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</si>
  <si>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</si>
  <si>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</si>
  <si>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</si>
  <si>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</si>
  <si>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</si>
  <si>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</si>
  <si>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</si>
  <si>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</si>
  <si>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</si>
  <si>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</si>
  <si>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</si>
  <si>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</si>
  <si>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</si>
  <si>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</si>
  <si>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</si>
  <si>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</si>
  <si>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</si>
  <si>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</si>
  <si>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</si>
  <si>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</si>
  <si>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</si>
  <si>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</si>
  <si>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</si>
  <si>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</si>
  <si>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</si>
  <si>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</si>
  <si>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</si>
  <si>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</si>
  <si>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</si>
  <si>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</si>
  <si>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</si>
  <si>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</si>
  <si>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</si>
  <si>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</si>
  <si>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</si>
  <si>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</si>
  <si>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</si>
  <si>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</si>
  <si>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</si>
  <si>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</si>
  <si>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</si>
  <si>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</si>
  <si>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</si>
  <si>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</si>
  <si>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</si>
  <si>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</si>
  <si>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</si>
  <si>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</si>
  <si>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</si>
  <si>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</si>
  <si>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</si>
  <si>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</si>
  <si>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</si>
  <si>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</si>
  <si>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</si>
  <si>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</si>
  <si>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</si>
  <si>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</si>
  <si>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</si>
  <si>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</si>
  <si>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</si>
  <si>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</si>
  <si>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</si>
  <si>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</si>
  <si>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</si>
  <si>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</si>
  <si>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</si>
  <si>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</si>
  <si>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</si>
  <si>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</si>
  <si>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</si>
  <si>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</si>
  <si>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</si>
  <si>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</si>
  <si>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</si>
  <si>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</si>
  <si>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</si>
  <si>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</si>
  <si>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</si>
  <si>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</si>
  <si>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</si>
  <si>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</si>
  <si>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</si>
  <si>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</si>
  <si>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</si>
  <si>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</si>
  <si>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</si>
  <si>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</si>
  <si>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</si>
  <si>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</si>
  <si>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</si>
  <si>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</si>
  <si>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</si>
  <si>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</si>
  <si>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</si>
  <si>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</si>
  <si>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</si>
  <si>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</si>
  <si>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</si>
  <si>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</si>
  <si>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</si>
  <si>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</si>
  <si>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</si>
  <si>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</si>
  <si>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</si>
  <si>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</si>
  <si>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</si>
  <si>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</si>
  <si>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</si>
  <si>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</si>
  <si>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</si>
  <si>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</si>
  <si>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</si>
  <si>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</si>
  <si>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</si>
  <si>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</si>
  <si>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</si>
  <si>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</si>
  <si>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</si>
  <si>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</si>
  <si>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</si>
  <si>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</si>
  <si>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</si>
  <si>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</si>
  <si>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</si>
  <si>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</si>
  <si>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</si>
  <si>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</si>
  <si>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</si>
  <si>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</si>
  <si>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</si>
  <si>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</si>
  <si>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</si>
  <si>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</si>
  <si>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</si>
  <si>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</si>
  <si>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</si>
  <si>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</si>
  <si>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</si>
  <si>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</si>
  <si>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</si>
  <si>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</si>
  <si>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</si>
  <si>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</si>
  <si>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</si>
  <si>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</si>
  <si>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</si>
  <si>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</si>
  <si>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</si>
  <si>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</si>
  <si>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</si>
  <si>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</si>
  <si>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</si>
  <si>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</si>
  <si>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</si>
  <si>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</si>
  <si>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</si>
  <si>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</si>
  <si>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</si>
  <si>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</si>
  <si>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</si>
  <si>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</si>
  <si>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</si>
  <si>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</si>
  <si>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</si>
  <si>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</si>
  <si>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</si>
  <si>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</si>
  <si>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</si>
  <si>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</si>
  <si>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</si>
  <si>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</si>
  <si>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</si>
  <si>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</si>
  <si>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</si>
  <si>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</si>
  <si>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</si>
  <si>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</si>
  <si>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</si>
  <si>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</si>
  <si>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</si>
  <si>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</si>
  <si>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</si>
  <si>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</si>
  <si>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</si>
  <si>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</si>
  <si>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</si>
  <si>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</si>
  <si>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</si>
  <si>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</si>
  <si>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</si>
  <si>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</si>
  <si>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</si>
  <si>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</si>
  <si>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</si>
  <si>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</si>
  <si>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</si>
  <si>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</si>
  <si>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</si>
  <si>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</si>
  <si>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</si>
  <si>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</si>
  <si>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</si>
  <si>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</si>
  <si>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</si>
  <si>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</si>
  <si>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</si>
  <si>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</si>
  <si>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</si>
  <si>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</si>
  <si>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</si>
  <si>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</si>
  <si>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</si>
  <si>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</si>
  <si>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</si>
  <si>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</si>
  <si>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</si>
  <si>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</si>
  <si>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</si>
  <si>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</si>
  <si>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</si>
  <si>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</si>
  <si>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</si>
  <si>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</si>
  <si>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</si>
  <si>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</si>
  <si>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</si>
  <si>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</si>
  <si>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</si>
  <si>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</si>
  <si>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</si>
  <si>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</si>
  <si>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</si>
  <si>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</si>
  <si>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</si>
  <si>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</si>
  <si>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</si>
  <si>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</si>
  <si>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</si>
  <si>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</si>
  <si>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</si>
  <si>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</si>
  <si>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</si>
  <si>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</si>
  <si>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</si>
  <si>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</si>
  <si>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</si>
  <si>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</si>
  <si>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</si>
  <si>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</si>
  <si>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</si>
  <si>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</si>
  <si>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</si>
  <si>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</si>
  <si>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</si>
  <si>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</si>
  <si>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</si>
  <si>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</si>
  <si>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</si>
  <si>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</si>
  <si>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</si>
  <si>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</si>
  <si>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</si>
  <si>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</si>
  <si>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</si>
  <si>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</si>
  <si>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</si>
  <si>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</si>
  <si>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</si>
  <si>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</si>
  <si>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</si>
  <si>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</si>
  <si>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</si>
  <si>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</si>
  <si>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</si>
  <si>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</si>
  <si>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</si>
  <si>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</si>
  <si>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</si>
  <si>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</si>
  <si>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</si>
  <si>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</si>
  <si>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</si>
  <si>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</si>
  <si>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</si>
  <si>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</si>
  <si>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</si>
  <si>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</si>
  <si>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</si>
  <si>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</si>
  <si>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</si>
  <si>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</si>
  <si>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</si>
  <si>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</si>
  <si>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</si>
  <si>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</si>
  <si>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</si>
  <si>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</si>
  <si>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</si>
  <si>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</si>
  <si>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</si>
  <si>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</si>
  <si>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</si>
  <si>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</si>
  <si>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</si>
  <si>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</si>
  <si>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</si>
  <si>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</si>
  <si>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</si>
  <si>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</si>
  <si>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</si>
  <si>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</si>
  <si>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</si>
  <si>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</si>
  <si>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</si>
  <si>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</si>
  <si>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</si>
  <si>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</si>
  <si>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</si>
  <si>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</si>
  <si>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</si>
  <si>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</si>
  <si>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</si>
  <si>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</si>
  <si>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</si>
  <si>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</si>
  <si>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</si>
  <si>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</si>
  <si>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</si>
  <si>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</si>
  <si>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</si>
  <si>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</si>
  <si>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</si>
  <si>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</si>
  <si>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</si>
  <si>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</si>
  <si>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</si>
  <si>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</si>
  <si>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</si>
  <si>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</si>
  <si>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</si>
  <si>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</si>
  <si>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</si>
  <si>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</si>
  <si>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</si>
  <si>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</si>
  <si>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</si>
  <si>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</si>
  <si>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</si>
  <si>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</si>
  <si>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</si>
  <si>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</si>
  <si>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</si>
  <si>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</si>
  <si>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</si>
  <si>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</si>
  <si>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</si>
  <si>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</si>
  <si>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</si>
  <si>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</si>
  <si>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</si>
  <si>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</si>
  <si>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</si>
  <si>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</si>
  <si>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</si>
  <si>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</si>
  <si>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</si>
  <si>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</si>
  <si>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</si>
  <si>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</si>
  <si>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</si>
  <si>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</si>
  <si>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</si>
  <si>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</si>
  <si>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</si>
  <si>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</si>
  <si>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</si>
  <si>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</si>
  <si>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</si>
  <si>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</si>
  <si>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</si>
  <si>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</si>
  <si>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</si>
  <si>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</si>
  <si>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</si>
  <si>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</si>
  <si>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</si>
  <si>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</si>
  <si>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</si>
  <si>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</si>
  <si>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</si>
  <si>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</si>
  <si>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</si>
  <si>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</si>
  <si>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</si>
  <si>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</si>
  <si>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</si>
  <si>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</si>
  <si>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</si>
  <si>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</si>
  <si>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</si>
  <si>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</si>
  <si>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</si>
  <si>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</si>
  <si>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</si>
  <si>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</si>
  <si>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</si>
  <si>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</si>
  <si>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</si>
  <si>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</si>
  <si>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</si>
  <si>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</si>
  <si>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</si>
  <si>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</si>
  <si>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</si>
  <si>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</si>
  <si>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</si>
  <si>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</si>
  <si>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</si>
  <si>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</si>
  <si>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</si>
  <si>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</si>
  <si>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</si>
  <si>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</si>
  <si>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</si>
  <si>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</si>
  <si>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</si>
  <si>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</si>
  <si>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</si>
  <si>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</si>
  <si>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</si>
  <si>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</si>
  <si>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</si>
  <si>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</si>
  <si>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</si>
  <si>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</si>
  <si>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</si>
  <si>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</si>
  <si>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</si>
  <si>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</si>
  <si>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</si>
  <si>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</si>
  <si>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</si>
  <si>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</si>
  <si>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</si>
  <si>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</si>
  <si>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</si>
  <si>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</si>
  <si>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</si>
  <si>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</si>
  <si>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</si>
  <si>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</si>
  <si>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</si>
  <si>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</si>
  <si>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</si>
  <si>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</si>
  <si>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</si>
  <si>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</si>
  <si>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</si>
  <si>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</si>
  <si>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</si>
  <si>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</si>
  <si>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</si>
  <si>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</si>
  <si>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</si>
  <si>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</si>
  <si>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</si>
  <si>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</si>
  <si>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</si>
  <si>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</si>
  <si>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</si>
  <si>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</si>
  <si>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</si>
  <si>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</si>
  <si>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</si>
  <si>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</si>
  <si>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</si>
  <si>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</si>
  <si>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</si>
  <si>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</si>
  <si>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</si>
  <si>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</si>
  <si>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</si>
  <si>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</si>
  <si>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</si>
  <si>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</si>
  <si>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</si>
  <si>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</si>
  <si>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</si>
  <si>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</si>
  <si>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</si>
  <si>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</si>
  <si>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</si>
  <si>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</si>
  <si>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</si>
  <si>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</si>
  <si>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</si>
  <si>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</si>
  <si>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</si>
  <si>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</si>
  <si>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</si>
  <si>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</si>
  <si>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</si>
  <si>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</si>
  <si>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</si>
  <si>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</si>
  <si>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</si>
  <si>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</si>
  <si>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</si>
  <si>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</si>
  <si>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</si>
  <si>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</si>
  <si>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</si>
  <si>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</si>
  <si>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</si>
  <si>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</si>
  <si>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</si>
  <si>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</si>
  <si>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</si>
  <si>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</si>
  <si>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</si>
  <si>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</si>
  <si>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</si>
  <si>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</si>
  <si>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</si>
  <si>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</si>
  <si>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</si>
  <si>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</si>
  <si>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</si>
  <si>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</si>
  <si>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</si>
  <si>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</si>
  <si>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</si>
  <si>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</si>
  <si>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</si>
  <si>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</si>
  <si>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</si>
  <si>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</si>
  <si>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</si>
  <si>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</si>
  <si>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</si>
  <si>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</si>
  <si>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</si>
  <si>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</si>
  <si>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</si>
  <si>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</si>
  <si>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</si>
  <si>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</si>
  <si>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</si>
  <si>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</si>
  <si>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</si>
  <si>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</si>
  <si>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</si>
  <si>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</si>
  <si>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</si>
  <si>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</si>
  <si>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</si>
  <si>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</si>
  <si>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</si>
  <si>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</si>
  <si>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</si>
  <si>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</si>
  <si>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</si>
  <si>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</si>
  <si>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</si>
  <si>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</si>
  <si>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</si>
  <si>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</si>
  <si>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</si>
  <si>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</si>
  <si>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</si>
  <si>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</si>
  <si>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</si>
  <si>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</si>
  <si>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</si>
  <si>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</si>
  <si>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</si>
  <si>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</si>
  <si>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</si>
  <si>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</si>
  <si>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</si>
  <si>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</si>
  <si>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</si>
  <si>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</si>
  <si>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</si>
  <si>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</si>
  <si>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</si>
  <si>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</si>
  <si>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</si>
  <si>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</si>
  <si>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</si>
  <si>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</si>
  <si>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</si>
  <si>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</si>
  <si>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</si>
  <si>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</si>
  <si>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</si>
  <si>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</si>
  <si>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</si>
  <si>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</si>
  <si>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</si>
  <si>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</si>
  <si>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</si>
  <si>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</si>
  <si>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</si>
  <si>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</si>
  <si>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</si>
  <si>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</si>
  <si>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</si>
  <si>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</si>
  <si>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</si>
  <si>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</si>
  <si>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</si>
  <si>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</si>
  <si>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</si>
  <si>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</si>
  <si>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</si>
  <si>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</si>
  <si>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</si>
  <si>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</si>
  <si>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</si>
  <si>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</si>
  <si>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</si>
  <si>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</si>
  <si>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</si>
  <si>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</si>
  <si>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</si>
  <si>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</si>
  <si>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</si>
  <si>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</si>
  <si>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</si>
  <si>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</si>
  <si>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</si>
  <si>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</si>
  <si>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</si>
  <si>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</si>
  <si>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</si>
  <si>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</si>
  <si>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</si>
  <si>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</si>
  <si>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</si>
  <si>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</si>
  <si>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</si>
  <si>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</si>
  <si>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</si>
  <si>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</si>
  <si>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</si>
  <si>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</si>
  <si>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</si>
  <si>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</si>
  <si>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</si>
  <si>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</si>
  <si>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</si>
  <si>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</si>
  <si>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</si>
  <si>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</si>
  <si>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</si>
  <si>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</si>
  <si>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</si>
  <si>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</si>
  <si>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</si>
  <si>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</si>
  <si>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</si>
  <si>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</si>
  <si>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</si>
  <si>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</si>
  <si>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</si>
  <si>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</si>
  <si>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</si>
  <si>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</si>
  <si>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</si>
  <si>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</si>
  <si>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</si>
  <si>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</si>
  <si>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</si>
  <si>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</si>
  <si>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</si>
  <si>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</si>
  <si>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</si>
  <si>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</si>
  <si>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</si>
  <si>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</si>
  <si>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</si>
  <si>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</si>
  <si>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</si>
  <si>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</si>
  <si>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</si>
  <si>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</si>
  <si>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</si>
  <si>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</si>
  <si>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</si>
  <si>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</si>
  <si>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</si>
  <si>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</si>
  <si>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</si>
  <si>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</si>
  <si>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</si>
  <si>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</si>
  <si>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</si>
  <si>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</si>
  <si>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</si>
  <si>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</si>
  <si>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</si>
  <si>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</si>
  <si>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</si>
  <si>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</si>
  <si>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</si>
  <si>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</si>
  <si>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</si>
  <si>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</si>
  <si>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</si>
  <si>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</si>
  <si>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</si>
  <si>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</si>
  <si>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</si>
  <si>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</si>
  <si>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</si>
  <si>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</si>
  <si>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</si>
  <si>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</si>
  <si>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</si>
  <si>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</si>
  <si>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</si>
  <si>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</si>
  <si>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</si>
  <si>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</si>
  <si>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</si>
  <si>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</si>
  <si>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</si>
  <si>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</si>
  <si>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</si>
  <si>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</si>
  <si>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</si>
  <si>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</si>
  <si>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</si>
  <si>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</si>
  <si>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</si>
  <si>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</si>
  <si>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</si>
  <si>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</si>
  <si>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</si>
  <si>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</si>
  <si>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</si>
  <si>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</si>
  <si>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</si>
  <si>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</si>
  <si>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</si>
  <si>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</si>
  <si>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</si>
  <si>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</si>
  <si>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</si>
  <si>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</si>
  <si>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</si>
  <si>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</si>
  <si>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</si>
  <si>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</si>
  <si>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</si>
  <si>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</si>
  <si>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</si>
  <si>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</si>
  <si>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</si>
  <si>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</si>
  <si>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</si>
  <si>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</si>
  <si>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</si>
  <si>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</si>
  <si>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</si>
  <si>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</si>
  <si>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</si>
  <si>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</si>
  <si>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</si>
  <si>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</si>
  <si>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</si>
  <si>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</si>
  <si>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</si>
  <si>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</si>
  <si>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</si>
  <si>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</si>
  <si>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</si>
  <si>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</si>
  <si>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</si>
  <si>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</si>
  <si>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</si>
  <si>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</si>
  <si>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</si>
  <si>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</si>
  <si>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</si>
  <si>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</si>
  <si>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</si>
  <si>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</si>
  <si>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</si>
  <si>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</si>
  <si>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</si>
  <si>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</si>
  <si>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</si>
  <si>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</si>
  <si>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</si>
  <si>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</si>
  <si>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</si>
  <si>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</si>
  <si>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</si>
  <si>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</si>
  <si>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</si>
  <si>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</si>
  <si>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</si>
  <si>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</si>
  <si>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</si>
  <si>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</si>
  <si>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</si>
  <si>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</si>
  <si>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</si>
  <si>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</si>
  <si>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</si>
  <si>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</si>
  <si>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</si>
  <si>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</si>
  <si>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</si>
  <si>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</si>
  <si>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</si>
  <si>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</si>
  <si>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</si>
  <si>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</si>
  <si>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</si>
  <si>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</si>
  <si>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</si>
  <si>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</si>
  <si>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</si>
  <si>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</si>
  <si>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</si>
  <si>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</si>
  <si>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</si>
  <si>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</si>
  <si>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</si>
  <si>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</si>
  <si>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</si>
  <si>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</si>
  <si>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</si>
  <si>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</si>
  <si>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</si>
  <si>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</si>
  <si>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</si>
  <si>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</si>
  <si>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</si>
  <si>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</si>
  <si>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</si>
  <si>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</si>
  <si>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</si>
  <si>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</si>
  <si>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</si>
  <si>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</si>
  <si>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</si>
  <si>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</si>
  <si>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</si>
  <si>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</si>
  <si>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</si>
  <si>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</si>
  <si>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</si>
  <si>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</si>
  <si>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</si>
  <si>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</si>
  <si>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</si>
  <si>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</si>
  <si>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</si>
  <si>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</si>
  <si>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</si>
  <si>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</si>
  <si>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</si>
  <si>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</si>
  <si>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</si>
  <si>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</si>
  <si>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</si>
  <si>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</si>
  <si>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</si>
  <si>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</si>
  <si>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</si>
  <si>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</si>
  <si>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</si>
  <si>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</si>
  <si>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</si>
  <si>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</si>
  <si>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</si>
  <si>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</si>
  <si>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</si>
  <si>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</si>
  <si>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</si>
  <si>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</si>
  <si>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</si>
  <si>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</si>
  <si>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</si>
  <si>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</si>
  <si>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</si>
  <si>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</si>
  <si>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</si>
  <si>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</si>
  <si>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</si>
  <si>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</si>
  <si>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</si>
  <si>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</si>
  <si>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</si>
  <si>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</si>
  <si>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</si>
  <si>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</si>
  <si>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</si>
  <si>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</si>
  <si>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</si>
  <si>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</si>
  <si>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</si>
  <si>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</si>
  <si>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</si>
  <si>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</si>
  <si>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</si>
  <si>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</si>
  <si>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</si>
  <si>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</si>
  <si>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</si>
  <si>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</si>
  <si>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</si>
  <si>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</si>
  <si>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</si>
  <si>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</si>
  <si>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</si>
  <si>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</si>
  <si>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</si>
  <si>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</si>
  <si>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</si>
  <si>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</si>
  <si>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</si>
  <si>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</si>
  <si>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</si>
  <si>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</si>
  <si>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</si>
  <si>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</si>
  <si>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</si>
  <si>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</si>
  <si>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</si>
  <si>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</si>
  <si>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</si>
  <si>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</si>
  <si>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</si>
  <si>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</si>
  <si>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</si>
  <si>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</si>
  <si>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</si>
  <si>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</si>
  <si>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</si>
  <si>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</si>
  <si>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</si>
  <si>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</si>
  <si>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</si>
  <si>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</si>
  <si>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</si>
  <si>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</si>
  <si>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</si>
  <si>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</si>
  <si>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</si>
  <si>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</si>
  <si>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</si>
  <si>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</si>
  <si>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</si>
  <si>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</si>
  <si>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</si>
  <si>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</si>
  <si>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</si>
  <si>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</si>
  <si>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</si>
  <si>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</si>
  <si>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</si>
  <si>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</si>
  <si>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</si>
  <si>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</si>
  <si>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</si>
  <si>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</si>
  <si>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</si>
  <si>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</si>
  <si>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</si>
  <si>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</si>
  <si>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</si>
  <si>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</si>
  <si>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</si>
  <si>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</si>
  <si>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</si>
  <si>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</si>
  <si>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</si>
  <si>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</si>
  <si>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</si>
  <si>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</si>
  <si>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</si>
  <si>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</si>
  <si>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</si>
  <si>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</si>
  <si>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</si>
  <si>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</si>
  <si>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</si>
  <si>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</si>
  <si>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</si>
  <si>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</si>
  <si>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</si>
  <si>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</si>
  <si>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</si>
  <si>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</si>
  <si>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</si>
  <si>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</si>
  <si>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</si>
  <si>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</si>
  <si>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</si>
  <si>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</si>
  <si>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</si>
  <si>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</si>
  <si>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</si>
  <si>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</si>
  <si>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</si>
  <si>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</si>
  <si>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</si>
  <si>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</si>
  <si>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</si>
  <si>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</si>
  <si>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</si>
  <si>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</si>
  <si>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</si>
  <si>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</si>
  <si>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</si>
  <si>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</si>
  <si>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</si>
  <si>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</si>
  <si>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</si>
  <si>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</si>
  <si>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</si>
  <si>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</si>
  <si>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</si>
  <si>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</si>
  <si>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</si>
  <si>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</si>
  <si>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</si>
  <si>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</si>
  <si>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</si>
  <si>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</si>
  <si>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</si>
  <si>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</si>
  <si>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</si>
  <si>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</si>
  <si>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</si>
  <si>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</si>
  <si>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</si>
  <si>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</si>
  <si>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</si>
  <si>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</si>
  <si>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</si>
  <si>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</si>
  <si>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</si>
  <si>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</si>
  <si>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</si>
  <si>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</si>
  <si>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</si>
  <si>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</si>
  <si>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</si>
  <si>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</si>
  <si>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</si>
  <si>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</si>
  <si>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</si>
  <si>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</si>
  <si>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</si>
  <si>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</si>
  <si>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</si>
  <si>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</si>
  <si>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</si>
  <si>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</si>
  <si>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</si>
  <si>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</si>
  <si>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</si>
  <si>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</si>
  <si>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</si>
  <si>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</si>
  <si>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</si>
  <si>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</si>
  <si>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</si>
  <si>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</si>
  <si>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</si>
  <si>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</si>
  <si>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</si>
  <si>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</si>
  <si>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</si>
  <si>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</si>
  <si>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</si>
  <si>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</si>
  <si>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</si>
  <si>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</si>
  <si>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</si>
  <si>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</si>
  <si>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</si>
  <si>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</si>
  <si>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</si>
  <si>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</si>
  <si>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</si>
  <si>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</si>
  <si>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</si>
  <si>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</si>
  <si>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</si>
  <si>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</si>
  <si>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</si>
  <si>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</si>
  <si>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</si>
  <si>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</si>
  <si>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</si>
  <si>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</si>
  <si>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</si>
  <si>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</si>
  <si>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</si>
  <si>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</si>
  <si>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</si>
  <si>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</si>
  <si>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</si>
  <si>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</si>
  <si>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</si>
  <si>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</si>
  <si>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</si>
  <si>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</si>
  <si>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</si>
  <si>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</si>
  <si>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</si>
  <si>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</si>
  <si>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</si>
  <si>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</si>
  <si>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</si>
  <si>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</si>
  <si>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</si>
  <si>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</si>
  <si>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</si>
  <si>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</si>
  <si>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</si>
  <si>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</si>
  <si>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</si>
  <si>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</si>
  <si>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</si>
  <si>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</si>
  <si>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</si>
  <si>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</si>
  <si>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</si>
  <si>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</si>
  <si>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</si>
  <si>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</si>
  <si>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</si>
  <si>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</si>
  <si>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</si>
  <si>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</si>
  <si>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</si>
  <si>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</si>
  <si>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</si>
  <si>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</si>
  <si>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</si>
  <si>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</si>
  <si>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</si>
  <si>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</si>
  <si>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</si>
  <si>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</si>
  <si>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</si>
  <si>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</si>
  <si>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</si>
  <si>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</si>
  <si>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</si>
  <si>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</si>
  <si>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</si>
  <si>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</si>
  <si>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</si>
  <si>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</si>
  <si>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</si>
  <si>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</si>
  <si>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</si>
  <si>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</si>
  <si>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</si>
  <si>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</si>
  <si>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</si>
  <si>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</si>
  <si>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</si>
  <si>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</si>
  <si>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</si>
  <si>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</si>
  <si>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</si>
  <si>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</si>
  <si>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</si>
  <si>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</si>
  <si>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</si>
  <si>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</si>
  <si>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</si>
  <si>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</si>
  <si>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</si>
  <si>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</si>
  <si>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</si>
  <si>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</si>
  <si>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</si>
  <si>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</si>
  <si>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</si>
  <si>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</si>
  <si>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</si>
  <si>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</si>
  <si>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</si>
  <si>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</si>
  <si>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</si>
  <si>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</si>
  <si>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</si>
  <si>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</si>
  <si>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</si>
  <si>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</si>
  <si>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</si>
  <si>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</si>
  <si>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</si>
  <si>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</si>
  <si>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</si>
  <si>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</si>
  <si>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</si>
  <si>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</si>
  <si>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</si>
  <si>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</si>
  <si>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</si>
  <si>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</si>
  <si>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</si>
  <si>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</si>
  <si>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</si>
  <si>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</si>
  <si>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</si>
  <si>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</si>
  <si>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</si>
  <si>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</si>
  <si>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</si>
  <si>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</si>
  <si>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</si>
  <si>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</si>
  <si>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</si>
  <si>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</si>
  <si>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</si>
  <si>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</si>
  <si>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</si>
  <si>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</si>
  <si>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</si>
  <si>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</si>
  <si>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</si>
  <si>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</si>
  <si>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</si>
  <si>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</si>
  <si>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</si>
  <si>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</si>
  <si>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</si>
  <si>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</si>
  <si>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</si>
  <si>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</si>
  <si>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</si>
  <si>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</si>
  <si>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</si>
  <si>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</si>
  <si>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</si>
  <si>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</si>
  <si>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</si>
  <si>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</si>
  <si>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</si>
  <si>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</si>
  <si>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</si>
  <si>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</si>
  <si>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</si>
  <si>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</si>
  <si>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</si>
  <si>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</si>
  <si>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</si>
  <si>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</si>
  <si>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</si>
  <si>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</si>
  <si>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</si>
  <si>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</si>
  <si>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</si>
  <si>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</si>
  <si>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</si>
  <si>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</si>
  <si>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</si>
  <si>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</si>
  <si>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</si>
  <si>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</si>
  <si>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</si>
  <si>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</si>
  <si>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</si>
  <si>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</si>
  <si>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</si>
  <si>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</si>
  <si>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</si>
  <si>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</si>
  <si>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</si>
  <si>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</si>
  <si>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</si>
  <si>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</si>
  <si>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</si>
  <si>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</si>
  <si>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</si>
  <si>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</si>
  <si>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</si>
  <si>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</si>
  <si>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</si>
  <si>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</si>
  <si>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</si>
  <si>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</si>
  <si>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</si>
  <si>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</si>
  <si>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</si>
  <si>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</si>
  <si>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</si>
  <si>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</si>
  <si>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</si>
  <si>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</si>
  <si>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</si>
  <si>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</si>
  <si>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</si>
  <si>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</si>
  <si>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</si>
  <si>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</si>
  <si>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</si>
  <si>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</si>
  <si>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</si>
  <si>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</si>
  <si>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</si>
  <si>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</si>
  <si>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</si>
  <si>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</si>
  <si>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</si>
  <si>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</si>
  <si>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</si>
  <si>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</si>
  <si>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</si>
  <si>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</si>
  <si>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</si>
  <si>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</si>
  <si>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</si>
  <si>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</si>
  <si>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</si>
  <si>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</si>
  <si>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</si>
  <si>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</si>
  <si>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</si>
  <si>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</si>
  <si>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</si>
  <si>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</si>
  <si>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</si>
  <si>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</si>
  <si>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</si>
  <si>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</si>
  <si>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</si>
  <si>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</si>
  <si>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</si>
  <si>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</si>
  <si>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</si>
  <si>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</si>
  <si>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</si>
  <si>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</si>
  <si>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</si>
  <si>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</si>
  <si>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</si>
  <si>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</si>
  <si>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</si>
  <si>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</si>
  <si>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</si>
  <si>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</si>
  <si>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</si>
  <si>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</si>
  <si>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</si>
  <si>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</si>
  <si>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</si>
  <si>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</si>
  <si>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</si>
  <si>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</si>
  <si>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</si>
  <si>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</si>
  <si>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</si>
  <si>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</si>
  <si>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</si>
  <si>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</si>
  <si>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</si>
  <si>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</si>
  <si>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</si>
  <si>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</si>
  <si>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</si>
  <si>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</si>
  <si>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</si>
  <si>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</si>
  <si>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</si>
  <si>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</si>
  <si>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</si>
  <si>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</si>
  <si>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</si>
  <si>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</si>
  <si>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</si>
  <si>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</si>
  <si>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</si>
  <si>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</si>
  <si>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</si>
  <si>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</si>
  <si>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</si>
  <si>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</si>
  <si>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</si>
  <si>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</si>
  <si>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</si>
  <si>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</si>
  <si>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</si>
  <si>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</si>
  <si>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</si>
  <si>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</si>
  <si>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</si>
  <si>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</si>
  <si>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</si>
  <si>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</si>
  <si>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</si>
  <si>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</si>
  <si>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</si>
  <si>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</si>
  <si>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</si>
  <si>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</si>
  <si>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</si>
  <si>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</si>
  <si>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</si>
  <si>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</si>
  <si>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</si>
  <si>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</si>
  <si>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</si>
  <si>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</si>
  <si>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</si>
  <si>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</si>
  <si>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</si>
  <si>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</si>
  <si>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</si>
  <si>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</si>
  <si>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</si>
  <si>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</si>
  <si>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</si>
  <si>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</si>
  <si>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</si>
  <si>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</si>
  <si>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</si>
  <si>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</si>
  <si>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</si>
  <si>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</si>
  <si>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</si>
  <si>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</si>
  <si>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</si>
  <si>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</si>
  <si>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</si>
  <si>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</si>
  <si>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</si>
  <si>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</si>
  <si>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</si>
  <si>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</si>
  <si>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</si>
  <si>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</si>
  <si>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</si>
  <si>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</si>
  <si>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</si>
  <si>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</si>
  <si>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</si>
  <si>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</si>
  <si>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</si>
  <si>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</si>
  <si>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</si>
  <si>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</si>
  <si>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</si>
  <si>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</si>
  <si>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</si>
  <si>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</si>
  <si>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</si>
  <si>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</si>
  <si>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</si>
  <si>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</si>
  <si>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</si>
  <si>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</si>
  <si>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</si>
  <si>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</si>
  <si>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</si>
  <si>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</si>
  <si>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</si>
  <si>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</si>
  <si>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</si>
  <si>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</si>
  <si>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</si>
  <si>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</si>
  <si>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</si>
  <si>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</si>
  <si>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</si>
  <si>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</si>
  <si>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</si>
  <si>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</si>
  <si>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</si>
  <si>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</si>
  <si>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</si>
  <si>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</si>
  <si>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</si>
  <si>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</si>
  <si>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</si>
  <si>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</si>
  <si>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</si>
  <si>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</si>
  <si>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</si>
  <si>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</si>
  <si>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</si>
  <si>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</si>
  <si>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</si>
  <si>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</si>
  <si>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</si>
  <si>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</si>
  <si>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</si>
  <si>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</si>
  <si>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</si>
  <si>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</si>
  <si>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</si>
  <si>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</si>
  <si>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</si>
  <si>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</si>
  <si>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</si>
  <si>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</si>
  <si>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</si>
  <si>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</si>
  <si>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</si>
  <si>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</si>
  <si>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</si>
  <si>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</si>
  <si>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</si>
  <si>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</si>
  <si>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</si>
  <si>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</si>
  <si>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</si>
  <si>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</si>
  <si>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</si>
  <si>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</si>
  <si>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</si>
  <si>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</si>
  <si>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</si>
  <si>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</si>
  <si>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</si>
  <si>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</si>
  <si>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</si>
  <si>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</si>
  <si>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</si>
  <si>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</si>
  <si>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</si>
  <si>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</si>
  <si>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</si>
  <si>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</si>
  <si>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</si>
  <si>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</si>
  <si>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</si>
  <si>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</si>
  <si>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</si>
  <si>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</si>
  <si>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</si>
  <si>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</si>
  <si>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</si>
  <si>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</si>
  <si>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</si>
  <si>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</si>
  <si>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</si>
  <si>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</si>
  <si>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</si>
  <si>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</si>
  <si>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</si>
  <si>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</si>
  <si>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</si>
  <si>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</si>
  <si>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</si>
  <si>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</si>
  <si>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</si>
  <si>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</si>
  <si>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</si>
  <si>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</si>
  <si>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</si>
  <si>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</si>
  <si>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</si>
  <si>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</si>
  <si>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</si>
  <si>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</si>
  <si>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</si>
  <si>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</si>
  <si>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</si>
  <si>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</si>
  <si>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</si>
  <si>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</si>
  <si>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</si>
  <si>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</si>
  <si>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</si>
  <si>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</si>
  <si>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</si>
  <si>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</si>
  <si>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</si>
  <si>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</si>
  <si>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</si>
  <si>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</si>
  <si>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</si>
  <si>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</si>
  <si>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</si>
  <si>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</si>
  <si>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</si>
  <si>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</si>
  <si>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</si>
  <si>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</si>
  <si>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</si>
  <si>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</si>
  <si>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</si>
  <si>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</si>
  <si>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</si>
  <si>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</si>
  <si>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</si>
  <si>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</si>
  <si>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</si>
  <si>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</si>
  <si>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</si>
  <si>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</si>
  <si>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</si>
  <si>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</si>
  <si>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</si>
  <si>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</si>
  <si>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</si>
  <si>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</si>
  <si>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</si>
  <si>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</si>
  <si>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</si>
  <si>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</si>
  <si>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</si>
  <si>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</si>
  <si>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</si>
  <si>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</si>
  <si>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</si>
  <si>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</si>
  <si>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</si>
  <si>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</si>
  <si>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</si>
  <si>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</si>
  <si>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</si>
  <si>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</si>
  <si>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</si>
  <si>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</si>
  <si>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</si>
  <si>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</si>
  <si>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</si>
  <si>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</si>
  <si>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</si>
  <si>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</si>
  <si>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</si>
  <si>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</si>
  <si>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</si>
  <si>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</si>
  <si>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</si>
  <si>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</si>
  <si>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</si>
  <si>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</si>
  <si>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</si>
  <si>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</si>
  <si>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</si>
  <si>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</si>
  <si>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</si>
  <si>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</si>
  <si>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</si>
  <si>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</si>
  <si>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</si>
  <si>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</si>
  <si>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</si>
  <si>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</si>
  <si>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</si>
  <si>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</si>
  <si>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</si>
  <si>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</si>
  <si>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</si>
  <si>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</si>
  <si>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</si>
  <si>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</si>
  <si>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</si>
  <si>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</si>
  <si>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</si>
  <si>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</si>
  <si>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</si>
  <si>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</si>
  <si>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</si>
  <si>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</si>
  <si>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</si>
  <si>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</si>
  <si>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</si>
  <si>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</si>
  <si>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</si>
  <si>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</si>
  <si>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</si>
  <si>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</si>
  <si>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</si>
  <si>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</si>
  <si>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</si>
  <si>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</si>
  <si>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</si>
  <si>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</si>
  <si>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</si>
  <si>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</si>
  <si>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</si>
  <si>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</si>
  <si>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</si>
  <si>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</si>
  <si>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</si>
  <si>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</si>
  <si>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</si>
  <si>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</si>
  <si>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</si>
  <si>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</si>
  <si>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</si>
  <si>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</si>
  <si>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</si>
  <si>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</si>
  <si>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</si>
  <si>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</si>
  <si>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</si>
  <si>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</si>
  <si>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</si>
  <si>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</si>
  <si>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</si>
  <si>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</si>
  <si>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</si>
  <si>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</si>
  <si>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</si>
  <si>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</si>
  <si>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</si>
  <si>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</si>
  <si>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</si>
  <si>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</si>
  <si>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</si>
  <si>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</si>
  <si>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</si>
  <si>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</si>
  <si>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</si>
  <si>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</si>
  <si>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</si>
  <si>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</si>
  <si>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</si>
  <si>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</si>
  <si>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</si>
  <si>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</si>
  <si>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</si>
  <si>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</si>
  <si>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</si>
  <si>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</si>
  <si>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</si>
  <si>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</si>
  <si>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</si>
  <si>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</si>
  <si>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</si>
  <si>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</si>
  <si>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</si>
  <si>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</si>
  <si>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</si>
  <si>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</si>
  <si>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</si>
  <si>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</si>
  <si>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</si>
  <si>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</si>
  <si>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</si>
  <si>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</si>
  <si>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</si>
  <si>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</si>
  <si>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</si>
  <si>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</si>
  <si>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</si>
  <si>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</si>
  <si>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</si>
  <si>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</si>
  <si>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</si>
  <si>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</si>
  <si>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</si>
  <si>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</si>
  <si>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</si>
  <si>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</si>
  <si>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</si>
  <si>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</si>
  <si>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</si>
  <si>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</si>
  <si>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</si>
  <si>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</si>
  <si>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</si>
  <si>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</si>
  <si>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</si>
  <si>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</si>
  <si>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</si>
  <si>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</si>
  <si>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</si>
  <si>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</si>
  <si>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</si>
  <si>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</si>
  <si>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</si>
  <si>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</si>
  <si>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</si>
  <si>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</si>
  <si>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</si>
  <si>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</si>
  <si>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</si>
  <si>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</si>
  <si>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</si>
  <si>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</si>
  <si>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</si>
  <si>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</si>
  <si>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</si>
  <si>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</si>
  <si>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</si>
  <si>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</si>
  <si>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</si>
  <si>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</si>
  <si>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</si>
  <si>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</si>
  <si>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</si>
  <si>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</si>
  <si>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</si>
  <si>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</si>
  <si>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</si>
  <si>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</si>
  <si>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</si>
  <si>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</si>
  <si>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</si>
  <si>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</si>
  <si>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</si>
  <si>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</si>
  <si>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</si>
  <si>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</si>
  <si>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</si>
  <si>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</si>
  <si>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</si>
  <si>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</si>
  <si>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</si>
  <si>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</si>
  <si>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</si>
  <si>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</si>
  <si>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</si>
  <si>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</si>
  <si>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</si>
  <si>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</si>
  <si>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</si>
  <si>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</si>
  <si>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</si>
  <si>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</si>
  <si>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</si>
  <si>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</si>
  <si>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</si>
  <si>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</si>
  <si>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</si>
  <si>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</si>
  <si>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</si>
  <si>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</si>
  <si>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</si>
  <si>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</si>
  <si>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</si>
  <si>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</si>
  <si>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</si>
  <si>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</si>
  <si>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</si>
  <si>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</si>
  <si>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</si>
  <si>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</si>
  <si>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</si>
  <si>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</si>
  <si>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</si>
  <si>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</si>
  <si>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</si>
  <si>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</si>
  <si>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</si>
  <si>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</si>
  <si>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</si>
  <si>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</si>
  <si>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</si>
  <si>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</si>
  <si>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</si>
  <si>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</si>
  <si>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</si>
  <si>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</si>
  <si>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</si>
  <si>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</si>
  <si>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</si>
  <si>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</si>
  <si>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</si>
  <si>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</si>
  <si>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</si>
  <si>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</si>
  <si>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</si>
  <si>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</si>
  <si>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</si>
  <si>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</si>
  <si>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</si>
  <si>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</si>
  <si>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</si>
  <si>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</si>
  <si>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</si>
  <si>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</si>
  <si>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</si>
  <si>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</si>
  <si>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</si>
  <si>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</si>
  <si>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</si>
  <si>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</si>
  <si>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</si>
  <si>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</si>
  <si>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</si>
  <si>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</si>
  <si>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</si>
  <si>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</si>
  <si>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</si>
  <si>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</si>
  <si>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</si>
  <si>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</si>
  <si>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</si>
  <si>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</si>
  <si>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</si>
  <si>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</si>
  <si>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</si>
  <si>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</si>
  <si>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</si>
  <si>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</si>
  <si>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</si>
  <si>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</si>
  <si>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</si>
  <si>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</si>
  <si>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</si>
  <si>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</si>
  <si>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</si>
  <si>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</si>
  <si>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</si>
  <si>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</si>
  <si>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</si>
  <si>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</si>
  <si>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</si>
  <si>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</si>
  <si>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</si>
  <si>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</si>
  <si>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</si>
  <si>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</si>
  <si>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</si>
  <si>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</si>
  <si>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</si>
  <si>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</si>
  <si>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</si>
  <si>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</si>
  <si>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</si>
  <si>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</si>
  <si>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</si>
  <si>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</si>
  <si>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</si>
  <si>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</si>
  <si>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</si>
  <si>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</si>
  <si>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</si>
  <si>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</si>
  <si>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</si>
  <si>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</si>
  <si>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</si>
  <si>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</si>
  <si>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</si>
  <si>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</si>
  <si>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</si>
  <si>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</si>
  <si>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</si>
  <si>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</si>
  <si>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</si>
  <si>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</si>
  <si>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</si>
  <si>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</si>
  <si>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</si>
  <si>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</si>
  <si>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</si>
  <si>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</si>
  <si>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</si>
  <si>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</si>
  <si>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</si>
  <si>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</si>
  <si>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</si>
  <si>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</si>
  <si>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</si>
  <si>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</si>
  <si>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</si>
  <si>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</si>
  <si>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</si>
  <si>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</si>
  <si>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</si>
  <si>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</si>
  <si>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</si>
  <si>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</si>
  <si>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</si>
  <si>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</si>
  <si>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</si>
  <si>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</si>
  <si>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</si>
  <si>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</si>
  <si>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</si>
  <si>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</si>
  <si>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</si>
  <si>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</si>
  <si>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</si>
  <si>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</si>
  <si>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</si>
  <si>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</si>
  <si>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</si>
  <si>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</si>
  <si>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</si>
  <si>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</si>
  <si>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</si>
  <si>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</si>
  <si>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</si>
  <si>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</si>
  <si>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</si>
  <si>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</si>
  <si>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</si>
  <si>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</si>
  <si>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</si>
  <si>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</si>
  <si>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</si>
  <si>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</si>
  <si>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</si>
  <si>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</si>
  <si>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</si>
  <si>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</si>
  <si>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</si>
  <si>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</si>
  <si>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</si>
  <si>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</si>
  <si>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</si>
  <si>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</si>
  <si>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</si>
  <si>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</si>
  <si>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</si>
  <si>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</si>
  <si>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</si>
  <si>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</si>
  <si>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</si>
  <si>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</si>
  <si>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</si>
  <si>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</si>
  <si>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</si>
  <si>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</si>
  <si>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</si>
  <si>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</si>
  <si>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</si>
  <si>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</si>
  <si>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</si>
  <si>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</si>
  <si>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</si>
  <si>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</si>
  <si>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</si>
  <si>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</si>
  <si>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</si>
  <si>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</si>
  <si>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</si>
  <si>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</si>
  <si>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</si>
  <si>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</si>
  <si>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</si>
  <si>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</si>
  <si>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</si>
  <si>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</si>
  <si>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</si>
  <si>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</si>
  <si>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</si>
  <si>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</si>
  <si>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</si>
  <si>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</si>
  <si>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</si>
  <si>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</si>
  <si>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</si>
  <si>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</si>
  <si>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</si>
  <si>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</si>
  <si>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</si>
  <si>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</si>
  <si>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</si>
  <si>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</si>
  <si>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</si>
  <si>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</si>
  <si>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</si>
  <si>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</si>
  <si>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</si>
  <si>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</si>
  <si>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</si>
  <si>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</si>
  <si>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</si>
  <si>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</si>
  <si>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</si>
  <si>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</si>
  <si>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</si>
  <si>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</si>
  <si>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</si>
  <si>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</si>
  <si>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</si>
  <si>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</si>
  <si>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</si>
  <si>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</si>
  <si>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</si>
  <si>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</si>
  <si>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</si>
  <si>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</si>
  <si>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</si>
  <si>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</si>
  <si>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</si>
  <si>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</si>
  <si>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</si>
  <si>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</si>
  <si>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</si>
  <si>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</si>
  <si>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</si>
  <si>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</si>
  <si>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</si>
  <si>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</si>
  <si>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</si>
  <si>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</si>
  <si>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</si>
  <si>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</si>
  <si>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</si>
  <si>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</si>
  <si>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</si>
  <si>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</si>
  <si>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</si>
  <si>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</si>
  <si>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</si>
  <si>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</si>
  <si>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</si>
  <si>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</si>
  <si>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</si>
  <si>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</si>
  <si>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</si>
  <si>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</si>
  <si>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</si>
  <si>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</si>
  <si>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</si>
  <si>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</si>
  <si>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</si>
  <si>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</si>
  <si>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</si>
  <si>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</si>
  <si>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</si>
  <si>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</si>
  <si>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</si>
  <si>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</si>
  <si>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</si>
  <si>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</si>
  <si>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</si>
  <si>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</si>
  <si>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</si>
  <si>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</si>
  <si>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</si>
  <si>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</si>
  <si>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</si>
  <si>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</si>
  <si>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</si>
  <si>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</si>
  <si>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</si>
  <si>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</si>
  <si>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</si>
  <si>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</si>
  <si>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</si>
  <si>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</si>
  <si>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</si>
  <si>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</si>
  <si>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</si>
  <si>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</si>
  <si>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</si>
  <si>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</si>
  <si>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</si>
  <si>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</si>
  <si>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</si>
  <si>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</si>
  <si>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</si>
  <si>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</si>
  <si>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</si>
  <si>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</si>
  <si>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</si>
  <si>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</si>
  <si>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</si>
  <si>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</si>
  <si>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</si>
  <si>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</si>
  <si>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</si>
  <si>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</si>
  <si>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</si>
  <si>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</si>
  <si>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</si>
  <si>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</si>
  <si>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</si>
  <si>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</si>
  <si>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</si>
  <si>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</si>
  <si>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</si>
  <si>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</si>
  <si>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</si>
  <si>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</si>
  <si>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</si>
  <si>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</si>
  <si>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</si>
  <si>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</si>
  <si>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</si>
  <si>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</si>
  <si>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</si>
  <si>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</si>
  <si>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</si>
  <si>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</si>
  <si>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</si>
  <si>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</si>
  <si>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</si>
  <si>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</si>
  <si>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</si>
  <si>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</si>
  <si>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</si>
  <si>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</si>
  <si>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</si>
  <si>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</si>
  <si>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</si>
  <si>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</si>
  <si>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</si>
  <si>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</si>
  <si>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</si>
  <si>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</si>
  <si>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</si>
  <si>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</si>
  <si>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</si>
  <si>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</si>
  <si>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</si>
  <si>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</si>
  <si>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</si>
  <si>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</si>
  <si>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</si>
  <si>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</si>
  <si>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</si>
  <si>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</si>
  <si>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</si>
  <si>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</si>
  <si>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</si>
  <si>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</si>
  <si>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</si>
  <si>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</si>
  <si>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</si>
  <si>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</si>
  <si>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</si>
  <si>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</si>
  <si>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</si>
  <si>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</si>
  <si>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</si>
  <si>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</si>
  <si>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</si>
  <si>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</si>
  <si>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</si>
  <si>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</si>
  <si>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</si>
  <si>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</si>
  <si>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</si>
  <si>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</si>
  <si>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</si>
  <si>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</si>
  <si>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</si>
  <si>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</si>
  <si>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</si>
  <si>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</si>
  <si>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</si>
  <si>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</si>
  <si>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</si>
  <si>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</si>
  <si>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</si>
  <si>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</si>
  <si>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</si>
  <si>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</si>
  <si>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</si>
  <si>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</si>
  <si>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</si>
  <si>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</si>
  <si>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</si>
  <si>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</si>
  <si>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</si>
  <si>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</si>
  <si>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</si>
  <si>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</si>
  <si>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</si>
  <si>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</si>
  <si>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</si>
  <si>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</si>
  <si>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</si>
  <si>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</si>
  <si>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</si>
  <si>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</si>
  <si>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</si>
  <si>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</si>
  <si>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</si>
  <si>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</si>
  <si>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</si>
  <si>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</si>
  <si>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</si>
  <si>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</si>
  <si>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</si>
  <si>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</si>
  <si>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</si>
  <si>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</si>
  <si>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</si>
  <si>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</si>
  <si>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</si>
  <si>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</si>
  <si>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</si>
  <si>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</si>
  <si>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</si>
  <si>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</si>
  <si>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</si>
  <si>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</si>
  <si>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</si>
  <si>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</si>
  <si>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</si>
  <si>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</si>
  <si>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</si>
  <si>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</si>
  <si>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</si>
  <si>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</si>
  <si>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</si>
  <si>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</si>
  <si>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</si>
  <si>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</si>
  <si>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</si>
  <si>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</si>
  <si>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</si>
  <si>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</si>
  <si>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</si>
  <si>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</si>
  <si>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</si>
  <si>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</si>
  <si>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</si>
  <si>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</si>
  <si>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</si>
  <si>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</si>
  <si>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</si>
  <si>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</si>
  <si>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</si>
  <si>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</si>
  <si>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</si>
  <si>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</si>
  <si>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</si>
  <si>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</si>
  <si>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</si>
  <si>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</si>
  <si>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</si>
  <si>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</si>
  <si>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</si>
  <si>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</si>
  <si>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</si>
  <si>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</si>
  <si>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</si>
  <si>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</si>
  <si>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</si>
  <si>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</si>
  <si>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</si>
  <si>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</si>
  <si>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</si>
  <si>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</si>
  <si>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</si>
  <si>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</si>
  <si>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</si>
  <si>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</si>
  <si>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</si>
  <si>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</si>
  <si>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</si>
  <si>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</si>
  <si>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</si>
  <si>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</si>
  <si>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</si>
  <si>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</si>
  <si>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</si>
  <si>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</si>
  <si>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</si>
  <si>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</si>
  <si>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</si>
  <si>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</si>
  <si>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</si>
  <si>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</si>
  <si>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</si>
  <si>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</si>
  <si>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</si>
  <si>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</si>
  <si>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</si>
  <si>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</si>
  <si>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</si>
  <si>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</si>
  <si>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</si>
  <si>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</si>
  <si>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</si>
  <si>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</si>
  <si>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</si>
  <si>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</si>
  <si>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</si>
  <si>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</si>
  <si>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</si>
  <si>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</si>
  <si>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</si>
  <si>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</si>
  <si>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</si>
  <si>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</si>
  <si>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</si>
  <si>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</si>
  <si>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</si>
  <si>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</si>
  <si>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</si>
  <si>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</si>
  <si>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</si>
  <si>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</si>
  <si>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</si>
  <si>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</si>
  <si>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</si>
  <si>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</si>
  <si>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</si>
  <si>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</si>
  <si>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</si>
  <si>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</si>
  <si>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</si>
  <si>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</si>
  <si>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</si>
  <si>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</si>
  <si>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</si>
  <si>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</si>
  <si>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</si>
  <si>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</si>
  <si>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</si>
  <si>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</si>
  <si>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</si>
  <si>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</si>
  <si>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</si>
  <si>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</si>
  <si>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</si>
  <si>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</si>
  <si>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</si>
  <si>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</si>
  <si>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</si>
  <si>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</si>
  <si>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</si>
  <si>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</si>
  <si>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</si>
  <si>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</si>
  <si>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</si>
  <si>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</si>
  <si>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</si>
  <si>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</si>
  <si>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</si>
  <si>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</si>
  <si>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</si>
  <si>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</si>
  <si>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</si>
  <si>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</si>
  <si>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</si>
  <si>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</si>
  <si>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</si>
  <si>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</si>
  <si>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</si>
  <si>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</si>
  <si>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</si>
  <si>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</si>
  <si>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</si>
  <si>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</si>
  <si>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</si>
  <si>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</si>
  <si>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</si>
  <si>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</si>
  <si>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</si>
  <si>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</si>
  <si>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</si>
  <si>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</si>
  <si>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</si>
  <si>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</si>
  <si>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</si>
  <si>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</si>
  <si>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</si>
  <si>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</si>
  <si>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</si>
  <si>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</si>
  <si>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</si>
  <si>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</si>
  <si>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</si>
  <si>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</si>
  <si>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</si>
  <si>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</si>
  <si>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</si>
  <si>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</si>
  <si>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</si>
  <si>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</si>
  <si>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</si>
  <si>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</si>
  <si>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</si>
  <si>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</si>
  <si>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</si>
  <si>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</si>
  <si>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</si>
  <si>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</si>
  <si>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</si>
  <si>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</si>
  <si>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</si>
  <si>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</si>
  <si>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</si>
  <si>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</si>
  <si>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</si>
  <si>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</si>
  <si>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</si>
  <si>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</si>
  <si>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</si>
  <si>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</si>
  <si>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</si>
  <si>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</si>
  <si>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</si>
  <si>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</si>
  <si>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</si>
  <si>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</si>
  <si>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</si>
  <si>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</si>
  <si>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</si>
  <si>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</si>
  <si>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</si>
  <si>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</si>
  <si>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</si>
  <si>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</si>
  <si>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</si>
  <si>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</si>
  <si>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</si>
  <si>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</si>
  <si>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</si>
  <si>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</si>
  <si>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</si>
  <si>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</si>
  <si>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</si>
  <si>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</si>
  <si>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</si>
  <si>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</si>
  <si>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</si>
  <si>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</si>
  <si>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</si>
  <si>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</si>
  <si>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</si>
  <si>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</si>
  <si>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</si>
  <si>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</si>
  <si>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</si>
  <si>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</si>
  <si>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</si>
  <si>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</si>
  <si>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</si>
  <si>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</si>
  <si>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</si>
  <si>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</si>
  <si>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</si>
  <si>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</si>
  <si>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</si>
  <si>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</si>
  <si>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</si>
  <si>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</si>
  <si>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</si>
  <si>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</si>
  <si>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</si>
  <si>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</si>
  <si>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</si>
  <si>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</si>
  <si>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</si>
  <si>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</si>
  <si>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</si>
  <si>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</si>
  <si>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</si>
  <si>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</si>
  <si>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</si>
  <si>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</si>
  <si>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</si>
  <si>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</si>
  <si>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</si>
  <si>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</si>
  <si>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</si>
  <si>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</si>
  <si>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</si>
  <si>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</si>
  <si>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</si>
  <si>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</si>
  <si>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</si>
  <si>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</si>
  <si>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</si>
  <si>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</si>
  <si>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</si>
  <si>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</si>
  <si>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</si>
  <si>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</si>
  <si>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</si>
  <si>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</si>
  <si>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</si>
  <si>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</si>
  <si>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</si>
  <si>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</si>
  <si>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</si>
  <si>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</si>
  <si>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</si>
  <si>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</si>
  <si>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</si>
  <si>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</si>
  <si>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</si>
  <si>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</si>
  <si>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</si>
  <si>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</si>
  <si>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</si>
  <si>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</si>
  <si>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</si>
  <si>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</si>
  <si>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</si>
  <si>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</si>
  <si>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</si>
  <si>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</si>
  <si>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</si>
  <si>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</si>
  <si>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</si>
  <si>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</si>
  <si>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</si>
  <si>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</si>
  <si>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</si>
  <si>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</si>
  <si>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</si>
  <si>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</si>
  <si>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</si>
  <si>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</si>
  <si>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</si>
  <si>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</si>
  <si>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</si>
  <si>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</si>
  <si>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</si>
  <si>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</si>
  <si>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</si>
  <si>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</si>
  <si>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</si>
  <si>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</si>
  <si>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</si>
  <si>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</si>
  <si>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</si>
  <si>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</si>
  <si>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</si>
  <si>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</si>
  <si>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</si>
  <si>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</si>
  <si>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</si>
  <si>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</si>
  <si>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</si>
  <si>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</si>
  <si>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</si>
  <si>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</si>
  <si>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</si>
  <si>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</si>
  <si>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</si>
  <si>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</si>
  <si>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</si>
  <si>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</si>
  <si>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</si>
  <si>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</si>
  <si>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</si>
  <si>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</si>
  <si>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</si>
  <si>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</si>
  <si>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</si>
  <si>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</si>
  <si>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</si>
  <si>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</si>
  <si>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</si>
  <si>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</si>
  <si>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</si>
  <si>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</si>
  <si>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</si>
  <si>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</si>
  <si>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</si>
  <si>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</si>
  <si>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</si>
  <si>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</si>
  <si>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</si>
  <si>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</si>
  <si>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</si>
  <si>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</si>
  <si>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</si>
  <si>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</si>
  <si>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</si>
  <si>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</si>
  <si>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</si>
  <si>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</si>
  <si>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</si>
  <si>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</si>
  <si>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</si>
  <si>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</si>
  <si>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</si>
  <si>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</si>
  <si>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</si>
  <si>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</si>
  <si>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</si>
  <si>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</si>
  <si>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</si>
  <si>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</si>
  <si>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</si>
  <si>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</si>
  <si>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</si>
  <si>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</si>
  <si>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</si>
  <si>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</si>
  <si>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</si>
  <si>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</si>
  <si>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</si>
  <si>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</si>
  <si>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</si>
  <si>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</si>
  <si>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</si>
  <si>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</si>
  <si>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</si>
  <si>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</si>
  <si>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</si>
  <si>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</si>
  <si>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</si>
  <si>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</si>
  <si>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</si>
  <si>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</si>
  <si>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</si>
  <si>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</si>
  <si>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</si>
  <si>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</si>
  <si>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</si>
  <si>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</si>
  <si>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</si>
  <si>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</si>
  <si>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</si>
  <si>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</si>
  <si>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</si>
  <si>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</si>
  <si>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</si>
  <si>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</si>
  <si>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</si>
  <si>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</si>
  <si>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</si>
  <si>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</si>
  <si>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</si>
  <si>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</si>
  <si>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</si>
  <si>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</si>
  <si>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</si>
  <si>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</si>
  <si>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</si>
  <si>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</si>
  <si>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</si>
  <si>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</si>
  <si>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</si>
  <si>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</si>
  <si>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</si>
  <si>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</si>
  <si>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</si>
  <si>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</si>
  <si>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</si>
  <si>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</si>
  <si>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</si>
  <si>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</si>
  <si>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</si>
  <si>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</si>
  <si>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</si>
  <si>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</si>
  <si>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</si>
  <si>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</si>
  <si>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</si>
  <si>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</si>
  <si>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</si>
  <si>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</si>
  <si>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</si>
  <si>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</si>
  <si>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</si>
  <si>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</si>
  <si>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</si>
  <si>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</si>
  <si>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</si>
  <si>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</si>
  <si>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</si>
  <si>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</si>
  <si>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</si>
  <si>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</si>
  <si>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</si>
  <si>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</si>
  <si>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</si>
  <si>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</si>
  <si>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</si>
  <si>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</si>
  <si>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</si>
  <si>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</si>
  <si>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</si>
  <si>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</si>
  <si>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</si>
  <si>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</si>
  <si>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</si>
  <si>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</si>
  <si>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</si>
  <si>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</si>
  <si>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</si>
  <si>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</si>
  <si>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</si>
  <si>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</si>
  <si>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</si>
  <si>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</si>
  <si>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</si>
  <si>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</si>
  <si>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</si>
  <si>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</si>
  <si>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</si>
  <si>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</si>
  <si>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</si>
  <si>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</si>
  <si>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</si>
  <si>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</si>
  <si>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</si>
  <si>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</si>
  <si>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</si>
  <si>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</si>
  <si>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</si>
  <si>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</si>
  <si>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</si>
  <si>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</si>
  <si>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</si>
  <si>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</si>
  <si>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</si>
  <si>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</si>
  <si>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</si>
  <si>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</si>
  <si>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</si>
  <si>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</si>
  <si>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</si>
  <si>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</si>
  <si>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</si>
  <si>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</si>
  <si>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</si>
  <si>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</si>
  <si>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</si>
  <si>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</si>
  <si>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</si>
  <si>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</si>
  <si>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</si>
  <si>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</si>
  <si>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</si>
  <si>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</si>
  <si>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</si>
  <si>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</si>
  <si>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</si>
  <si>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</si>
  <si>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</si>
  <si>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</si>
  <si>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</si>
  <si>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</si>
  <si>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</si>
  <si>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</si>
  <si>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</si>
  <si>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</si>
  <si>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</si>
  <si>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</si>
  <si>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</si>
  <si>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</si>
  <si>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</si>
  <si>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</si>
  <si>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</si>
  <si>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</si>
  <si>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</si>
  <si>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</si>
  <si>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</si>
  <si>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</si>
  <si>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</si>
  <si>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</si>
  <si>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</si>
  <si>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</si>
  <si>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</si>
  <si>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</si>
  <si>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</si>
  <si>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</si>
  <si>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</si>
  <si>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</si>
  <si>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</si>
  <si>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</si>
  <si>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</si>
  <si>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</si>
  <si>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</si>
  <si>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</si>
  <si>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</si>
  <si>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</si>
  <si>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</si>
  <si>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</si>
  <si>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</si>
  <si>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</si>
  <si>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</si>
  <si>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</si>
  <si>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</si>
  <si>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</si>
  <si>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</si>
  <si>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</si>
  <si>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</si>
  <si>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</si>
  <si>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</si>
  <si>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</si>
  <si>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</si>
  <si>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</si>
  <si>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</si>
  <si>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</si>
  <si>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</si>
  <si>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</si>
  <si>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</si>
  <si>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</si>
  <si>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</si>
  <si>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</si>
  <si>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</si>
  <si>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</si>
  <si>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</si>
  <si>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</si>
  <si>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</si>
  <si>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</si>
  <si>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</si>
  <si>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</si>
  <si>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</si>
  <si>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</si>
  <si>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</si>
  <si>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</si>
  <si>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</si>
  <si>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</si>
  <si>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</si>
  <si>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</si>
  <si>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</si>
  <si>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</si>
  <si>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</si>
  <si>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</si>
  <si>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</si>
  <si>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</si>
  <si>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</si>
  <si>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</si>
  <si>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</si>
  <si>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</si>
  <si>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</si>
  <si>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</si>
  <si>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</si>
  <si>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</si>
  <si>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</si>
  <si>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</si>
  <si>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</si>
  <si>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</si>
  <si>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</si>
  <si>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</si>
  <si>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</si>
  <si>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</si>
  <si>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</si>
  <si>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</si>
  <si>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</si>
  <si>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</si>
  <si>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</si>
  <si>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</si>
  <si>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</si>
  <si>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</si>
  <si>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</si>
  <si>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</si>
  <si>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</si>
  <si>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</si>
  <si>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</si>
  <si>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</si>
  <si>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</si>
  <si>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</si>
  <si>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</si>
  <si>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</si>
  <si>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</si>
  <si>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</si>
  <si>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</si>
  <si>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</si>
  <si>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</si>
  <si>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</si>
  <si>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</si>
  <si>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</si>
  <si>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</si>
  <si>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</si>
  <si>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</si>
  <si>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</si>
  <si>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</si>
  <si>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</si>
  <si>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</si>
  <si>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</si>
  <si>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</si>
  <si>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</si>
  <si>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</si>
  <si>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</si>
  <si>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</si>
  <si>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</si>
  <si>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</si>
  <si>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</si>
  <si>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</si>
  <si>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</si>
  <si>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</si>
  <si>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</si>
  <si>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</si>
  <si>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</si>
  <si>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</si>
  <si>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</si>
  <si>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</si>
  <si>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</si>
  <si>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</si>
  <si>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</si>
  <si>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</si>
  <si>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</si>
  <si>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</si>
  <si>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</si>
  <si>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</si>
  <si>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</si>
  <si>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</si>
  <si>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</si>
  <si>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</si>
  <si>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</si>
  <si>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</si>
  <si>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</si>
  <si>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</si>
  <si>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</si>
  <si>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</si>
  <si>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</si>
  <si>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</si>
  <si>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</si>
  <si>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</si>
  <si>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</si>
  <si>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</si>
  <si>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</si>
  <si>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</si>
  <si>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</si>
  <si>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</si>
  <si>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</si>
  <si>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</si>
  <si>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</si>
  <si>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</si>
  <si>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</si>
  <si>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</si>
  <si>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</si>
  <si>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</si>
  <si>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</si>
  <si>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</si>
  <si>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</si>
  <si>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</si>
  <si>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</si>
  <si>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</si>
  <si>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</si>
  <si>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</si>
  <si>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</si>
  <si>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</si>
  <si>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</si>
  <si>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</si>
  <si>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</si>
  <si>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</si>
  <si>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</si>
  <si>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</si>
  <si>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</si>
  <si>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</si>
  <si>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</si>
  <si>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</si>
  <si>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</si>
  <si>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</si>
  <si>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</si>
  <si>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</si>
  <si>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</si>
  <si>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</si>
  <si>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</si>
  <si>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</si>
  <si>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</si>
  <si>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</si>
  <si>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</si>
  <si>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</si>
  <si>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</si>
  <si>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</si>
  <si>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</si>
  <si>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</si>
  <si>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</si>
  <si>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</si>
  <si>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</si>
  <si>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</si>
  <si>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</si>
  <si>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</si>
  <si>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</si>
  <si>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</si>
  <si>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</si>
  <si>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</si>
  <si>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</si>
  <si>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</si>
  <si>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</si>
  <si>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</si>
  <si>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</si>
  <si>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</si>
  <si>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</si>
  <si>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</si>
  <si>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</si>
  <si>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</si>
  <si>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</si>
  <si>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</si>
  <si>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</si>
  <si>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</si>
  <si>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</si>
  <si>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</si>
  <si>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</si>
  <si>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</si>
  <si>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</si>
  <si>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</si>
  <si>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</si>
  <si>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</si>
  <si>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</si>
  <si>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</si>
  <si>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</si>
  <si>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</si>
  <si>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</si>
  <si>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</si>
  <si>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</si>
  <si>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</si>
  <si>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</si>
  <si>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</si>
  <si>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</si>
  <si>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</si>
  <si>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</si>
  <si>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</si>
  <si>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</si>
  <si>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</si>
  <si>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</si>
  <si>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</si>
  <si>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</si>
  <si>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</si>
  <si>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</si>
  <si>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</si>
  <si>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</si>
  <si>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</si>
  <si>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</si>
  <si>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</si>
  <si>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</si>
  <si>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</si>
  <si>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</si>
  <si>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</si>
  <si>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</si>
  <si>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</si>
  <si>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</si>
  <si>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</si>
  <si>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</si>
  <si>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</si>
  <si>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</si>
  <si>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</si>
  <si>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</si>
  <si>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</si>
  <si>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</si>
  <si>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</si>
  <si>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</si>
  <si>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</si>
  <si>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</si>
  <si>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</si>
  <si>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</si>
  <si>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</si>
  <si>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</si>
  <si>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</si>
  <si>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</si>
  <si>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</si>
  <si>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</si>
  <si>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</si>
  <si>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</si>
  <si>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</si>
  <si>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</si>
  <si>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</si>
  <si>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</si>
  <si>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</si>
  <si>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</si>
  <si>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</si>
  <si>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</si>
  <si>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</si>
  <si>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</si>
  <si>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</si>
  <si>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</si>
  <si>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</si>
  <si>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</si>
  <si>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</si>
  <si>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</si>
  <si>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</si>
  <si>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</si>
  <si>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</si>
  <si>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</si>
  <si>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</si>
  <si>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</si>
  <si>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</si>
  <si>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</si>
  <si>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</si>
  <si>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</si>
  <si>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</si>
  <si>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</si>
  <si>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</si>
  <si>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</si>
  <si>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</si>
  <si>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</si>
  <si>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</si>
  <si>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</si>
  <si>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</si>
  <si>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</si>
  <si>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</si>
  <si>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</si>
  <si>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</si>
  <si>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</si>
  <si>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</si>
  <si>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</si>
  <si>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</si>
  <si>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</si>
  <si>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</si>
  <si>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</si>
  <si>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</si>
  <si>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</si>
  <si>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</si>
  <si>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</si>
  <si>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</si>
  <si>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</si>
  <si>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</si>
  <si>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</si>
  <si>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</si>
  <si>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</si>
  <si>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</si>
  <si>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</si>
  <si>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</si>
  <si>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</si>
  <si>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</si>
  <si>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</si>
  <si>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</si>
  <si>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</si>
  <si>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</si>
  <si>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</si>
  <si>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</si>
  <si>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</si>
  <si>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</si>
  <si>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</si>
  <si>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</si>
  <si>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</si>
  <si>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</si>
  <si>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</si>
  <si>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</si>
  <si>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</si>
  <si>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</si>
  <si>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</si>
  <si>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</si>
  <si>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</si>
  <si>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</si>
  <si>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</si>
  <si>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</si>
  <si>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</si>
  <si>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</si>
  <si>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</si>
  <si>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</si>
  <si>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</si>
  <si>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</si>
  <si>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</si>
  <si>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</si>
  <si>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</si>
  <si>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</si>
  <si>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</si>
  <si>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</si>
  <si>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</si>
  <si>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</si>
  <si>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</si>
  <si>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</si>
  <si>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</si>
  <si>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</si>
  <si>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</si>
  <si>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</si>
  <si>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</si>
  <si>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</si>
  <si>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</si>
  <si>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</si>
  <si>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</si>
  <si>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</si>
  <si>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</si>
  <si>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</si>
  <si>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</si>
  <si>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</si>
  <si>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</si>
  <si>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</si>
  <si>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</si>
  <si>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</si>
  <si>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</si>
  <si>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</si>
  <si>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</si>
  <si>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</si>
  <si>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</si>
  <si>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</si>
  <si>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</si>
  <si>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</si>
  <si>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</si>
  <si>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</si>
  <si>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</si>
  <si>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</si>
  <si>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</si>
  <si>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</si>
  <si>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</si>
  <si>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</si>
  <si>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</si>
  <si>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</si>
  <si>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</si>
  <si>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</si>
  <si>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</si>
  <si>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</si>
  <si>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</si>
  <si>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</si>
  <si>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</si>
  <si>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</si>
  <si>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</si>
  <si>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</si>
  <si>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</si>
  <si>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</si>
  <si>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</si>
  <si>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</si>
  <si>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</si>
  <si>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</si>
  <si>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</si>
  <si>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</si>
  <si>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</si>
  <si>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</si>
  <si>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</si>
  <si>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</si>
  <si>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</si>
  <si>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</si>
  <si>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</si>
  <si>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</si>
  <si>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</si>
  <si>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</si>
  <si>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</si>
  <si>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</si>
  <si>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</si>
  <si>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</si>
  <si>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</si>
  <si>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</si>
  <si>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</si>
  <si>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</si>
  <si>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</si>
  <si>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</si>
  <si>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</si>
  <si>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</si>
  <si>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</si>
  <si>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</si>
  <si>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</si>
  <si>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</si>
  <si>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</si>
  <si>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</si>
  <si>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</si>
  <si>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</si>
  <si>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</si>
  <si>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</si>
  <si>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</si>
  <si>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</si>
  <si>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</si>
  <si>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</si>
  <si>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</si>
  <si>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</si>
  <si>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</si>
  <si>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</si>
  <si>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</si>
  <si>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</si>
  <si>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</si>
  <si>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</si>
  <si>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</si>
  <si>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</si>
  <si>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</si>
  <si>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</si>
  <si>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</si>
  <si>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</si>
  <si>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</si>
  <si>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</si>
  <si>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</si>
  <si>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</si>
  <si>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</si>
  <si>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</si>
  <si>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</si>
  <si>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</si>
  <si>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</si>
  <si>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</si>
  <si>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</si>
  <si>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</si>
  <si>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</si>
  <si>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</si>
  <si>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</si>
  <si>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</si>
  <si>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</si>
  <si>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</si>
  <si>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</si>
  <si>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</si>
  <si>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</si>
  <si>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</si>
  <si>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</si>
  <si>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</si>
  <si>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</si>
  <si>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</si>
  <si>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</si>
  <si>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</si>
  <si>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</si>
  <si>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</si>
  <si>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</si>
  <si>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</si>
  <si>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</si>
  <si>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</si>
  <si>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</si>
  <si>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</si>
  <si>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</si>
  <si>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</si>
  <si>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</si>
  <si>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</si>
  <si>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</si>
  <si>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</si>
  <si>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</si>
  <si>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</si>
  <si>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</si>
  <si>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</si>
  <si>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</si>
  <si>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</si>
  <si>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</si>
  <si>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</si>
  <si>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</si>
  <si>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</si>
  <si>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</si>
  <si>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</si>
  <si>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</si>
  <si>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</si>
  <si>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</si>
  <si>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</si>
  <si>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</si>
  <si>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</si>
  <si>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</si>
  <si>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</si>
  <si>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</si>
  <si>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</si>
  <si>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</si>
  <si>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</si>
  <si>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</si>
  <si>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</si>
  <si>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</si>
  <si>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</si>
  <si>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</si>
  <si>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</si>
  <si>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</si>
  <si>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</si>
  <si>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</si>
  <si>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</si>
  <si>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</si>
  <si>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</si>
  <si>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</si>
  <si>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</si>
  <si>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</si>
  <si>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</si>
  <si>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</si>
  <si>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</si>
  <si>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</si>
  <si>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</si>
  <si>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</si>
  <si>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</si>
  <si>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</si>
  <si>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</si>
  <si>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</si>
  <si>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</si>
  <si>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</si>
  <si>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</si>
  <si>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</si>
  <si>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</si>
  <si>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</si>
  <si>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</si>
  <si>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</si>
  <si>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</si>
  <si>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</si>
  <si>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</si>
  <si>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</si>
  <si>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</si>
  <si>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</si>
  <si>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</si>
  <si>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</si>
  <si>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</si>
  <si>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</si>
  <si>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</si>
  <si>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</si>
  <si>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</si>
  <si>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</si>
  <si>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</si>
  <si>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</si>
  <si>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</si>
  <si>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</si>
  <si>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</si>
  <si>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</si>
  <si>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</si>
  <si>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</si>
  <si>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</si>
  <si>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</si>
  <si>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</si>
  <si>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</si>
  <si>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</si>
  <si>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</si>
  <si>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</si>
  <si>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</si>
  <si>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</si>
  <si>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</si>
  <si>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</si>
  <si>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</si>
  <si>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</si>
  <si>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</si>
  <si>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</si>
  <si>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</si>
  <si>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</si>
  <si>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</si>
  <si>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</si>
  <si>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</si>
  <si>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</si>
  <si>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</si>
  <si>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</si>
  <si>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</si>
  <si>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</si>
  <si>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</si>
  <si>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</si>
  <si>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</si>
  <si>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</si>
  <si>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</si>
  <si>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</si>
  <si>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</si>
  <si>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</si>
  <si>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</si>
  <si>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</si>
  <si>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</si>
  <si>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</si>
  <si>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</si>
  <si>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</si>
  <si>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</si>
  <si>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</si>
  <si>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</si>
  <si>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</si>
  <si>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</si>
  <si>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</si>
  <si>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</si>
  <si>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</si>
  <si>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</si>
  <si>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</si>
  <si>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</si>
  <si>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</si>
  <si>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</si>
  <si>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</si>
  <si>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</si>
  <si>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</si>
  <si>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</si>
  <si>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</si>
  <si>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</si>
  <si>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</si>
  <si>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</si>
  <si>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</si>
  <si>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</si>
  <si>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</si>
  <si>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</si>
  <si>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</si>
  <si>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</si>
  <si>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</si>
  <si>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</si>
  <si>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</si>
  <si>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</si>
  <si>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</si>
  <si>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</si>
  <si>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</si>
  <si>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</si>
  <si>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</si>
  <si>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</si>
  <si>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</si>
  <si>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</si>
  <si>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</si>
  <si>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</si>
  <si>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</si>
  <si>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</si>
  <si>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</si>
  <si>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</si>
  <si>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</si>
  <si>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</si>
  <si>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</si>
  <si>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</si>
  <si>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</si>
  <si>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</si>
  <si>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</si>
  <si>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</si>
  <si>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</si>
  <si>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</si>
  <si>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</si>
  <si>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</si>
  <si>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</si>
  <si>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</si>
  <si>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</si>
  <si>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</si>
  <si>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</si>
  <si>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</si>
  <si>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</si>
  <si>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</si>
  <si>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</si>
  <si>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</si>
  <si>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</si>
  <si>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</si>
  <si>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</si>
  <si>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</si>
  <si>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</si>
  <si>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</si>
  <si>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</si>
  <si>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</si>
  <si>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</si>
  <si>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</si>
  <si>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</si>
  <si>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</si>
  <si>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</si>
  <si>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</si>
  <si>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</si>
  <si>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</si>
  <si>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</si>
  <si>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</si>
  <si>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</si>
  <si>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</si>
  <si>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</si>
  <si>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</si>
  <si>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</si>
  <si>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</si>
  <si>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</si>
  <si>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</si>
  <si>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</si>
  <si>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</si>
  <si>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</si>
  <si>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</si>
  <si>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</si>
  <si>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</si>
  <si>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</si>
  <si>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</si>
  <si>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</si>
  <si>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</si>
  <si>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</si>
  <si>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</si>
  <si>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</si>
  <si>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</si>
  <si>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</si>
  <si>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</si>
  <si>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</si>
  <si>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</si>
  <si>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</si>
  <si>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</si>
  <si>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</si>
  <si>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</si>
  <si>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</si>
  <si>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</si>
  <si>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</si>
  <si>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</si>
  <si>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</si>
  <si>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</si>
  <si>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</si>
  <si>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</si>
  <si>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</si>
  <si>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</si>
  <si>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</si>
  <si>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</si>
  <si>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</si>
  <si>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</si>
  <si>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</si>
  <si>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</si>
  <si>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</si>
  <si>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</si>
  <si>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</si>
  <si>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</si>
  <si>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</si>
  <si>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</si>
  <si>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</si>
  <si>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</si>
  <si>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</si>
  <si>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</si>
  <si>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</si>
  <si>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</si>
  <si>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</si>
  <si>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</si>
  <si>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</si>
  <si>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</si>
  <si>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</si>
  <si>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</si>
  <si>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</si>
  <si>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</si>
  <si>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</si>
  <si>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</si>
  <si>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</si>
  <si>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</si>
  <si>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</si>
  <si>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</si>
  <si>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</si>
  <si>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</si>
  <si>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</si>
  <si>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</si>
  <si>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</si>
  <si>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</si>
  <si>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</si>
  <si>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</si>
  <si>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</si>
  <si>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</si>
  <si>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</si>
  <si>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</si>
  <si>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</si>
  <si>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</si>
  <si>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</si>
  <si>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</si>
  <si>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</si>
  <si>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</si>
  <si>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</si>
  <si>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</si>
  <si>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</si>
  <si>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</si>
  <si>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</si>
  <si>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</si>
  <si>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</si>
  <si>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</si>
  <si>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</si>
  <si>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</si>
  <si>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</si>
  <si>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</si>
  <si>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</si>
  <si>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</si>
  <si>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</si>
  <si>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</si>
  <si>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</si>
  <si>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</si>
  <si>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</si>
  <si>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</si>
  <si>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</si>
  <si>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</si>
  <si>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</si>
  <si>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</si>
  <si>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</si>
  <si>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</si>
  <si>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</si>
  <si>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</si>
  <si>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</si>
  <si>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</si>
  <si>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</si>
  <si>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</si>
  <si>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</si>
  <si>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</si>
  <si>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</si>
  <si>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</si>
  <si>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</si>
  <si>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</si>
  <si>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</si>
  <si>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</si>
  <si>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</si>
  <si>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</si>
  <si>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</si>
  <si>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</si>
  <si>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</si>
  <si>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</si>
  <si>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</si>
  <si>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</si>
  <si>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</si>
  <si>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</si>
  <si>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</si>
  <si>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</si>
  <si>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</si>
  <si>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</si>
  <si>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</si>
  <si>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</si>
  <si>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</si>
  <si>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</si>
  <si>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</si>
  <si>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</si>
  <si>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</si>
  <si>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</si>
  <si>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</si>
  <si>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</si>
  <si>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</si>
  <si>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</si>
  <si>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</si>
  <si>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</si>
  <si>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</si>
  <si>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</si>
  <si>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</si>
  <si>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</si>
  <si>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</si>
  <si>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</si>
  <si>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</si>
  <si>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</si>
  <si>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</si>
  <si>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</si>
  <si>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</si>
  <si>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</si>
  <si>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</si>
  <si>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</si>
  <si>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</si>
  <si>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</si>
  <si>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</si>
  <si>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</si>
  <si>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</si>
  <si>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</si>
  <si>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</si>
  <si>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</si>
  <si>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</si>
  <si>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</si>
  <si>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</si>
  <si>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</si>
  <si>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</si>
  <si>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</si>
  <si>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</si>
  <si>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</si>
  <si>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</si>
  <si>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</si>
  <si>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</si>
  <si>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</si>
  <si>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</si>
  <si>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</si>
  <si>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</si>
  <si>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</si>
  <si>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</si>
  <si>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</si>
  <si>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</si>
  <si>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</si>
  <si>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</si>
  <si>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</si>
  <si>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</si>
  <si>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</si>
  <si>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</si>
  <si>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</si>
  <si>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</si>
  <si>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</si>
  <si>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</si>
  <si>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</si>
  <si>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</si>
  <si>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</si>
  <si>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</si>
  <si>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</si>
  <si>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</si>
  <si>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</si>
  <si>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</si>
  <si>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</si>
  <si>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</si>
  <si>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</si>
  <si>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</si>
  <si>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</si>
  <si>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</si>
  <si>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</si>
  <si>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</si>
  <si>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</si>
  <si>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</si>
  <si>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</si>
  <si>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</si>
  <si>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</si>
  <si>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</si>
  <si>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</si>
  <si>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</si>
  <si>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</si>
  <si>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</si>
  <si>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</si>
  <si>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</si>
  <si>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</si>
  <si>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</si>
  <si>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</si>
  <si>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</si>
  <si>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</si>
  <si>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</si>
  <si>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</si>
  <si>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</si>
  <si>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</si>
  <si>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</si>
  <si>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</si>
  <si>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</si>
  <si>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</si>
  <si>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</si>
  <si>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</si>
  <si>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</si>
  <si>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</si>
  <si>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</si>
  <si>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</si>
  <si>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</si>
  <si>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</si>
  <si>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</si>
  <si>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</si>
  <si>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</si>
  <si>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</si>
  <si>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</si>
  <si>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</si>
  <si>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</si>
  <si>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</si>
  <si>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</si>
  <si>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</si>
  <si>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</si>
  <si>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</si>
  <si>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</si>
  <si>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</si>
  <si>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</si>
  <si>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</si>
  <si>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</si>
  <si>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</si>
  <si>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</si>
  <si>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</si>
  <si>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</si>
  <si>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</si>
  <si>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</si>
  <si>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</si>
  <si>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</si>
  <si>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</si>
  <si>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</si>
  <si>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</si>
  <si>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</si>
  <si>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</si>
  <si>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</si>
  <si>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</si>
  <si>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</si>
  <si>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</si>
  <si>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</si>
  <si>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</si>
  <si>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</si>
  <si>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</si>
  <si>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</si>
  <si>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</si>
  <si>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</si>
  <si>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</si>
  <si>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</si>
  <si>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</si>
  <si>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</si>
  <si>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</si>
  <si>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</si>
  <si>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</si>
  <si>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</si>
  <si>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</si>
  <si>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</si>
  <si>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</si>
  <si>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</si>
  <si>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</si>
  <si>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</si>
  <si>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</si>
  <si>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</si>
  <si>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</si>
  <si>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</si>
  <si>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</si>
  <si>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</si>
  <si>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</si>
  <si>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</si>
  <si>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</si>
  <si>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</si>
  <si>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</si>
  <si>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</si>
  <si>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</si>
  <si>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</si>
  <si>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</si>
  <si>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</si>
  <si>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</si>
  <si>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</si>
  <si>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</si>
  <si>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</si>
  <si>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</si>
  <si>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</si>
  <si>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</si>
  <si>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</si>
  <si>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</si>
  <si>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</si>
  <si>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</si>
  <si>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</si>
  <si>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</si>
  <si>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</si>
  <si>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</si>
  <si>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</si>
  <si>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</si>
  <si>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</si>
  <si>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</si>
  <si>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</si>
  <si>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</si>
  <si>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</si>
  <si>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</si>
  <si>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P000000088</t>
  </si>
  <si>
    <t>P000000091</t>
  </si>
  <si>
    <t>P000000093</t>
  </si>
  <si>
    <t>P000000220</t>
  </si>
  <si>
    <t>P000000226</t>
  </si>
  <si>
    <t>P000000221</t>
  </si>
  <si>
    <t>P000000222</t>
  </si>
  <si>
    <t>P000000223</t>
  </si>
  <si>
    <t>P000000224</t>
  </si>
  <si>
    <t>P000000225</t>
  </si>
  <si>
    <t>P000000228</t>
  </si>
  <si>
    <t>P000000343</t>
  </si>
  <si>
    <t>P000000866</t>
  </si>
  <si>
    <t>P000000868</t>
  </si>
  <si>
    <t>P000000249</t>
  </si>
  <si>
    <t>P000001275</t>
  </si>
  <si>
    <t>P000000708</t>
  </si>
  <si>
    <t>P000000992</t>
  </si>
  <si>
    <t>P000000731</t>
  </si>
  <si>
    <t>ITR_1000$$$HU191025</t>
  </si>
  <si>
    <t>DFLTPGCOH_002002</t>
  </si>
  <si>
    <t>for 2025</t>
  </si>
  <si>
    <t>P000000230</t>
  </si>
  <si>
    <t>P000000412</t>
  </si>
  <si>
    <t>DE10YIT021</t>
  </si>
  <si>
    <t>DE10YIT020</t>
  </si>
  <si>
    <t>DE65GIT032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</si>
  <si>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</si>
  <si>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</si>
  <si>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</si>
  <si>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</si>
  <si>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</si>
  <si>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</si>
  <si>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</si>
  <si>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</si>
  <si>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</si>
  <si>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</si>
  <si>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</si>
  <si>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</si>
  <si>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</si>
  <si>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</si>
  <si>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</si>
  <si>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</si>
  <si>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</si>
  <si>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</si>
  <si>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</si>
  <si>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</si>
  <si>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</si>
  <si>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</si>
  <si>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</si>
  <si>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</si>
  <si>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</si>
  <si>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</si>
  <si>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</si>
  <si>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</si>
  <si>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</si>
  <si>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</si>
  <si>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</si>
  <si>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</si>
  <si>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</si>
  <si>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</si>
  <si>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</si>
  <si>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</si>
  <si>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</si>
  <si>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</si>
  <si>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</si>
  <si>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</si>
  <si>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</si>
  <si>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</si>
  <si>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</si>
  <si>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</si>
  <si>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</si>
  <si>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</si>
  <si>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</si>
  <si>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</si>
  <si>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</si>
  <si>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</si>
  <si>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</si>
  <si>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</si>
  <si>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</si>
  <si>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</si>
  <si>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</si>
  <si>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</si>
  <si>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CLFF_1000$$$IT10B05A11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</si>
  <si>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</si>
  <si>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</si>
  <si>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</si>
  <si>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</si>
  <si>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</si>
  <si>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</si>
  <si>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</si>
  <si>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</si>
  <si>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</si>
  <si>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</si>
  <si>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</si>
  <si>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</si>
  <si>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</si>
  <si>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</si>
  <si>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</si>
  <si>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</si>
  <si>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</si>
  <si>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</si>
  <si>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</si>
  <si>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</si>
  <si>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</si>
  <si>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</si>
  <si>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</si>
  <si>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</si>
  <si>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</si>
  <si>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</si>
  <si>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</si>
  <si>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</si>
  <si>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</si>
  <si>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</si>
  <si>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IT50TABF00</t>
  </si>
  <si>
    <t>IT50TABF02</t>
  </si>
  <si>
    <t>IT50TABF03</t>
  </si>
  <si>
    <t>IT50TABF04</t>
  </si>
  <si>
    <t>IT50TABF05</t>
  </si>
  <si>
    <t>IT50TABF06</t>
  </si>
  <si>
    <t>IT50TABF08</t>
  </si>
  <si>
    <t>IT50TABF09</t>
  </si>
  <si>
    <t>IT50TABF10</t>
  </si>
  <si>
    <t>IT50TLBM20</t>
  </si>
  <si>
    <t>IT50TABM10</t>
  </si>
  <si>
    <t>IT50TABF99</t>
  </si>
  <si>
    <t>IT50TABP00</t>
  </si>
  <si>
    <t>IT50TABP02</t>
  </si>
  <si>
    <t>IT50TABP03</t>
  </si>
  <si>
    <t>IT50TABP04</t>
  </si>
  <si>
    <t>IT50TLBP20</t>
  </si>
  <si>
    <t>IT50TABP10</t>
  </si>
  <si>
    <t>IT50TABP99</t>
  </si>
  <si>
    <t>IT50TABS21</t>
  </si>
  <si>
    <t>IT50TBBA01</t>
  </si>
  <si>
    <t>IT50TBBQ10</t>
  </si>
  <si>
    <t>IT50TBBQ20</t>
  </si>
  <si>
    <t>IT50TIBS11</t>
  </si>
  <si>
    <t>IT50TKBS31</t>
  </si>
  <si>
    <t>IT50TLBS13</t>
  </si>
  <si>
    <t>IT50TCBS41</t>
  </si>
  <si>
    <t>IT50TCBS42</t>
  </si>
  <si>
    <t>IT50TCBS43</t>
  </si>
  <si>
    <t>IT50TCBS44</t>
  </si>
  <si>
    <t>IT50TIBS12</t>
  </si>
  <si>
    <t>IT50TKBA02</t>
  </si>
  <si>
    <t>IT50TGBI01</t>
  </si>
  <si>
    <t>IT50TGBI21</t>
  </si>
  <si>
    <t>IT50TGBI31</t>
  </si>
  <si>
    <t>IT50TGBI44</t>
  </si>
  <si>
    <t>IT50TGBI42</t>
  </si>
  <si>
    <t>IT50TGBI41</t>
  </si>
  <si>
    <t>IT50TGBI45</t>
  </si>
  <si>
    <t>IT50TGBI43</t>
  </si>
  <si>
    <t>IT50TGBI22</t>
  </si>
  <si>
    <t>IT50TGBI46</t>
  </si>
  <si>
    <t>IT50TGBI47</t>
  </si>
  <si>
    <t>IT50TGBI48</t>
  </si>
  <si>
    <t>IT50TGBI49</t>
  </si>
  <si>
    <t>IT50TGBI51</t>
  </si>
  <si>
    <t>IT50TGBI52</t>
  </si>
  <si>
    <t>IT50TAPY90</t>
  </si>
  <si>
    <t>IT50TAPY91</t>
  </si>
  <si>
    <t>IT50TAPY92</t>
  </si>
  <si>
    <t>IT50TAPY93</t>
  </si>
  <si>
    <t>IT50TAPY94</t>
  </si>
  <si>
    <t>IT50TAPY95</t>
  </si>
  <si>
    <t>IT50TAPY96</t>
  </si>
  <si>
    <t>IT50TAPY97</t>
  </si>
  <si>
    <t>IT50TAPY99</t>
  </si>
  <si>
    <t>IT10B05A11</t>
  </si>
  <si>
    <t>IT50GCO202</t>
  </si>
  <si>
    <t>IT50GHR014</t>
  </si>
  <si>
    <t>IT50GIT023</t>
  </si>
  <si>
    <t>IT50GIT027</t>
  </si>
  <si>
    <t>IT50GIT031</t>
  </si>
  <si>
    <t>IT50GPO001</t>
  </si>
  <si>
    <t>IT50TNBA01</t>
  </si>
  <si>
    <t>IT50TNBA02</t>
  </si>
  <si>
    <t>IT50TOBA01</t>
  </si>
  <si>
    <t>IT50TOBA02</t>
  </si>
  <si>
    <t>IT50TPB002</t>
  </si>
  <si>
    <t>L000007094</t>
  </si>
  <si>
    <t>P000000466</t>
  </si>
  <si>
    <t>P000000777</t>
  </si>
  <si>
    <t>I500613000000</t>
  </si>
  <si>
    <t>QUATRO_I500613US01000000</t>
  </si>
  <si>
    <t>QUATRO_I500613US01100000</t>
  </si>
  <si>
    <t>QUATRO_I500613US01101000</t>
  </si>
  <si>
    <t>QUATRO_I500613US01700000</t>
  </si>
  <si>
    <t>QUATRO_I500613US01701000</t>
  </si>
  <si>
    <t>K10001195000</t>
  </si>
  <si>
    <t>QUATRO_K10001195US01000</t>
  </si>
  <si>
    <t>P000000810</t>
  </si>
  <si>
    <t>PL_E1_USAX</t>
  </si>
  <si>
    <t>LFF_1000$$$IT50TABF00</t>
  </si>
  <si>
    <t>H000004146</t>
  </si>
  <si>
    <t>H000000472</t>
  </si>
  <si>
    <t>LFF_1000$$$IT50TABP00</t>
  </si>
  <si>
    <t>H000004147</t>
  </si>
  <si>
    <t>H000004153</t>
  </si>
  <si>
    <t>H000000477</t>
  </si>
  <si>
    <t>H000004156</t>
  </si>
  <si>
    <t>H000004160</t>
  </si>
  <si>
    <t>H000004158</t>
  </si>
  <si>
    <t>LFF_1000$$$IT50TAPY95</t>
  </si>
  <si>
    <t>LFF_1000$$$IT50TAPY97</t>
  </si>
  <si>
    <t>H000004169</t>
  </si>
  <si>
    <t>H000000646</t>
  </si>
  <si>
    <t>H000004261</t>
  </si>
  <si>
    <t>H000000680</t>
  </si>
  <si>
    <t>H000000649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</si>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</sst>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41.835643865743" createdVersion="7" refreshedVersion="7" minRefreshableVersion="3" recordCount="5333" xr:uid="{11839AE3-6158-4318-87AD-2C711D0BF451}">
  <cacheSource type="worksheet">
    <worksheetSource name="Proc"/>
  </cacheSource>
  <cacheFields count="19">
    <cacheField name="App" numFmtId="0">
      <sharedItems containsBlank="1" count="16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8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1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0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26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2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5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5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1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11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11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80"/>
    <x v="1"/>
    <x v="8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9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9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9"/>
    <s v="Jay-R Lizardo"/>
    <m/>
  </r>
  <r>
    <x v="481"/>
    <x v="1"/>
    <x v="4"/>
    <s v="F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PHOENX_000400757375 PM-OSL Mgt. cost to WH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PHOENX_000400757376 PM-OSL Mgt. Cost to GDP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JP02TAAA04 Atsugi - Filling M30"/>
    <s v="P000000578"/>
    <s v="P000000088"/>
    <s v="LFF (MDG-F)"/>
    <s v="JP02TAAA0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FAZ01 XX_Atsugi Site Common"/>
    <s v="P000000087"/>
    <s v="P000000091"/>
    <s v="LFF (MDG-F)"/>
    <s v="JP02TF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PAZ01 Display SC Planning"/>
    <s v="P000000087"/>
    <s v="P000000091"/>
    <s v="LFF (MDG-F)"/>
    <s v="JP02TP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1TFAZ01 Atsugi Site Common"/>
    <s v="P000000087"/>
    <s v="P000000093"/>
    <s v="LFF (MDG-F)"/>
    <s v="JP01TFA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JPAC ProcOrd_'PM Atsugi_JPAC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L_E1_JPAK ProcOrd_PM Atsugi_JPAK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JPAK ProcOrd_PM Atsugi_JPAK(IO)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ASD02 Sheboygan Filling Equipment"/>
    <s v="P000000578"/>
    <s v="P000000220"/>
    <s v="LFF (MDG-F)"/>
    <s v="US01TAS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PHZ02 Sheboygan Delta Inbound Freight"/>
    <s v="P000000578"/>
    <s v="P000000226"/>
    <s v="LFF (MDG-F)"/>
    <s v="US01TP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0 XXXHVR PDMAT Product"/>
    <s v="P000000219"/>
    <s v="P000000220"/>
    <s v="LFF (MDG-F)"/>
    <s v="US01TAHA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1 HVR PDMAT Equip"/>
    <s v="P000000219"/>
    <s v="P000000220"/>
    <s v="LFF (MDG-F)"/>
    <s v="US01TAHA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99 DL -  Haverhill PDMAT"/>
    <s v="P000000219"/>
    <s v="P000000220"/>
    <s v="LFF (MDG-F)"/>
    <s v="US01TAHA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0 XXXHVR ALDM1 Product"/>
    <s v="P000000219"/>
    <s v="P000000220"/>
    <s v="LFF (MDG-F)"/>
    <s v="US01TAHB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1 HVR ALDM1 Equip"/>
    <s v="P000000219"/>
    <s v="P000000220"/>
    <s v="LFF (MDG-F)"/>
    <s v="US01TAHB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99 XXXHVR ALDM1 DL"/>
    <s v="P000000219"/>
    <s v="P000000220"/>
    <s v="LFF (MDG-F)"/>
    <s v="US01TAHB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C01 Production Fix Equipment  -  HVR TMA"/>
    <s v="P000000219"/>
    <s v="P000000220"/>
    <s v="LFF (MDG-F)"/>
    <s v="US01TAH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0 XXXHVR FG Preparatio"/>
    <s v="P000000219"/>
    <s v="P000000220"/>
    <s v="LFF (MDG-F)"/>
    <s v="US01TAHD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1 Production Fix Equipment  -  Bubbler Pre"/>
    <s v="P000000219"/>
    <s v="P000000220"/>
    <s v="LFF (MDG-F)"/>
    <s v="US01TAHD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2 HVR Transfill Equ"/>
    <s v="P000000219"/>
    <s v="P000000220"/>
    <s v="LFF (MDG-F)"/>
    <s v="US01TAH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99 XXXHVR FG Prep DL"/>
    <s v="P000000219"/>
    <s v="P000000220"/>
    <s v="LFF (MDG-F)"/>
    <s v="US01TAHD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1 Site Director + Assistant"/>
    <s v="P000000219"/>
    <s v="P000000220"/>
    <s v="LFF (MDG-F)"/>
    <s v="US01TAHZ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2 Ind. Personnel (Prod. Man. + Line Man.)"/>
    <s v="P000000219"/>
    <s v="P000000220"/>
    <s v="LFF (MDG-F)"/>
    <s v="US01TAHZ1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99 Haverhill - Direct Labor Pool"/>
    <s v="P000000219"/>
    <s v="P000000220"/>
    <s v="LFF (MDG-F)"/>
    <s v="US01TAHZ99"/>
    <s v="TO BE DONE IN 2026"/>
    <b v="0"/>
    <x v="3"/>
    <x v="0"/>
    <d v="2026-01-15T00:00:00"/>
    <m/>
    <m/>
    <x v="0"/>
    <n v="2"/>
    <s v="John Rowie Del Rosario"/>
    <m/>
  </r>
  <r>
    <x v="481"/>
    <x v="1"/>
    <x v="4"/>
    <s v="F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QUATRO_001050000220 US01 Volume variance HVR TAHB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QUATRO_001050000222 US01 Volume variance HVR TAHD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US01TMHZ01 Bubbler, Sensor &amp; Parts"/>
    <s v="P000000219"/>
    <s v="P000000221"/>
    <s v="LFF (MDG-F)"/>
    <s v="US01TMH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FI500613000000 Containers to support thin film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500613000000 Containers to support thin films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1 Mechanical installation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1 Process consulting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CHZ01 XXXHVR Engineering"/>
    <s v="P000000219"/>
    <s v="P000000222"/>
    <s v="LFF (MDG-F)"/>
    <s v="US01TC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DHZ01 XXXHVR Energy &amp; Util"/>
    <s v="P000000219"/>
    <s v="P000000223"/>
    <s v="LFF (MDG-F)"/>
    <s v="US01TD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EHZ01 Haverhill EH&amp;S Waste AU"/>
    <s v="P000000219"/>
    <s v="P000000224"/>
    <s v="LFF (MDG-F)"/>
    <s v="US01TE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1 HVR Building"/>
    <s v="P000000219"/>
    <s v="P000000225"/>
    <s v="LFF (MDG-F)"/>
    <s v="US01TF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2 XXXHVR General Site"/>
    <s v="P000000219"/>
    <s v="P000000225"/>
    <s v="LFF (MDG-F)"/>
    <s v="US01TF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3 HVR EH&amp;S Dept"/>
    <s v="P000000219"/>
    <s v="P000000225"/>
    <s v="LFF (MDG-F)"/>
    <s v="US01TFHZ03"/>
    <s v="TO BE DONE IN 2026"/>
    <b v="0"/>
    <x v="3"/>
    <x v="0"/>
    <d v="2026-01-15T00:00:00"/>
    <m/>
    <m/>
    <x v="0"/>
    <n v="2"/>
    <s v="John Rowie Del Rosario"/>
    <m/>
  </r>
  <r>
    <x v="481"/>
    <x v="1"/>
    <x v="4"/>
    <s v="FK10001195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K10001195000 Fire Suppresion System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1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KHZ01 XXXHVR Mat-OH Surcha"/>
    <s v="P000000219"/>
    <s v="P000000226"/>
    <s v="LFF (MDG-F)"/>
    <s v="US01TK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QHZ02 XXXLogistics - Haver"/>
    <s v="P000000219"/>
    <s v="P000000226"/>
    <s v="LFF (MDG-F)"/>
    <s v="US01TQ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LHZ01 Operations/Process Excellence, Process I"/>
    <s v="P000000219"/>
    <s v="P000000228"/>
    <s v="LFF (MDG-F)"/>
    <s v="US01TL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1 XXXHVR QA"/>
    <s v="P000000219"/>
    <s v="P000000343"/>
    <s v="LFF (MDG-F)"/>
    <s v="US01TB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2 Haverhill Quality Control"/>
    <s v="P000000219"/>
    <s v="P000000343"/>
    <s v="LFF (MDG-F)"/>
    <s v="US01TBHZ02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USAX ProcOrd_SAFC Hitech, Inc._USA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USAX ProcOrd_SAFC Hitech, Inc._USAX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N0001 US ELDP Central CC"/>
    <s v="P000001272"/>
    <s v="P000000578"/>
    <s v="LFF (MDG-F)"/>
    <s v="US01TN00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TAKZ01 Strategic Projects Thin Films"/>
    <s v="P000001412"/>
    <s v="P000000801"/>
    <s v="LFF (MDG-F)"/>
    <s v="DE04TA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BKZ02 QA Quality Assurance"/>
    <s v="P000000250"/>
    <s v="P000000249"/>
    <s v="LFF (MDG-F)"/>
    <s v="TW03TBK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QKZ01 Warehouse _ site allocation"/>
    <s v="P000000250"/>
    <s v="P000000249"/>
    <s v="LFF (MDG-F)"/>
    <s v="TW03TQ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0"/>
    <n v="2"/>
    <s v="John Rowie Del Rosario"/>
    <m/>
  </r>
  <r>
    <x v="481"/>
    <x v="1"/>
    <x v="4"/>
    <s v="CVRSM_VMCA$$US10PD1807 DS Svcs Engineering Admin"/>
    <s v="P000001300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0 Main Cost Collector - KFC (PHPS)"/>
    <s v="P000000521"/>
    <s v="P000000230"/>
    <s v="LFF (MDG-F)"/>
    <s v="JP02TASC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1 Kawaken PHPS Plant 1"/>
    <s v="P000000521"/>
    <s v="P000000230"/>
    <s v="LFF (MDG-F)"/>
    <s v="JP02TAS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2 Kawaken PHPS Plant 2"/>
    <s v="P000000521"/>
    <s v="P000000230"/>
    <s v="LFF (MDG-F)"/>
    <s v="JP02TASC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OF0402 Strategic Supply Network Planning"/>
    <s v="P000001396"/>
    <s v="P000000412"/>
    <s v="LFF (MDG-F)"/>
    <s v="DE04OF0402"/>
    <s v="TO BE DONE IN 2026"/>
    <b v="0"/>
    <x v="3"/>
    <x v="0"/>
    <d v="2026-01-15T00:00:00"/>
    <m/>
    <m/>
    <x v="0"/>
    <n v="2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0"/>
    <n v="2"/>
    <s v="Ruby Grace Garcia"/>
    <m/>
  </r>
  <r>
    <x v="483"/>
    <x v="1"/>
    <x v="5"/>
    <s v="CSCALA_1025$ITEF_V40"/>
    <s v="G000000786"/>
    <s v="ITR_1000$$$HU191025"/>
    <s v="Non-LFF"/>
    <s v=""/>
    <s v="To be done in 2025"/>
    <b v="0"/>
    <x v="0"/>
    <x v="0"/>
    <d v="2026-01-15T00:00:00"/>
    <m/>
    <m/>
    <x v="0"/>
    <n v="2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0"/>
    <n v="0"/>
    <s v="Ruby Grace Garcia"/>
    <m/>
  </r>
  <r>
    <x v="485"/>
    <x v="1"/>
    <x v="5"/>
    <s v="CNOW_7210$$$0000015880 "/>
    <s v="L000011157"/>
    <s v="DFLTPGCOH_002002"/>
    <s v="Non-LFF"/>
    <s v=""/>
    <s v="for 2025"/>
    <b v="0"/>
    <x v="2"/>
    <x v="0"/>
    <d v="2026-01-1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8">
        <item m="1" x="1052"/>
        <item x="0"/>
        <item m="1" x="1122"/>
        <item m="1" x="1543"/>
        <item m="1" x="705"/>
        <item m="1" x="1560"/>
        <item m="1" x="1082"/>
        <item m="1" x="1172"/>
        <item m="1" x="1593"/>
        <item m="1" x="1387"/>
        <item m="1" x="1075"/>
        <item m="1" x="1659"/>
        <item m="1" x="1405"/>
        <item m="1" x="1649"/>
        <item m="1" x="1023"/>
        <item m="1" x="924"/>
        <item m="1" x="628"/>
        <item m="1" x="889"/>
        <item m="1" x="1613"/>
        <item m="1" x="681"/>
        <item m="1" x="989"/>
        <item m="1" x="1357"/>
        <item m="1" x="1072"/>
        <item m="1" x="1165"/>
        <item m="1" x="1461"/>
        <item m="1" x="1646"/>
        <item m="1" x="1107"/>
        <item m="1" x="1129"/>
        <item m="1" x="894"/>
        <item m="1" x="1295"/>
        <item m="1" x="1054"/>
        <item m="1" x="1600"/>
        <item m="1" x="1257"/>
        <item m="1" x="690"/>
        <item m="1" x="798"/>
        <item m="1" x="1585"/>
        <item m="1" x="1349"/>
        <item m="1" x="603"/>
        <item m="1" x="1435"/>
        <item m="1" x="1101"/>
        <item m="1" x="1396"/>
        <item m="1" x="982"/>
        <item m="1" x="1334"/>
        <item m="1" x="593"/>
        <item m="1" x="623"/>
        <item m="1" x="1662"/>
        <item m="1" x="1341"/>
        <item m="1" x="1409"/>
        <item m="1" x="1516"/>
        <item m="1" x="1285"/>
        <item m="1" x="1383"/>
        <item m="1" x="1222"/>
        <item m="1" x="677"/>
        <item m="1" x="868"/>
        <item m="1" x="1644"/>
        <item m="1" x="1212"/>
        <item m="1" x="1352"/>
        <item m="1" x="880"/>
        <item m="1" x="841"/>
        <item m="1" x="1133"/>
        <item m="1" x="1025"/>
        <item m="1" x="1058"/>
        <item m="1" x="617"/>
        <item m="1" x="756"/>
        <item m="1" x="1418"/>
        <item m="1" x="1635"/>
        <item m="1" x="821"/>
        <item m="1" x="1226"/>
        <item m="1" x="1236"/>
        <item m="1" x="1413"/>
        <item m="1" x="1523"/>
        <item m="1" x="1401"/>
        <item m="1" x="696"/>
        <item m="1" x="1544"/>
        <item m="1" x="1274"/>
        <item m="1" x="1261"/>
        <item m="1" x="796"/>
        <item m="1" x="1149"/>
        <item m="1" x="1496"/>
        <item m="1" x="614"/>
        <item m="1" x="1193"/>
        <item m="1" x="1546"/>
        <item m="1" x="1384"/>
        <item m="1" x="1119"/>
        <item m="1" x="1161"/>
        <item m="1" x="1042"/>
        <item m="1" x="1277"/>
        <item m="1" x="1089"/>
        <item m="1" x="1321"/>
        <item m="1" x="805"/>
        <item m="1" x="1634"/>
        <item m="1" x="1159"/>
        <item m="1" x="1445"/>
        <item m="1" x="522"/>
        <item m="1" x="1650"/>
        <item m="1" x="1186"/>
        <item m="1" x="1475"/>
        <item m="1" x="1388"/>
        <item m="1" x="1166"/>
        <item m="1" x="676"/>
        <item m="1" x="683"/>
        <item m="1" x="723"/>
        <item m="1" x="905"/>
        <item m="1" x="1329"/>
        <item m="1" x="1090"/>
        <item m="1" x="1206"/>
        <item m="1" x="1269"/>
        <item m="1" x="1416"/>
        <item m="1" x="1499"/>
        <item m="1" x="1061"/>
        <item m="1" x="782"/>
        <item m="1" x="625"/>
        <item m="1" x="768"/>
        <item m="1" x="1643"/>
        <item m="1" x="800"/>
        <item m="1" x="1481"/>
        <item m="1" x="1410"/>
        <item m="1" x="1028"/>
        <item m="1" x="1100"/>
        <item m="1" x="966"/>
        <item m="1" x="1223"/>
        <item m="1" x="1598"/>
        <item m="1" x="774"/>
        <item m="1" x="722"/>
        <item m="1" x="657"/>
        <item m="1" x="1323"/>
        <item m="1" x="1583"/>
        <item m="1" x="1511"/>
        <item m="1" x="1168"/>
        <item m="1" x="692"/>
        <item m="1" x="1417"/>
        <item m="1" x="869"/>
        <item m="1" x="1123"/>
        <item m="1" x="1298"/>
        <item m="1" x="1406"/>
        <item m="1" x="526"/>
        <item m="1" x="1355"/>
        <item m="1" x="1318"/>
        <item m="1" x="759"/>
        <item m="1" x="1207"/>
        <item m="1" x="1095"/>
        <item m="1" x="1048"/>
        <item m="1" x="781"/>
        <item m="1" x="717"/>
        <item m="1" x="957"/>
        <item m="1" x="1144"/>
        <item m="1" x="551"/>
        <item m="1" x="890"/>
        <item m="1" x="749"/>
        <item m="1" x="491"/>
        <item m="1" x="1001"/>
        <item m="1" x="1202"/>
        <item m="1" x="1084"/>
        <item m="1" x="1130"/>
        <item m="1" x="1449"/>
        <item m="1" x="1031"/>
        <item m="1" x="1557"/>
        <item m="1" x="1281"/>
        <item m="1" x="1220"/>
        <item m="1" x="734"/>
        <item m="1" x="1367"/>
        <item m="1" x="1645"/>
        <item m="1" x="1333"/>
        <item m="1" x="1317"/>
        <item m="1" x="604"/>
        <item m="1" x="652"/>
        <item m="1" x="1187"/>
        <item m="1" x="693"/>
        <item m="1" x="1630"/>
        <item m="1" x="1296"/>
        <item m="1" x="1221"/>
        <item m="1" x="1173"/>
        <item m="1" x="974"/>
        <item m="1" x="602"/>
        <item m="1" x="702"/>
        <item m="1" x="808"/>
        <item m="1" x="1541"/>
        <item m="1" x="1573"/>
        <item m="1" x="1272"/>
        <item m="1" x="999"/>
        <item m="1" x="1087"/>
        <item m="1" x="597"/>
        <item m="1" x="637"/>
        <item m="1" x="976"/>
        <item m="1" x="1201"/>
        <item m="1" x="1114"/>
        <item m="1" x="772"/>
        <item m="1" x="1005"/>
        <item m="1" x="719"/>
        <item m="1" x="914"/>
        <item m="1" x="836"/>
        <item m="1" x="671"/>
        <item m="1" x="807"/>
        <item m="1" x="1177"/>
        <item m="1" x="587"/>
        <item m="1" x="826"/>
        <item m="1" x="618"/>
        <item m="1" x="1311"/>
        <item m="1" x="1500"/>
        <item m="1" x="1110"/>
        <item m="1" x="754"/>
        <item m="1" x="1404"/>
        <item m="1" x="1249"/>
        <item m="1" x="766"/>
        <item m="1" x="767"/>
        <item m="1" x="952"/>
        <item m="1" x="642"/>
        <item m="1" x="831"/>
        <item m="1" x="626"/>
        <item m="1" x="812"/>
        <item m="1" x="1380"/>
        <item m="1" x="891"/>
        <item m="1" x="1258"/>
        <item m="1" x="1308"/>
        <item m="1" x="1442"/>
        <item m="1" x="1446"/>
        <item m="1" x="1163"/>
        <item m="1" x="1004"/>
        <item m="1" x="1043"/>
        <item m="1" x="1610"/>
        <item m="1" x="903"/>
        <item m="1" x="715"/>
        <item m="1" x="1093"/>
        <item m="1" x="550"/>
        <item m="1" x="1614"/>
        <item m="1" x="1077"/>
        <item m="1" x="511"/>
        <item m="1" x="1532"/>
        <item m="1" x="1575"/>
        <item m="1" x="1412"/>
        <item m="1" x="789"/>
        <item m="1" x="528"/>
        <item m="1" x="1462"/>
        <item m="1" x="853"/>
        <item m="1" x="489"/>
        <item m="1" x="1633"/>
        <item m="1" x="877"/>
        <item m="1" x="1032"/>
        <item m="1" x="1477"/>
        <item m="1" x="564"/>
        <item m="1" x="1389"/>
        <item m="1" x="1197"/>
        <item m="1" x="1062"/>
        <item m="1" x="932"/>
        <item m="1" x="679"/>
        <item m="1" x="1180"/>
        <item m="1" x="882"/>
        <item m="1" x="1420"/>
        <item m="1" x="742"/>
        <item m="1" x="1490"/>
        <item m="1" x="1497"/>
        <item m="1" x="1181"/>
        <item m="1" x="1371"/>
        <item m="1" x="788"/>
        <item m="1" x="1085"/>
        <item m="1" x="1374"/>
        <item m="1" x="958"/>
        <item m="1" x="1248"/>
        <item m="1" x="887"/>
        <item m="1" x="672"/>
        <item m="1" x="876"/>
        <item m="1" x="1642"/>
        <item m="1" x="1584"/>
        <item m="1" x="729"/>
        <item m="1" x="1530"/>
        <item m="1" x="536"/>
        <item m="1" x="1552"/>
        <item m="1" x="571"/>
        <item m="1" x="873"/>
        <item m="1" x="971"/>
        <item m="1" x="918"/>
        <item m="1" x="1525"/>
        <item m="1" x="1428"/>
        <item m="1" x="669"/>
        <item m="1" x="1239"/>
        <item m="1" x="1447"/>
        <item m="1" x="1581"/>
        <item m="1" x="1488"/>
        <item m="1" x="574"/>
        <item m="1" x="1654"/>
        <item m="1" x="725"/>
        <item m="1" x="1006"/>
        <item m="1" x="1450"/>
        <item m="1" x="573"/>
        <item m="1" x="1509"/>
        <item m="1" x="738"/>
        <item m="1" x="1382"/>
        <item m="1" x="1246"/>
        <item m="1" x="1224"/>
        <item m="1" x="803"/>
        <item m="1" x="765"/>
        <item m="1" x="1577"/>
        <item m="1" x="518"/>
        <item m="1" x="700"/>
        <item m="1" x="1359"/>
        <item m="1" x="1470"/>
        <item m="1" x="1397"/>
        <item m="1" x="1601"/>
        <item m="1" x="1105"/>
        <item m="1" x="732"/>
        <item m="1" x="852"/>
        <item m="1" x="1171"/>
        <item m="1" x="913"/>
        <item m="1" x="1241"/>
        <item m="1" x="854"/>
        <item m="1" x="656"/>
        <item m="1" x="1309"/>
        <item m="1" x="711"/>
        <item m="1" x="591"/>
        <item m="1" x="1443"/>
        <item m="1" x="1590"/>
        <item m="1" x="1291"/>
        <item m="1" x="556"/>
        <item m="1" x="1482"/>
        <item m="1" x="1280"/>
        <item m="1" x="1390"/>
        <item m="1" x="1529"/>
        <item m="1" x="757"/>
        <item m="1" x="949"/>
        <item m="1" x="787"/>
        <item m="1" x="1055"/>
        <item m="1" x="979"/>
        <item m="1" x="1009"/>
        <item m="1" x="1545"/>
        <item m="1" x="991"/>
        <item m="1" x="1194"/>
        <item m="1" x="726"/>
        <item m="1" x="925"/>
        <item m="1" x="899"/>
        <item m="1" x="1242"/>
        <item m="1" x="1145"/>
        <item m="1" x="1373"/>
        <item m="1" x="895"/>
        <item m="1" x="1531"/>
        <item m="1" x="733"/>
        <item m="1" x="659"/>
        <item m="1" x="915"/>
        <item m="1" x="1456"/>
        <item m="1" x="566"/>
        <item m="1" x="567"/>
        <item m="1" x="863"/>
        <item m="1" x="1536"/>
        <item m="1" x="930"/>
        <item m="1" x="575"/>
        <item m="1" x="735"/>
        <item m="1" x="977"/>
        <item m="1" x="1288"/>
        <item m="1" x="1260"/>
        <item m="1" x="931"/>
        <item m="1" x="512"/>
        <item m="1" x="650"/>
        <item m="1" x="862"/>
        <item m="1" x="750"/>
        <item m="1" x="507"/>
        <item m="1" x="1460"/>
        <item m="1" x="1589"/>
        <item m="1" x="1059"/>
        <item m="1" x="1489"/>
        <item m="1" x="1549"/>
        <item m="1" x="572"/>
        <item m="1" x="1587"/>
        <item m="1" x="1325"/>
        <item m="1" x="748"/>
        <item m="1" x="934"/>
        <item m="1" x="838"/>
        <item m="1" x="1200"/>
        <item m="1" x="771"/>
        <item m="1" x="987"/>
        <item m="1" x="1282"/>
        <item m="1" x="1407"/>
        <item m="1" x="910"/>
        <item m="1" x="1038"/>
        <item m="1" x="850"/>
        <item m="1" x="776"/>
        <item m="1" x="1287"/>
        <item m="1" x="1402"/>
        <item m="1" x="1564"/>
        <item m="1" x="606"/>
        <item m="1" x="810"/>
        <item m="1" x="1250"/>
        <item m="1" x="651"/>
        <item m="1" x="938"/>
        <item m="1" x="1319"/>
        <item m="1" x="584"/>
        <item m="1" x="794"/>
        <item m="1" x="904"/>
        <item m="1" x="1510"/>
        <item m="1" x="743"/>
        <item m="1" x="1013"/>
        <item m="1" x="1566"/>
        <item m="1" x="694"/>
        <item m="1" x="883"/>
        <item m="1" x="1071"/>
        <item m="1" x="1408"/>
        <item m="1" x="706"/>
        <item m="1" x="962"/>
        <item m="1" x="804"/>
        <item m="1" x="1300"/>
        <item m="1" x="1486"/>
        <item m="1" x="612"/>
        <item m="1" x="832"/>
        <item m="1" x="1568"/>
        <item m="1" x="1533"/>
        <item m="1" x="633"/>
        <item m="1" x="950"/>
        <item m="1" x="1474"/>
        <item m="1" x="1605"/>
        <item m="1" x="1476"/>
        <item m="1" x="1451"/>
        <item m="1" x="582"/>
        <item m="1" x="758"/>
        <item m="1" x="840"/>
        <item m="1" x="829"/>
        <item m="1" x="1056"/>
        <item m="1" x="544"/>
        <item m="1" x="1243"/>
        <item m="1" x="1314"/>
        <item m="1" x="496"/>
        <item m="1" x="1574"/>
        <item m="1" x="1436"/>
        <item m="1" x="1565"/>
        <item m="1" x="1595"/>
        <item m="1" x="1631"/>
        <item m="1" x="1569"/>
        <item m="1" x="933"/>
        <item m="1" x="1293"/>
        <item m="1" x="900"/>
        <item m="1" x="1306"/>
        <item m="1" x="1271"/>
        <item m="1" x="709"/>
        <item m="1" x="747"/>
        <item m="1" x="885"/>
        <item m="1" x="1350"/>
        <item m="1" x="870"/>
        <item m="1" x="616"/>
        <item m="1" x="1615"/>
        <item m="1" x="1365"/>
        <item m="1" x="1198"/>
        <item m="1" x="1230"/>
        <item m="1" x="1279"/>
        <item m="1" x="704"/>
        <item m="1" x="1046"/>
        <item m="1" x="1391"/>
        <item m="1" x="542"/>
        <item m="1" x="785"/>
        <item m="1" x="685"/>
        <item m="1" x="682"/>
        <item m="1" x="686"/>
        <item m="1" x="487"/>
        <item m="1" x="708"/>
        <item m="1" x="1505"/>
        <item m="1" x="509"/>
        <item m="1" x="1155"/>
        <item m="1" x="1592"/>
        <item m="1" x="1403"/>
        <item m="1" x="663"/>
        <item m="1" x="1663"/>
        <item m="1" x="592"/>
        <item m="1" x="959"/>
        <item m="1" x="1182"/>
        <item m="1" x="638"/>
        <item m="1" x="1091"/>
        <item m="1" x="1251"/>
        <item m="1" x="1519"/>
        <item m="1" x="1421"/>
        <item m="1" x="500"/>
        <item m="1" x="1183"/>
        <item m="1" x="583"/>
        <item m="1" x="819"/>
        <item m="1" x="791"/>
        <item m="1" x="553"/>
        <item m="1" x="1146"/>
        <item m="1" x="1153"/>
        <item m="1" x="1253"/>
        <item m="1" x="1002"/>
        <item m="1" x="1502"/>
        <item m="1" x="911"/>
        <item m="1" x="1621"/>
        <item m="1" x="1256"/>
        <item m="1" x="1147"/>
        <item m="1" x="811"/>
        <item m="1" x="1219"/>
        <item m="1" x="1517"/>
        <item m="1" x="1582"/>
        <item m="1" x="1561"/>
        <item m="1" x="1491"/>
        <item m="1" x="1240"/>
        <item m="1" x="1353"/>
        <item m="1" x="866"/>
        <item m="1" x="1315"/>
        <item m="1" x="1140"/>
        <item m="1" x="1099"/>
        <item m="1" x="1097"/>
        <item m="1" x="1098"/>
        <item m="1" x="795"/>
        <item m="1" x="839"/>
        <item m="1" x="1452"/>
        <item m="1" x="1017"/>
        <item m="1" x="859"/>
        <item m="1" x="901"/>
        <item m="1" x="947"/>
        <item m="1" x="1199"/>
        <item m="1" x="1537"/>
        <item m="1" x="1626"/>
        <item m="1" x="744"/>
        <item m="1" x="695"/>
        <item m="1" x="532"/>
        <item m="1" x="554"/>
        <item m="1" x="851"/>
        <item m="1" x="639"/>
        <item m="1" x="967"/>
        <item m="1" x="1503"/>
        <item m="1" x="844"/>
        <item m="1" x="636"/>
        <item m="1" x="1395"/>
        <item m="1" x="513"/>
        <item m="1" x="1521"/>
        <item m="1" x="1596"/>
        <item m="1" x="1660"/>
        <item m="1" x="1535"/>
        <item m="1" x="778"/>
        <item m="1" x="555"/>
        <item m="1" x="1019"/>
        <item m="1" x="1103"/>
        <item m="1" x="1299"/>
        <item m="1" x="1267"/>
        <item m="1" x="1303"/>
        <item m="1" x="1080"/>
        <item m="1" x="1118"/>
        <item m="1" x="1559"/>
        <item m="1" x="1322"/>
        <item m="1" x="1292"/>
        <item m="1" x="1231"/>
        <item m="1" x="1304"/>
        <item m="1" x="505"/>
        <item m="1" x="510"/>
        <item m="1" x="1113"/>
        <item m="1" x="1498"/>
        <item m="1" x="1068"/>
        <item m="1" x="1638"/>
        <item m="1" x="1037"/>
        <item m="1" x="1213"/>
        <item m="1" x="1284"/>
        <item m="1" x="898"/>
        <item m="1" x="730"/>
        <item m="1" x="1106"/>
        <item m="1" x="792"/>
        <item m="1" x="1647"/>
        <item m="1" x="1562"/>
        <item m="1" x="1375"/>
        <item m="1" x="632"/>
        <item m="1" x="559"/>
        <item m="1" x="1132"/>
        <item m="1" x="1376"/>
        <item m="1" x="1665"/>
        <item m="1" x="1011"/>
        <item m="1" x="1612"/>
        <item m="1" x="546"/>
        <item m="1" x="660"/>
        <item m="1" x="972"/>
        <item m="1" x="1063"/>
        <item m="1" x="1492"/>
        <item m="1" x="816"/>
        <item m="1" x="1495"/>
        <item m="1" x="912"/>
        <item m="1" x="1484"/>
        <item m="1" x="1648"/>
        <item m="1" x="576"/>
        <item m="1" x="1632"/>
        <item m="1" x="523"/>
        <item m="1" x="1385"/>
        <item m="1" x="1003"/>
        <item m="1" x="834"/>
        <item m="1" x="797"/>
        <item m="1" x="941"/>
        <item m="1" x="540"/>
        <item m="1" x="1625"/>
        <item m="1" x="624"/>
        <item m="1" x="645"/>
        <item m="1" x="1518"/>
        <item m="1" x="1597"/>
        <item m="1" x="1111"/>
        <item m="1" x="1252"/>
        <item m="1" x="953"/>
        <item m="1" x="1066"/>
        <item m="1" x="1215"/>
        <item m="1" x="1332"/>
        <item m="1" x="919"/>
        <item m="1" x="1195"/>
        <item m="1" x="1014"/>
        <item m="1" x="1651"/>
        <item m="1" x="504"/>
        <item m="1" x="943"/>
        <item m="1" x="884"/>
        <item m="1" x="845"/>
        <item m="1" x="1639"/>
        <item m="1" x="1457"/>
        <item m="1" x="1588"/>
        <item m="1" x="601"/>
        <item m="1" x="1599"/>
        <item m="1" x="1586"/>
        <item m="1" x="1463"/>
        <item m="1" x="698"/>
        <item m="1" x="1067"/>
        <item m="1" x="1160"/>
        <item m="1" x="906"/>
        <item m="1" x="1504"/>
        <item m="1" x="1290"/>
        <item m="1" x="1310"/>
        <item m="1" x="1204"/>
        <item m="1" x="547"/>
        <item m="1" x="1377"/>
        <item m="1" x="1539"/>
        <item m="1" x="944"/>
        <item m="1" x="1658"/>
        <item m="1" x="1152"/>
        <item m="1" x="739"/>
        <item m="1" x="872"/>
        <item m="1" x="908"/>
        <item m="1" x="1567"/>
        <item m="1" x="1551"/>
        <item m="1" x="611"/>
        <item m="1" x="613"/>
        <item m="1" x="527"/>
        <item m="1" x="1487"/>
        <item m="1" x="529"/>
        <item m="1" x="946"/>
        <item m="1" x="846"/>
        <item m="1" x="1302"/>
        <item m="1" x="1245"/>
        <item m="1" x="1594"/>
        <item m="1" x="1526"/>
        <item m="1" x="1018"/>
        <item m="1" x="1232"/>
        <item m="1" x="1467"/>
        <item m="1" x="580"/>
        <item m="1" x="1012"/>
        <item m="1" x="942"/>
        <item m="1" x="1636"/>
        <item m="1" x="1603"/>
        <item m="1" x="1034"/>
        <item m="1" x="640"/>
        <item m="1" x="935"/>
        <item m="1" x="1108"/>
        <item m="1" x="562"/>
        <item m="1" x="1398"/>
        <item m="1" x="992"/>
        <item m="1" x="802"/>
        <item m="1" x="896"/>
        <item m="1" x="1342"/>
        <item m="1" x="1641"/>
        <item m="1" x="720"/>
        <item m="1" x="1493"/>
        <item m="1" x="714"/>
        <item m="1" x="1278"/>
        <item m="1" x="1050"/>
        <item m="1" x="981"/>
        <item m="1" x="703"/>
        <item m="1" x="770"/>
        <item m="1" x="558"/>
        <item m="1" x="1358"/>
        <item m="1" x="871"/>
        <item m="1" x="595"/>
        <item m="1" x="1209"/>
        <item m="1" x="1524"/>
        <item m="1" x="1064"/>
        <item m="1" x="1022"/>
        <item m="1" x="493"/>
        <item m="1" x="1629"/>
        <item m="1" x="879"/>
        <item m="1" x="939"/>
        <item m="1" x="1346"/>
        <item m="1" x="1623"/>
        <item m="1" x="1548"/>
        <item m="1" x="1399"/>
        <item m="1" x="1514"/>
        <item m="1" x="675"/>
        <item m="1" x="874"/>
        <item m="1" x="707"/>
        <item m="1" x="499"/>
        <item m="1" x="1112"/>
        <item m="1" x="561"/>
        <item m="1" x="783"/>
        <item m="1" x="727"/>
        <item m="1" x="673"/>
        <item m="1" x="1628"/>
        <item m="1" x="724"/>
        <item m="1" x="1326"/>
        <item m="1" x="1538"/>
        <item m="1" x="664"/>
        <item m="1" x="568"/>
        <item m="1" x="1361"/>
        <item m="1" x="1337"/>
        <item m="1" x="1378"/>
        <item m="1" x="1297"/>
        <item m="1" x="641"/>
        <item m="1" x="997"/>
        <item m="1" x="1265"/>
        <item m="1" x="1515"/>
        <item m="1" x="1109"/>
        <item m="1" x="1227"/>
        <item m="1" x="1571"/>
        <item m="1" x="983"/>
        <item m="1" x="827"/>
        <item m="1" x="1060"/>
        <item m="1" x="1007"/>
        <item m="1" x="937"/>
        <item m="1" x="1454"/>
        <item m="1" x="1141"/>
        <item m="1" x="1237"/>
        <item m="1" x="488"/>
        <item m="1" x="1033"/>
        <item m="1" x="635"/>
        <item m="1" x="902"/>
        <item m="1" x="1040"/>
        <item m="1" x="570"/>
        <item m="1" x="687"/>
        <item m="1" x="1142"/>
        <item m="1" x="1339"/>
        <item m="1" x="1609"/>
        <item m="1" x="1652"/>
        <item m="1" x="1262"/>
        <item m="1" x="610"/>
        <item m="1" x="538"/>
        <item m="1" x="1124"/>
        <item m="1" x="746"/>
        <item m="1" x="1020"/>
        <item m="1" x="648"/>
        <item m="1" x="751"/>
        <item m="1" x="1178"/>
        <item m="1" x="1534"/>
        <item m="1" x="1465"/>
        <item m="1" x="881"/>
        <item m="1" x="916"/>
        <item m="1" x="1192"/>
        <item m="1" x="1622"/>
        <item m="1" x="1348"/>
        <item m="1" x="514"/>
        <item m="1" x="1576"/>
        <item m="1" x="622"/>
        <item m="1" x="1268"/>
        <item m="1" x="1313"/>
        <item m="1" x="1316"/>
        <item m="1" x="1656"/>
        <item m="1" x="549"/>
        <item m="1" x="1327"/>
        <item m="1" x="1424"/>
        <item m="1" x="1196"/>
        <item m="1" x="1366"/>
        <item m="1" x="608"/>
        <item m="1" x="1000"/>
        <item m="1" x="847"/>
        <item m="1" x="1459"/>
        <item m="1" x="1554"/>
        <item m="1" x="1083"/>
        <item m="1" x="1522"/>
        <item m="1" x="1570"/>
        <item m="1" x="923"/>
        <item m="1" x="1426"/>
        <item m="1" x="1289"/>
        <item m="1" x="1572"/>
        <item m="1" x="1616"/>
        <item m="1" x="1354"/>
        <item m="1" x="964"/>
        <item m="1" x="769"/>
        <item m="1" x="1604"/>
        <item m="1" x="1151"/>
        <item m="1" x="1125"/>
        <item m="1" x="1134"/>
        <item m="1" x="1655"/>
        <item m="1" x="1379"/>
        <item m="1" x="1074"/>
        <item m="1" x="1343"/>
        <item m="1" x="1320"/>
        <item m="1" x="936"/>
        <item m="1" x="837"/>
        <item m="1" x="1336"/>
        <item m="1" x="731"/>
        <item m="1" x="688"/>
        <item m="1" x="630"/>
        <item m="1" x="1617"/>
        <item m="1" x="1233"/>
        <item m="1" x="968"/>
        <item m="1" x="1049"/>
        <item m="1" x="530"/>
        <item m="1" x="1606"/>
        <item m="1" x="1157"/>
        <item m="1" x="1305"/>
        <item m="1" x="753"/>
        <item m="1" x="1437"/>
        <item m="1" x="940"/>
        <item m="1" x="833"/>
        <item m="1" x="1661"/>
        <item m="1" x="963"/>
        <item m="1" x="1602"/>
        <item m="1" x="1188"/>
        <item m="1" x="864"/>
        <item m="1" x="655"/>
        <item m="1" x="598"/>
        <item m="1" x="892"/>
        <item m="1" x="589"/>
        <item m="1" x="560"/>
        <item m="1" x="577"/>
        <item m="1" x="856"/>
        <item m="1" x="701"/>
        <item m="1" x="1008"/>
        <item m="1" x="1065"/>
        <item m="1" x="1164"/>
        <item m="1" x="1035"/>
        <item m="1" x="1368"/>
        <item m="1" x="1432"/>
        <item m="1" x="644"/>
        <item m="1" x="654"/>
        <item m="1" x="843"/>
        <item m="1" x="985"/>
        <item m="1" x="775"/>
        <item m="1" x="1328"/>
        <item m="1" x="1078"/>
        <item m="1" x="995"/>
        <item m="1" x="1128"/>
        <item m="1" x="1434"/>
        <item m="1" x="1372"/>
        <item m="1" x="1458"/>
        <item m="1" x="1214"/>
        <item m="1" x="634"/>
        <item m="1" x="1640"/>
        <item m="1" x="1053"/>
        <item m="1" x="668"/>
        <item m="1" x="492"/>
        <item m="1" x="1637"/>
        <item m="1" x="1121"/>
        <item m="1" x="1088"/>
        <item m="1" x="860"/>
        <item m="1" x="740"/>
        <item m="1" x="824"/>
        <item m="1" x="978"/>
        <item m="1" x="1553"/>
        <item m="1" x="1472"/>
        <item m="1" x="848"/>
        <item m="1" x="921"/>
        <item m="1" x="928"/>
        <item m="1" x="1466"/>
        <item m="1" x="1069"/>
        <item m="1" x="541"/>
        <item m="1" x="1102"/>
        <item m="1" x="1381"/>
        <item m="1" x="1507"/>
        <item m="1" x="1400"/>
        <item m="1" x="1208"/>
        <item m="1" x="1506"/>
        <item m="1" x="520"/>
        <item m="1" x="1423"/>
        <item m="1" x="502"/>
        <item m="1" x="842"/>
        <item m="1" x="506"/>
        <item m="1" x="665"/>
        <item m="1" x="755"/>
        <item m="1" x="761"/>
        <item m="1" x="1179"/>
        <item m="1" x="1433"/>
        <item m="1" x="960"/>
        <item m="1" x="531"/>
        <item m="1" x="737"/>
        <item m="1" x="525"/>
        <item m="1" x="1520"/>
        <item m="1" x="745"/>
        <item m="1" x="1081"/>
        <item m="1" x="1540"/>
        <item m="1" x="867"/>
        <item m="1" x="809"/>
        <item m="1" x="1205"/>
        <item m="1" x="762"/>
        <item m="1" x="1070"/>
        <item m="1" x="1364"/>
        <item m="1" x="503"/>
        <item m="1" x="1016"/>
        <item m="1" x="1135"/>
        <item m="1" x="627"/>
        <item m="1" x="969"/>
        <item m="1" x="1104"/>
        <item m="1" x="855"/>
        <item m="1" x="893"/>
        <item m="1" x="620"/>
        <item m="1" x="1026"/>
        <item m="1" x="490"/>
        <item m="1" x="1162"/>
        <item m="1" x="1555"/>
        <item m="1" x="1276"/>
        <item m="1" x="1270"/>
        <item m="1" x="1169"/>
        <item m="1" x="495"/>
        <item m="1" x="1301"/>
        <item m="1" x="1344"/>
        <item m="1" x="1150"/>
        <item m="1" x="494"/>
        <item m="1" x="1501"/>
        <item m="1" x="1468"/>
        <item m="1" x="498"/>
        <item m="1" x="777"/>
        <item m="1" x="1167"/>
        <item m="1" x="1422"/>
        <item m="1" x="619"/>
        <item m="1" x="515"/>
        <item m="1" x="674"/>
        <item m="1" x="565"/>
        <item m="1" x="973"/>
        <item m="1" x="786"/>
        <item m="1" x="784"/>
        <item m="1" x="955"/>
        <item m="1" x="1057"/>
        <item m="1" x="961"/>
        <item m="1" x="1158"/>
        <item m="1" x="1010"/>
        <item m="1" x="875"/>
        <item m="1" x="990"/>
        <item m="1" x="1483"/>
        <item m="1" x="1578"/>
        <item m="1" x="835"/>
        <item m="1" x="1558"/>
        <item m="1" x="600"/>
        <item m="1" x="1547"/>
        <item m="1" x="1244"/>
        <item m="1" x="1415"/>
        <item m="1" x="1494"/>
        <item m="1" x="1174"/>
        <item m="1" x="1386"/>
        <item m="1" x="678"/>
        <item m="1" x="661"/>
        <item m="1" x="1283"/>
        <item m="1" x="1255"/>
        <item m="1" x="817"/>
        <item m="1" x="1653"/>
        <item m="1" x="1225"/>
        <item m="1" x="965"/>
        <item m="1" x="1039"/>
        <item m="1" x="998"/>
        <item m="1" x="1508"/>
        <item m="1" x="1512"/>
        <item m="1" x="508"/>
        <item m="1" x="1392"/>
        <item m="1" x="1438"/>
        <item m="1" x="557"/>
        <item m="1" x="929"/>
        <item m="1" x="920"/>
        <item m="1" x="1427"/>
        <item m="1" x="1126"/>
        <item m="1" x="1330"/>
        <item m="1" x="996"/>
        <item m="1" x="1347"/>
        <item m="1" x="535"/>
        <item m="1" x="658"/>
        <item m="1" x="1627"/>
        <item m="1" x="1247"/>
        <item m="1" x="1619"/>
        <item m="1" x="539"/>
        <item m="1" x="799"/>
        <item m="1" x="615"/>
        <item m="1" x="548"/>
        <item m="1" x="563"/>
        <item m="1" x="1115"/>
        <item m="1" x="1148"/>
        <item m="1" x="820"/>
        <item m="1" x="1238"/>
        <item m="1" x="1556"/>
        <item m="1" x="907"/>
        <item m="1" x="986"/>
        <item m="1" x="1136"/>
        <item m="1" x="1624"/>
        <item m="1" x="801"/>
        <item m="1" x="813"/>
        <item m="1" x="823"/>
        <item m="1" x="1444"/>
        <item m="1" x="1580"/>
        <item m="1" x="497"/>
        <item m="1" x="1324"/>
        <item m="1" x="1620"/>
        <item m="1" x="721"/>
        <item m="1" x="1036"/>
        <item m="1" x="1657"/>
        <item m="1" x="1563"/>
        <item m="1" x="710"/>
        <item m="1" x="822"/>
        <item m="1" x="909"/>
        <item m="1" x="1234"/>
        <item m="1" x="1431"/>
        <item m="1" x="666"/>
        <item m="1" x="1137"/>
        <item m="1" x="662"/>
        <item m="1" x="631"/>
        <item m="1" x="579"/>
        <item m="1" x="1550"/>
        <item m="1" x="1143"/>
        <item m="1" x="1591"/>
        <item m="1" x="984"/>
        <item m="1" x="1608"/>
        <item m="1" x="1360"/>
        <item m="1" x="649"/>
        <item m="1" x="1464"/>
        <item m="1" x="1478"/>
        <item m="1" x="1138"/>
        <item m="1" x="1513"/>
        <item m="1" x="1351"/>
        <item m="1" x="1216"/>
        <item m="1" x="533"/>
        <item m="1" x="1362"/>
        <item m="1" x="1094"/>
        <item m="1" x="1027"/>
        <item m="1" x="1370"/>
        <item m="1" x="954"/>
        <item m="1" x="588"/>
        <item m="1" x="760"/>
        <item m="1" x="537"/>
        <item m="1" x="886"/>
        <item m="1" x="1264"/>
        <item m="1" x="849"/>
        <item m="1" x="712"/>
        <item m="1" x="927"/>
        <item m="1" x="605"/>
        <item m="1" x="857"/>
        <item m="1" x="728"/>
        <item m="1" x="1079"/>
        <item m="1" x="1666"/>
        <item m="1" x="1120"/>
        <item m="1" x="716"/>
        <item m="1" x="993"/>
        <item m="1" x="699"/>
        <item m="1" x="752"/>
        <item m="1" x="1044"/>
        <item m="1" x="1312"/>
        <item m="1" x="1029"/>
        <item m="1" x="1479"/>
        <item m="1" x="1041"/>
        <item m="1" x="1275"/>
        <item m="1" x="590"/>
        <item m="1" x="1073"/>
        <item m="1" x="713"/>
        <item m="1" x="643"/>
        <item m="1" x="1369"/>
        <item m="1" x="684"/>
        <item m="1" x="1393"/>
        <item m="1" x="585"/>
        <item m="1" x="1210"/>
        <item m="1" x="1217"/>
        <item m="1" x="621"/>
        <item m="1" x="1139"/>
        <item m="1" x="517"/>
        <item m="1" x="1340"/>
        <item m="1" x="1045"/>
        <item m="1" x="1266"/>
        <item m="1" x="1235"/>
        <item m="1" x="1455"/>
        <item m="1" x="1228"/>
        <item m="1" x="806"/>
        <item m="1" x="1307"/>
        <item m="1" x="1441"/>
        <item m="1" x="1131"/>
        <item m="1" x="1263"/>
        <item m="1" x="596"/>
        <item m="1" x="1429"/>
        <item m="1" x="1086"/>
        <item m="1" x="951"/>
        <item m="1" x="1335"/>
        <item m="1" x="861"/>
        <item m="1" x="1184"/>
        <item m="1" x="718"/>
        <item m="1" x="814"/>
        <item m="1" x="1211"/>
        <item m="1" x="980"/>
        <item m="1" x="524"/>
        <item m="1" x="858"/>
        <item m="1" x="1338"/>
        <item m="1" x="1440"/>
        <item m="1" x="543"/>
        <item m="1" x="828"/>
        <item m="1" x="763"/>
        <item m="1" x="1096"/>
        <item m="1" x="1189"/>
        <item m="1" x="629"/>
        <item m="1" x="1611"/>
        <item m="1" x="594"/>
        <item m="1" x="667"/>
        <item m="1" x="1448"/>
        <item m="1" x="956"/>
        <item m="1" x="970"/>
        <item m="1" x="1024"/>
        <item m="1" x="599"/>
        <item m="1" x="878"/>
        <item m="1" x="1273"/>
        <item m="1" x="1185"/>
        <item m="1" x="975"/>
        <item m="1" x="922"/>
        <item m="1" x="552"/>
        <item m="1" x="790"/>
        <item m="1" x="1254"/>
        <item m="1" x="888"/>
        <item m="1" x="1051"/>
        <item m="1" x="988"/>
        <item m="1" x="1170"/>
        <item m="1" x="534"/>
        <item m="1" x="1015"/>
        <item m="1" x="689"/>
        <item m="1" x="1092"/>
        <item m="1" x="1218"/>
        <item m="1" x="1294"/>
        <item m="1" x="1229"/>
        <item m="1" x="1190"/>
        <item m="1" x="1116"/>
        <item m="1" x="1527"/>
        <item m="1" x="1419"/>
        <item m="1" x="670"/>
        <item m="1" x="1411"/>
        <item m="1" x="865"/>
        <item m="1" x="1175"/>
        <item m="1" x="581"/>
        <item m="1" x="1154"/>
        <item m="1" x="1021"/>
        <item m="1" x="1453"/>
        <item m="1" x="607"/>
        <item m="1" x="1664"/>
        <item m="1" x="646"/>
        <item m="1" x="586"/>
        <item m="1" x="1156"/>
        <item m="1" x="1356"/>
        <item m="1" x="1259"/>
        <item m="1" x="545"/>
        <item m="1" x="697"/>
        <item m="1" x="1485"/>
        <item m="1" x="1425"/>
        <item m="1" x="680"/>
        <item m="1" x="653"/>
        <item m="1" x="948"/>
        <item m="1" x="569"/>
        <item m="1" x="1176"/>
        <item m="1" x="609"/>
        <item m="1" x="779"/>
        <item m="1" x="1076"/>
        <item m="1" x="1607"/>
        <item m="1" x="647"/>
        <item m="1" x="917"/>
        <item m="1" x="764"/>
        <item m="1" x="926"/>
        <item m="1" x="1480"/>
        <item m="1" x="1363"/>
        <item m="1" x="825"/>
        <item m="1" x="578"/>
        <item m="1" x="1528"/>
        <item m="1" x="691"/>
        <item m="1" x="1473"/>
        <item m="1" x="1030"/>
        <item m="1" x="1414"/>
        <item m="1" x="773"/>
        <item m="1" x="945"/>
        <item m="1" x="1430"/>
        <item m="1" x="1618"/>
        <item m="1" x="1394"/>
        <item m="1" x="793"/>
        <item m="1" x="736"/>
        <item m="1" x="1439"/>
        <item m="1" x="1203"/>
        <item m="1" x="1047"/>
        <item m="1" x="1471"/>
        <item m="1" x="519"/>
        <item m="1" x="516"/>
        <item m="1" x="1191"/>
        <item m="1" x="1331"/>
        <item m="1" x="1286"/>
        <item m="1" x="1469"/>
        <item m="1" x="994"/>
        <item m="1" x="741"/>
        <item m="1" x="815"/>
        <item m="1" x="1345"/>
        <item m="1" x="897"/>
        <item m="1" x="1127"/>
        <item m="1" x="1542"/>
        <item m="1" x="780"/>
        <item m="1" x="1117"/>
        <item m="1" x="501"/>
        <item m="1" x="8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m="1" x="818"/>
        <item m="1" x="1579"/>
        <item m="1" x="521"/>
        <item m="1" x="4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8"/>
    </i>
    <i r="2">
      <x v="8"/>
    </i>
    <i r="2">
      <x v="10"/>
    </i>
    <i r="1">
      <x v="1660"/>
    </i>
    <i r="2">
      <x v="8"/>
    </i>
    <i r="1">
      <x v="1662"/>
    </i>
    <i r="2">
      <x v="8"/>
    </i>
    <i>
      <x v="1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32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704E10-C538-4DC9-AA13-E71E7BAE0C12}" name="Table7" displayName="Table7" ref="A1:S6" totalsRowShown="0">
  <autoFilter ref="A1:S6" xr:uid="{DB704E10-C538-4DC9-AA13-E71E7BAE0C12}"/>
  <tableColumns count="19">
    <tableColumn id="1" xr3:uid="{38E63694-91AE-40CF-B25C-21277D685FA8}" name="App"/>
    <tableColumn id="2" xr3:uid="{887FAB9F-C911-4169-AB52-37D306423A2E}" name="Filter"/>
    <tableColumn id="3" xr3:uid="{78614A9A-93FF-492B-A18F-0845BB5445F2}" name="Status"/>
    <tableColumn id="4" xr3:uid="{5DAF615C-4BBF-4401-BE94-5377CE6AD3F3}" name="Obj"/>
    <tableColumn id="5" xr3:uid="{C77C09CE-C31F-463F-B047-17A9884D5DB8}" name="Requested"/>
    <tableColumn id="6" xr3:uid="{8AC9A744-95FD-46D5-B83F-999DAFF613E1}" name="CurrentParent"/>
    <tableColumn id="7" xr3:uid="{B75034B4-BCD9-46CC-90F2-9F4EE89EC5DC}" name="type"/>
    <tableColumn id="8" xr3:uid="{91F2D676-1660-44E5-AAD8-164461FD1E0F}" name="LFF_ID"/>
    <tableColumn id="9" xr3:uid="{51CAE0F5-FDCA-43DA-A373-4C51F2D77501}" name="Analysis"/>
    <tableColumn id="10" xr3:uid="{8C8F42E2-A54B-47FA-882D-518E10D08DFE}" name="Check"/>
    <tableColumn id="11" xr3:uid="{D3FE1F2B-24C7-4CF9-B0DC-55E506C518F7}" name="Sector"/>
    <tableColumn id="12" xr3:uid="{6CF39CAD-AA35-4781-B405-93929360E3D6}" name="Forecast"/>
    <tableColumn id="13" xr3:uid="{090CA735-5F18-4C14-AA23-F4560E6B8168}" name="DateOpened" dataDxfId="31"/>
    <tableColumn id="14" xr3:uid="{93B15105-583B-4E2A-812A-97A990D3C217}" name="DateMapped"/>
    <tableColumn id="15" xr3:uid="{8A5F9B18-8F49-403C-BAA1-421104944095}" name="DateClosed"/>
    <tableColumn id="16" xr3:uid="{BF5A032F-CF37-495B-AEDD-81A88FF00FD5}" name="Delayed?"/>
    <tableColumn id="17" xr3:uid="{CAFB1CCF-4E56-4481-91C5-26F893C64AE9}" name="DaysAgeing"/>
    <tableColumn id="18" xr3:uid="{05266932-1910-425E-906B-A1BFCC59ACEE}" name="Author"/>
    <tableColumn id="19" xr3:uid="{A925C75C-96ED-46B9-A7CC-3ABE326745C4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5" totalsRowShown="0" totalsRowDxfId="23">
  <autoFilter ref="A1:C140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470" totalsRowShown="0">
  <autoFilter ref="A1:S5470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0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308</v>
      </c>
    </row>
    <row r="15" spans="1:2">
      <c r="A15" s="111" t="s">
        <v>369</v>
      </c>
      <c r="B15" s="150">
        <v>304</v>
      </c>
    </row>
    <row r="16" spans="1:2">
      <c r="A16" s="111" t="s">
        <v>370</v>
      </c>
      <c r="B16" s="150">
        <v>4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218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1</v>
      </c>
    </row>
    <row r="21" spans="1:2">
      <c r="A21" s="17" t="s">
        <v>570</v>
      </c>
      <c r="B21" s="150">
        <v>393</v>
      </c>
    </row>
    <row r="22" spans="1:2">
      <c r="A22" s="111" t="s">
        <v>369</v>
      </c>
      <c r="B22" s="150">
        <v>298</v>
      </c>
    </row>
    <row r="23" spans="1:2">
      <c r="A23" s="111" t="s">
        <v>370</v>
      </c>
      <c r="B23" s="150">
        <v>53</v>
      </c>
    </row>
    <row r="24" spans="1:2">
      <c r="A24" s="111" t="s">
        <v>377</v>
      </c>
      <c r="B24" s="150">
        <v>42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16</v>
      </c>
    </row>
    <row r="28" spans="1:2">
      <c r="A28" s="111" t="s">
        <v>369</v>
      </c>
      <c r="B28" s="150">
        <v>5</v>
      </c>
    </row>
    <row r="29" spans="1:2">
      <c r="A29" s="111" t="s">
        <v>370</v>
      </c>
      <c r="B29" s="150">
        <v>11</v>
      </c>
    </row>
    <row r="30" spans="1:2">
      <c r="A30" s="17" t="s">
        <v>381</v>
      </c>
      <c r="B30" s="150">
        <v>1230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33AB-8201-4445-A159-4CC4495A8FA0}">
  <dimension ref="A1:S6"/>
  <sheetViews>
    <sheetView workbookViewId="0">
      <selection activeCell="C6" sqref="C6"/>
    </sheetView>
  </sheetViews>
  <sheetFormatPr defaultRowHeight="15"/>
  <cols>
    <col min="4" max="4" width="25" bestFit="1" customWidth="1"/>
    <col min="5" max="5" width="12.7109375" customWidth="1"/>
    <col min="6" max="6" width="24.85546875" bestFit="1" customWidth="1"/>
    <col min="7" max="7" width="11.7109375" bestFit="1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7532</v>
      </c>
      <c r="B2" t="s">
        <v>925</v>
      </c>
      <c r="C2" t="s">
        <v>369</v>
      </c>
      <c r="D2" t="s">
        <v>7533</v>
      </c>
      <c r="E2" t="s">
        <v>7536</v>
      </c>
      <c r="F2" t="s">
        <v>7536</v>
      </c>
      <c r="G2" t="s">
        <v>400</v>
      </c>
      <c r="H2" t="s">
        <v>7711</v>
      </c>
      <c r="I2" t="s">
        <v>7537</v>
      </c>
      <c r="J2" t="b">
        <v>1</v>
      </c>
      <c r="K2" t="s">
        <v>567</v>
      </c>
      <c r="L2" t="s">
        <v>401</v>
      </c>
      <c r="M2" s="178">
        <v>46028</v>
      </c>
      <c r="P2" t="s">
        <v>4326</v>
      </c>
      <c r="Q2">
        <v>9</v>
      </c>
      <c r="R2" t="s">
        <v>1459</v>
      </c>
    </row>
    <row r="3" spans="1:19">
      <c r="A3" t="s">
        <v>7532</v>
      </c>
      <c r="B3" t="s">
        <v>925</v>
      </c>
      <c r="C3" t="s">
        <v>370</v>
      </c>
      <c r="D3" t="s">
        <v>7535</v>
      </c>
      <c r="E3" t="s">
        <v>2616</v>
      </c>
      <c r="F3" t="s">
        <v>2625</v>
      </c>
      <c r="G3" t="s">
        <v>406</v>
      </c>
      <c r="H3" t="s">
        <v>7742</v>
      </c>
      <c r="I3" t="s">
        <v>7538</v>
      </c>
      <c r="J3" t="b">
        <v>0</v>
      </c>
      <c r="K3" t="s">
        <v>567</v>
      </c>
      <c r="L3" t="s">
        <v>401</v>
      </c>
      <c r="M3" s="178">
        <v>46028</v>
      </c>
      <c r="P3" t="s">
        <v>4326</v>
      </c>
      <c r="Q3">
        <v>9</v>
      </c>
      <c r="R3" t="s">
        <v>1459</v>
      </c>
    </row>
    <row r="4" spans="1:19">
      <c r="A4" t="s">
        <v>7532</v>
      </c>
      <c r="B4" t="s">
        <v>925</v>
      </c>
      <c r="C4" t="s">
        <v>370</v>
      </c>
      <c r="D4" t="s">
        <v>7534</v>
      </c>
      <c r="E4" t="s">
        <v>5466</v>
      </c>
      <c r="F4" t="s">
        <v>2336</v>
      </c>
      <c r="G4" t="s">
        <v>406</v>
      </c>
      <c r="H4" t="s">
        <v>7743</v>
      </c>
      <c r="I4" t="s">
        <v>7538</v>
      </c>
      <c r="J4" t="b">
        <v>0</v>
      </c>
      <c r="K4" t="s">
        <v>567</v>
      </c>
      <c r="L4" t="s">
        <v>401</v>
      </c>
      <c r="M4" s="178">
        <v>46028</v>
      </c>
      <c r="P4" t="s">
        <v>4326</v>
      </c>
      <c r="Q4">
        <v>9</v>
      </c>
      <c r="R4" t="s">
        <v>1459</v>
      </c>
    </row>
    <row r="5" spans="1:19">
      <c r="A5" t="s">
        <v>7532</v>
      </c>
      <c r="B5" t="s">
        <v>925</v>
      </c>
      <c r="C5" t="s">
        <v>370</v>
      </c>
      <c r="D5" t="s">
        <v>2319</v>
      </c>
      <c r="E5" t="s">
        <v>430</v>
      </c>
      <c r="F5" t="s">
        <v>5569</v>
      </c>
      <c r="G5" t="s">
        <v>406</v>
      </c>
      <c r="H5" t="s">
        <v>7744</v>
      </c>
      <c r="I5" t="s">
        <v>7538</v>
      </c>
      <c r="J5" t="b">
        <v>0</v>
      </c>
      <c r="K5" t="s">
        <v>567</v>
      </c>
      <c r="L5" t="s">
        <v>401</v>
      </c>
      <c r="M5" s="178">
        <v>46028</v>
      </c>
      <c r="P5" t="s">
        <v>4326</v>
      </c>
      <c r="Q5">
        <v>9</v>
      </c>
      <c r="R5" t="s">
        <v>1459</v>
      </c>
    </row>
    <row r="6" spans="1:19">
      <c r="A6" t="s">
        <v>7532</v>
      </c>
      <c r="B6" t="s">
        <v>925</v>
      </c>
      <c r="C6" t="s">
        <v>370</v>
      </c>
      <c r="D6" t="s">
        <v>6783</v>
      </c>
      <c r="E6" t="s">
        <v>759</v>
      </c>
      <c r="F6" t="s">
        <v>7542</v>
      </c>
      <c r="G6" t="s">
        <v>400</v>
      </c>
      <c r="H6" t="s">
        <v>7711</v>
      </c>
      <c r="I6" t="s">
        <v>7537</v>
      </c>
      <c r="J6" t="b">
        <v>0</v>
      </c>
      <c r="K6" t="s">
        <v>567</v>
      </c>
      <c r="L6" t="s">
        <v>401</v>
      </c>
      <c r="M6" s="178">
        <v>46028</v>
      </c>
      <c r="P6" t="s">
        <v>4326</v>
      </c>
      <c r="Q6">
        <v>9</v>
      </c>
      <c r="R6" t="s">
        <v>1459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21" sqref="A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0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88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370</v>
      </c>
      <c r="B7" s="150">
        <v>53</v>
      </c>
      <c r="C7"/>
      <c r="D7"/>
      <c r="E7"/>
    </row>
    <row r="8" spans="1:6">
      <c r="A8" s="112" t="s">
        <v>377</v>
      </c>
      <c r="B8" s="150">
        <v>33</v>
      </c>
      <c r="C8" s="56"/>
      <c r="D8" s="124"/>
      <c r="E8" s="124"/>
    </row>
    <row r="9" spans="1:6">
      <c r="A9" s="111" t="s">
        <v>7712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7717</v>
      </c>
      <c r="B11" s="150">
        <v>1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7" t="s">
        <v>4326</v>
      </c>
      <c r="B13" s="150">
        <v>51</v>
      </c>
      <c r="C13"/>
      <c r="D13"/>
    </row>
    <row r="14" spans="1:6">
      <c r="A14" s="111" t="s">
        <v>7376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7519</v>
      </c>
      <c r="B16" s="150">
        <v>11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1" t="s">
        <v>7476</v>
      </c>
      <c r="B18" s="150">
        <v>34</v>
      </c>
      <c r="C18" s="126"/>
      <c r="D18"/>
    </row>
    <row r="19" spans="1:5">
      <c r="A19" s="112" t="s">
        <v>369</v>
      </c>
      <c r="B19" s="150">
        <v>31</v>
      </c>
      <c r="C19" s="47"/>
      <c r="D19"/>
    </row>
    <row r="20" spans="1:5">
      <c r="A20" s="112" t="s">
        <v>370</v>
      </c>
      <c r="B20" s="150">
        <v>3</v>
      </c>
      <c r="C20" s="126"/>
    </row>
    <row r="21" spans="1:5" ht="17.25" customHeight="1">
      <c r="A21" s="111" t="s">
        <v>7532</v>
      </c>
      <c r="B21" s="150">
        <v>5</v>
      </c>
    </row>
    <row r="22" spans="1:5">
      <c r="A22" s="112" t="s">
        <v>369</v>
      </c>
      <c r="B22" s="150">
        <v>1</v>
      </c>
    </row>
    <row r="23" spans="1:5">
      <c r="A23" s="112" t="s">
        <v>370</v>
      </c>
      <c r="B23" s="150">
        <v>3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139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5"/>
  <sheetViews>
    <sheetView topLeftCell="A1371" workbookViewId="0">
      <selection activeCell="C1404" sqref="C1404:C140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  <row r="1401" spans="1:3">
      <c r="A1401" t="s">
        <v>7654</v>
      </c>
      <c r="B1401">
        <v>1</v>
      </c>
      <c r="C1401" s="180" t="s">
        <v>4</v>
      </c>
    </row>
    <row r="1402" spans="1:3">
      <c r="A1402" t="s">
        <v>7714</v>
      </c>
      <c r="B1402">
        <v>1</v>
      </c>
      <c r="C1402" s="180" t="s">
        <v>4</v>
      </c>
    </row>
    <row r="1403" spans="1:3">
      <c r="A1403" t="s">
        <v>6639</v>
      </c>
      <c r="B1403">
        <v>2</v>
      </c>
      <c r="C1403" s="180" t="s">
        <v>4</v>
      </c>
    </row>
    <row r="1404" spans="1:3">
      <c r="A1404" t="s">
        <v>7364</v>
      </c>
      <c r="B1404">
        <v>5</v>
      </c>
      <c r="C1404" s="180" t="s">
        <v>4</v>
      </c>
    </row>
    <row r="1405" spans="1:3">
      <c r="A1405" t="s">
        <v>7343</v>
      </c>
      <c r="B1405">
        <v>1</v>
      </c>
      <c r="C1405" s="180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470"/>
  <sheetViews>
    <sheetView tabSelected="1" topLeftCell="E1" zoomScale="105" zoomScaleNormal="105" workbookViewId="0">
      <selection activeCell="E5484" sqref="E548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148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148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148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148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148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148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148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148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148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148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148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146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146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146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146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146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146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146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146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146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146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146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146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146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146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146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146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146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146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146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146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146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146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146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146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146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146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146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146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146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146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146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146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146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146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146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146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146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146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146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146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146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146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146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146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146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146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146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146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146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146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146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146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146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146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146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146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146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146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146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146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146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146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146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146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146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146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146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146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146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146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146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146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146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146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146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146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146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146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146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146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146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146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146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146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146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146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146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146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146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146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146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146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146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146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146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146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146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146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146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146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146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146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146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146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146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146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146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146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146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146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146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146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146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146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146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146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146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146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146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146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146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146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146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146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146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146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146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146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146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146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146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146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146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146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146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146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146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146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146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146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146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146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146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146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146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146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146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146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146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146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146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146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146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146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146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146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146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146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146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146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146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146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146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146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146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146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146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146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146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146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146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146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146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146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146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146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146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146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146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146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146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146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146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146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146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146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146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146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146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146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146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146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146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146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146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146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146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146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146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146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146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146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146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146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146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146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146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146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146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146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146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146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146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146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146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146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146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146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146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146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146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146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146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146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146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146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146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146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146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146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146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146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146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146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146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146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146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146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146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146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146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146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146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146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146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146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146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146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146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146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146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146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146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146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146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146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146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146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146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146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146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146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146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146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146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146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146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146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146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146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146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146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146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146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146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146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146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146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146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146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146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146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146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146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146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146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146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146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146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146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146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146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146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146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146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146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146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146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146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146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146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146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146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146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146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146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146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146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146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146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146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146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146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146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146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146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146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146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146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146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146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146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146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146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146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146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146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146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146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146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146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146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146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146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146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144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144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144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144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144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144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144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144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144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144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143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143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143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142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142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142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142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142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142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141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141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139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138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138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138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137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137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137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135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135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135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135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135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135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135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132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132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132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132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132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132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132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132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132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132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132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132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132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132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132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132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132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132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132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132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132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132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132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132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132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132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132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132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132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131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131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129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129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129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129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129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129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129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129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129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129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127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127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127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127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127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127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127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127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126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126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126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126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126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126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126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126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126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126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126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126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126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126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126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126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126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124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124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124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124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124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124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124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124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124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124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124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124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124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124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124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124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124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124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124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124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124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124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124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124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124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124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124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124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124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124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124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124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124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124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124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124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124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124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124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124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124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124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124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124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124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124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124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124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124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124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124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124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124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124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124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124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124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124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124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124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124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124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124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124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124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124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124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124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124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124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124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124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124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124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124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124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124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124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124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124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124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124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124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124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124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124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124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124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124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124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124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124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124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124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124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124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124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124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124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124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124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124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124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124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124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124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124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124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124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124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124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124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124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124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124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124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124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124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124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124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124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124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124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124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124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124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124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124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124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124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124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124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124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124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124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124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124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124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124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124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124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124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124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124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124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124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124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124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124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124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124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124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124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124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124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124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124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124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124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124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124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124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124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124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124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124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124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124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124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124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124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124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124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124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124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124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124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124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124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124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124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124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124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124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124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124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124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124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124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124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124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124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124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124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124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124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124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124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124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124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124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124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124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124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124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124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124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124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124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124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124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124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124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124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124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124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124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124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124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124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124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124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124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124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124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124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124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124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124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124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124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124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124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124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124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124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124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124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124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124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124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124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124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124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124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124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124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124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124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124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124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124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124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124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124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124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124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124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124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124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124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124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124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124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124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124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124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124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124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124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124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124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124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124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124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124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124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124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124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124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124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124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124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124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124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124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124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124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124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124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124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124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124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124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124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123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123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123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123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123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123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123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123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123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123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123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123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123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123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123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123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123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123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123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123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123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123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123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123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123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123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123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123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123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123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123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123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123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123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123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123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123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123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123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123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123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123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123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123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123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123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123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123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123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123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123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123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123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123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123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123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123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123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123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123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123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123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123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123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123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123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123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123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123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123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123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123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123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123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123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123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123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123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123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123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123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123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123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123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123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123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123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123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123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123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123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123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123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123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123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123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123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123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123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123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123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123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123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123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123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123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123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123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123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123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123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123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123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123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123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123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123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123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123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123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123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123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123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123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123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123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123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123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123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123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123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123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123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123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123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123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123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123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123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123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123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123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123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123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123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123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123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123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123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123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123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123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123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123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123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123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123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123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123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123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123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123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123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123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123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123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123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123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123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123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123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123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123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123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123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123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123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123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123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123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123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123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123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123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123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123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123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123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123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123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123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123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123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123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123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123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123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123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123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123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123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123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120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120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120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120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120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120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120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120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120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120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120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120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120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120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120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120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120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120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120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120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120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120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120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120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120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120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120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120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120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120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120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120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120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120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120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120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120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120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120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120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120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120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120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119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119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118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118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118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118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118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118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118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117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117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117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116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116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116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116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116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116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116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116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116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116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116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116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116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116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116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116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116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116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116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116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116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116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116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116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116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116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116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116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116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116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116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116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116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116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116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116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116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116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116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116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116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116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116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116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116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116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116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116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116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116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116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116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116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116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116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116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116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116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116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116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116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116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116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116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116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116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116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116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116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116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116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116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116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116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116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116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116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116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116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116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116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116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116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116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116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116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116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116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116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116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116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116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116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116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115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115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115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115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115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115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115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115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115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115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115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115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115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115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115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115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115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115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115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114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114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114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114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114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114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114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114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114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114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114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114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114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114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114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114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114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114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113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113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113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113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113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113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113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113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113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113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113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113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110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110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110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110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110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110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110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110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110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110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110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110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110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110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110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110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110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110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110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110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110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110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110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110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110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110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110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110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110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109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109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109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109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109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109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109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109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109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109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109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109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109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109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109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109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109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109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109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109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109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109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109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109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109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109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109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109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109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109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109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109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109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109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109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108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108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108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108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108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108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108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108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108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108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108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108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108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108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108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108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108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108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108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108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108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108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108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108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108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108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108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108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108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108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108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108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108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108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108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108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108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108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108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108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108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108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108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108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108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108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108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108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108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108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108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108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108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108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108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108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108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108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108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108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108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108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108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108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108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108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108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108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108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108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108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108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108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108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108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108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108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108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108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108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108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108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108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108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108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108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108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108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108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108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108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108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108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108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108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108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108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108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108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108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108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108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108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108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108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108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108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108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108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108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108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108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108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108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108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108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108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108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108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108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108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108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108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108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108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108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108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108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108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108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108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108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108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108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108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108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108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108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108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108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108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108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108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108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108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108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108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108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108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108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108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108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108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108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108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108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108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108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108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108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108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108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108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108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108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108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108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108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108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108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108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108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108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108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108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108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108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108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108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108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108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108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108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108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108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108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108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108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108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108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108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108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108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108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108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108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108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108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108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108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108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108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108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108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108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108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108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108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108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108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108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108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108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108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108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108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108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108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108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108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108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108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108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108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108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108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108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108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108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108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108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108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108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108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108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108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106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106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106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106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106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106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106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106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106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106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106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106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106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106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106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106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105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105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105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105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105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105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105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105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105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105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105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105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105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105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105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105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105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105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105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105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105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105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105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105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105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105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105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105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105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105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105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105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105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105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105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105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105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105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105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104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104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104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104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104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104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104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104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104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104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104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104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104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104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104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104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104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104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103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103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103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103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103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103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103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103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103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103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103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103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103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103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103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103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103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103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103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103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103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103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103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103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103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103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103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103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103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103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103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103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103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103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103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103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103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103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103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103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103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103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103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103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103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103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103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103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103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103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103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103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103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103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103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103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103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103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103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103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103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103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103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103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103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103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103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103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103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103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103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103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103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103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103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103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103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103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103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103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103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103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103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103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103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103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103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103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103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103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103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103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103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103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103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103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103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103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103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103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103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103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103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103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103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103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103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103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103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103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103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103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103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103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103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99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99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99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99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99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99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99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99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99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99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99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99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98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98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98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98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98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98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98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98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98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98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98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98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98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98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98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98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98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98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98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98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98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98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98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98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98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98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98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98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98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98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98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95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95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95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95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95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95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95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95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95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94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93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93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93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93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93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93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92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92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92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92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92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92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92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92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92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92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92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92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92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92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92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92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92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92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92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92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91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91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91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91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91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91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91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91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91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91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91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91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90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90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90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90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90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90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90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90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90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90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90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90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87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87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87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87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87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87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87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87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87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87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87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87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87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87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87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87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87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87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87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87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87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87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87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87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87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87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87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87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87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87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87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87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87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87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87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87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87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87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87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87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87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87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87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87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87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87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87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87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87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87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86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86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86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86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86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86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86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86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86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86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86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86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86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86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86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86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83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82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82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82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82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82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82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80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80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80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80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80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80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80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80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80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80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80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80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80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80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80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80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80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80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80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80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80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80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80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80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80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80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80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80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80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80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80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80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80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80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80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80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80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80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80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80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80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80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80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80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80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80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80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78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78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78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78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78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78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78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78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78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78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78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78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78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78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78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78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78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78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78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78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78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78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78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78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78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78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78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78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76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76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76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76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71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71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71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71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71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70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70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70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70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70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70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70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70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70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70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70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70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67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67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67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67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67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67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67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67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67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67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67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67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67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67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67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67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67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67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67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67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67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67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67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67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67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67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67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67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67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66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65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64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64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64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64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64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64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64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64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64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64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64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64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64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64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64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64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64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64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64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64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64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64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64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64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64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64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64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63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63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63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63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63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63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63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63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63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63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63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63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63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63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63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63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63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63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63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63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63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63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63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63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63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63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63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63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63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63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63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63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63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63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63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63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63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63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63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62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65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ok</v>
      </c>
      <c r="C4491" s="180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65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60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60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60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60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60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60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60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60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60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60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60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60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60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60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60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60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60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60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60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60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60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60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60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60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60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60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60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60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60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60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60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60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60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60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60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60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60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60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60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60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60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60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60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60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60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60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60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60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60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60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60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60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60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60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60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60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60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60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60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60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60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60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60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60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60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60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60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60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60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60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60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60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60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60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60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60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60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60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60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60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60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60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60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60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60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60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60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60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60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60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60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60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60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58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58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58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58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58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58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58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58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58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58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58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58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58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58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58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58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58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58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58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58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58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58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58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58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58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58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58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58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58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57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55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55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55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52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52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52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52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52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52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52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52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52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52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52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52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52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52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52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52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52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52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52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52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52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52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52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52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52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52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52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52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52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52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52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52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52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52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52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52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52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52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52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52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52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52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52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52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52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52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52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52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52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52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52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52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52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52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52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52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52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52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52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49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49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49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49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49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49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49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49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49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49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49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49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49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49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49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49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49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49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49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49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49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49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49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49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48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48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48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48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48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48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48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48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48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48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48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48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48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48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46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46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46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46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46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46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46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44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44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44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44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44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44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44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44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44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44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44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44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44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44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44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44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44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44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44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44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44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44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44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44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44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44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44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44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44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44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44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44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44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44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44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44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44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44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44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44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44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44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44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44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44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44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44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44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44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44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44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44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44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44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44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44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44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44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44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44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44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44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44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44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43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43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43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43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43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43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43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43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43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43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41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41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41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41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41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41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41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41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41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41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41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41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41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41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41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41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41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41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41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41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41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41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41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41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41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41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41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41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41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41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41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41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41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41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40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40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40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40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40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40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40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40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40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40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40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40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40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40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40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40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40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40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40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40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40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40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40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40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40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40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40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40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40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40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40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40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40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40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40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40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40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40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40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40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40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40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40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40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40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40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40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40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40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40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40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40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40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40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40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40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40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40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40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40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40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40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40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40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40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40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40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40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40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40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40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40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40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40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40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40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40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40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40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40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40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40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40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40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40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40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40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40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40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40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40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40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40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40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40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40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40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40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40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40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40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40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40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40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40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40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40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40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40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40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40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40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40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40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40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40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40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40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40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40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40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40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40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40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40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40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40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40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40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40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40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40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40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40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40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40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40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40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40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40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40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40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40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40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40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39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39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39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39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39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39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39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39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39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39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39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39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39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39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39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39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39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39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39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39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39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39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39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39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39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39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39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39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38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38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38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38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38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38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38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38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38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38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38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37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37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37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37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37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37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37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37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37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37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37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37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37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37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37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37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37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37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37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37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37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37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37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37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37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37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36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36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35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35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35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35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35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35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35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35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35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35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35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35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35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35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35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35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35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35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35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35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34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34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34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34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34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34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34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34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34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34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34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34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34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34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34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34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34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34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34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34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34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34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34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34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34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34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34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34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34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34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34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34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34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34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32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32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32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32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32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32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32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32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30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ok</v>
      </c>
      <c r="C5105" s="180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30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30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30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30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29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29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29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29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29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29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Row],[Obj]],Sheet9!A:B,2,0)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29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26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26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26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26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26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26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26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26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26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26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26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26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26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26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26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22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22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22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22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22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22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22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22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22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22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22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22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22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22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22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22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19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19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19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15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15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15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15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15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15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15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15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15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15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15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15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15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15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15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15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15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15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15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15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15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15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15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15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15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15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15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15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15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15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15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15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15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15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15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15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15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15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15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15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15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15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369</v>
      </c>
      <c r="D5192" t="s">
        <v>7478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15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15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15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15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15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15</v>
      </c>
      <c r="R5197" s="178" t="s">
        <v>489</v>
      </c>
      <c r="S5197" s="150"/>
    </row>
    <row r="5198" spans="1:19" hidden="1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Row],[Obj]],Sheet9!A:B,2,0)</f>
        <v>L000013174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15</v>
      </c>
      <c r="R5198" s="178" t="s">
        <v>489</v>
      </c>
      <c r="S5198" s="150"/>
    </row>
    <row r="5199" spans="1:19" hidden="1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Row],[Obj]],Sheet9!A:B,2,0)</f>
        <v>L000007094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15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15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15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15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15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15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15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15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15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15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15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15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15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15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15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15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15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15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15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15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15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15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15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15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15</v>
      </c>
      <c r="R5223" s="178" t="s">
        <v>489</v>
      </c>
      <c r="S5223" s="150"/>
    </row>
    <row r="5224" spans="1:19" hidden="1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Row],[Obj]],Sheet9!A:B,2,0)</f>
        <v>L000006429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15</v>
      </c>
      <c r="R5224" s="178" t="s">
        <v>489</v>
      </c>
      <c r="S5224" s="150"/>
    </row>
    <row r="5225" spans="1:19" hidden="1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Row],[Obj]],Sheet9!A:B,2,0)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15</v>
      </c>
      <c r="R5225" s="178" t="s">
        <v>7193</v>
      </c>
      <c r="S5225" s="150"/>
    </row>
    <row r="5226" spans="1:19" hidden="1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Row],[Obj]],Sheet9!A:B,2,0)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15</v>
      </c>
      <c r="R5226" s="178" t="s">
        <v>7193</v>
      </c>
      <c r="S5226" s="150"/>
    </row>
    <row r="5227" spans="1:19" hidden="1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Row],[Obj]],Sheet9!A:B,2,0)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15</v>
      </c>
      <c r="R5227" s="178" t="s">
        <v>7193</v>
      </c>
      <c r="S5227" s="150"/>
    </row>
    <row r="5228" spans="1:19" hidden="1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Row],[Obj]],Sheet9!A:B,2,0)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15</v>
      </c>
      <c r="R5228" s="178" t="s">
        <v>7193</v>
      </c>
      <c r="S5228" s="150"/>
    </row>
    <row r="5229" spans="1:19" hidden="1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Row],[Obj]],Sheet9!A:B,2,0)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15</v>
      </c>
      <c r="R5229" s="178" t="s">
        <v>7193</v>
      </c>
      <c r="S5229" s="150"/>
    </row>
    <row r="5230" spans="1:19" hidden="1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Row],[Obj]],Sheet9!A:B,2,0)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15</v>
      </c>
      <c r="R5230" s="178" t="s">
        <v>7193</v>
      </c>
      <c r="S5230" s="150"/>
    </row>
    <row r="5231" spans="1:19" hidden="1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Row],[Obj]],Sheet9!A:B,2,0)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15</v>
      </c>
      <c r="R5231" s="178" t="s">
        <v>7193</v>
      </c>
      <c r="S5231" s="150"/>
    </row>
    <row r="5232" spans="1:19" hidden="1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Row],[Obj]],Sheet9!A:B,2,0)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15</v>
      </c>
      <c r="R5232" s="178" t="s">
        <v>7193</v>
      </c>
      <c r="S5232" s="150"/>
    </row>
    <row r="5233" spans="1:19" hidden="1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Row],[Obj]],Sheet9!A:B,2,0)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15</v>
      </c>
      <c r="R5233" s="178" t="s">
        <v>7193</v>
      </c>
      <c r="S5233" s="150"/>
    </row>
    <row r="5234" spans="1:19" hidden="1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Row],[Obj]],Sheet9!A:B,2,0)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15</v>
      </c>
      <c r="R5234" s="178" t="s">
        <v>7193</v>
      </c>
      <c r="S5234" s="150"/>
    </row>
    <row r="5235" spans="1:19" hidden="1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Row],[Obj]],Sheet9!A:B,2,0)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15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13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13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13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13</v>
      </c>
      <c r="R5239" s="178" t="s">
        <v>7404</v>
      </c>
      <c r="S5239" s="150"/>
    </row>
    <row r="5240" spans="1:19" hidden="1">
      <c r="A5240" t="s">
        <v>7532</v>
      </c>
      <c r="B5240" s="150" t="str">
        <f>IFERROR(VLOOKUP(Proc[[#This Row],[App]],Table2[],3,0),"open")</f>
        <v>open</v>
      </c>
      <c r="C5240" t="s">
        <v>377</v>
      </c>
      <c r="D5240" t="s">
        <v>6783</v>
      </c>
      <c r="E5240" t="s">
        <v>759</v>
      </c>
      <c r="F5240" s="150" t="str">
        <f>VLOOKUP(Proc[[#This Row],[Obj]],Sheet9!A:B,2,0)</f>
        <v>ITR_1000$$$1022ITR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13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13</v>
      </c>
      <c r="R5241" s="178" t="s">
        <v>1459</v>
      </c>
      <c r="S5241" s="150"/>
    </row>
    <row r="5242" spans="1:19" hidden="1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Row],[Obj]],Sheet9!A:B,2,0)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13</v>
      </c>
      <c r="R5242" s="178" t="s">
        <v>1459</v>
      </c>
      <c r="S5242" s="150"/>
    </row>
    <row r="5243" spans="1:19" hidden="1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Row],[Obj]],Sheet9!A:B,2,0)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13</v>
      </c>
      <c r="R5243" s="178" t="s">
        <v>1459</v>
      </c>
      <c r="S5243" s="150"/>
    </row>
    <row r="5244" spans="1:19" hidden="1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Row],[Obj]],Sheet9!A:B,2,0)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13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 t="str">
        <f>VLOOKUP(Proc[[#This Row],[Obj]],Sheet9!A:B,2,0)</f>
        <v>P000000466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6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 t="str">
        <f>VLOOKUP(Proc[[#This Row],[Obj]],Sheet9!A:B,2,0)</f>
        <v>P000000466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6</v>
      </c>
      <c r="R5246" s="178" t="s">
        <v>5709</v>
      </c>
      <c r="S5246" s="150"/>
    </row>
    <row r="5247" spans="1:19" hidden="1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 t="str">
        <f>VLOOKUP(Proc[[#This Row],[Obj]],Sheet9!A:B,2,0)</f>
        <v>P000000466</v>
      </c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6</v>
      </c>
      <c r="R5247" s="178" t="s">
        <v>5709</v>
      </c>
      <c r="S5247" s="150"/>
    </row>
    <row r="5248" spans="1:19" hidden="1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 t="str">
        <f>VLOOKUP(Proc[[#This Row],[Obj]],Sheet9!A:B,2,0)</f>
        <v>P000000466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6</v>
      </c>
      <c r="R5248" s="178" t="s">
        <v>5709</v>
      </c>
      <c r="S5248" s="150"/>
    </row>
    <row r="5249" spans="1:19" hidden="1">
      <c r="A5249" s="149" t="s">
        <v>7545</v>
      </c>
      <c r="B5249" s="150" t="str">
        <f>IFERROR(VLOOKUP(Proc[[#This Row],[App]],Table2[],3,0),"open")</f>
        <v>open</v>
      </c>
      <c r="C5249" s="149" t="s">
        <v>370</v>
      </c>
      <c r="D5249" t="s">
        <v>7550</v>
      </c>
      <c r="E5249" t="s">
        <v>7644</v>
      </c>
      <c r="F5249" s="150" t="str">
        <f>VLOOKUP(Proc[[#This Row],[Obj]],Sheet9!A:B,2,0)</f>
        <v>P000000088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6</v>
      </c>
      <c r="R5249" s="178" t="s">
        <v>5709</v>
      </c>
      <c r="S5249" s="150"/>
    </row>
    <row r="5250" spans="1:19" hidden="1">
      <c r="A5250" s="149" t="s">
        <v>7545</v>
      </c>
      <c r="B5250" s="150" t="str">
        <f>IFERROR(VLOOKUP(Proc[[#This Row],[App]],Table2[],3,0),"open")</f>
        <v>open</v>
      </c>
      <c r="C5250" s="149" t="s">
        <v>370</v>
      </c>
      <c r="D5250" t="s">
        <v>7551</v>
      </c>
      <c r="E5250" t="s">
        <v>7645</v>
      </c>
      <c r="F5250" s="150" t="str">
        <f>VLOOKUP(Proc[[#This Row],[Obj]],Sheet9!A:B,2,0)</f>
        <v>P000000091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6</v>
      </c>
      <c r="R5250" s="178" t="s">
        <v>5709</v>
      </c>
      <c r="S5250" s="150"/>
    </row>
    <row r="5251" spans="1:19" hidden="1">
      <c r="A5251" s="149" t="s">
        <v>7545</v>
      </c>
      <c r="B5251" s="150" t="str">
        <f>IFERROR(VLOOKUP(Proc[[#This Row],[App]],Table2[],3,0),"open")</f>
        <v>open</v>
      </c>
      <c r="C5251" s="149" t="s">
        <v>370</v>
      </c>
      <c r="D5251" t="s">
        <v>7552</v>
      </c>
      <c r="E5251" t="s">
        <v>7645</v>
      </c>
      <c r="F5251" s="150" t="str">
        <f>VLOOKUP(Proc[[#This Row],[Obj]],Sheet9!A:B,2,0)</f>
        <v>P000000091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6</v>
      </c>
      <c r="R5251" s="178" t="s">
        <v>5709</v>
      </c>
      <c r="S5251" s="150"/>
    </row>
    <row r="5252" spans="1:19" hidden="1">
      <c r="A5252" s="149" t="s">
        <v>7545</v>
      </c>
      <c r="B5252" s="150" t="str">
        <f>IFERROR(VLOOKUP(Proc[[#This Row],[App]],Table2[],3,0),"open")</f>
        <v>open</v>
      </c>
      <c r="C5252" s="149" t="s">
        <v>370</v>
      </c>
      <c r="D5252" t="s">
        <v>7553</v>
      </c>
      <c r="E5252" t="s">
        <v>7645</v>
      </c>
      <c r="F5252" s="150" t="str">
        <f>VLOOKUP(Proc[[#This Row],[Obj]],Sheet9!A:B,2,0)</f>
        <v>P000000093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6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 t="str">
        <f>VLOOKUP(Proc[[#This Row],[Obj]],Sheet9!A:B,2,0)</f>
        <v>P000000777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6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 t="str">
        <f>VLOOKUP(Proc[[#This Row],[Obj]],Sheet9!A:B,2,0)</f>
        <v>P000000777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6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 t="str">
        <f>VLOOKUP(Proc[[#This Row],[Obj]],Sheet9!A:B,2,0)</f>
        <v>P000000777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6</v>
      </c>
      <c r="R5255" s="178" t="s">
        <v>5709</v>
      </c>
      <c r="S5255" s="150"/>
    </row>
    <row r="5256" spans="1:19" hidden="1">
      <c r="A5256" s="149" t="s">
        <v>7545</v>
      </c>
      <c r="B5256" s="150" t="str">
        <f>IFERROR(VLOOKUP(Proc[[#This Row],[App]],Table2[],3,0),"open")</f>
        <v>open</v>
      </c>
      <c r="C5256" s="149" t="s">
        <v>370</v>
      </c>
      <c r="D5256" t="s">
        <v>7557</v>
      </c>
      <c r="E5256" t="s">
        <v>7644</v>
      </c>
      <c r="F5256" s="150" t="str">
        <f>VLOOKUP(Proc[[#This Row],[Obj]],Sheet9!A:B,2,0)</f>
        <v>P000000220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6</v>
      </c>
      <c r="R5256" s="178" t="s">
        <v>5709</v>
      </c>
      <c r="S5256" s="150"/>
    </row>
    <row r="5257" spans="1:19" hidden="1">
      <c r="A5257" s="149" t="s">
        <v>7545</v>
      </c>
      <c r="B5257" s="150" t="str">
        <f>IFERROR(VLOOKUP(Proc[[#This Row],[App]],Table2[],3,0),"open")</f>
        <v>open</v>
      </c>
      <c r="C5257" s="149" t="s">
        <v>370</v>
      </c>
      <c r="D5257" t="s">
        <v>7558</v>
      </c>
      <c r="E5257" t="s">
        <v>7644</v>
      </c>
      <c r="F5257" s="150" t="str">
        <f>VLOOKUP(Proc[[#This Row],[Obj]],Sheet9!A:B,2,0)</f>
        <v>P000000226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6</v>
      </c>
      <c r="R5257" s="178" t="s">
        <v>5709</v>
      </c>
      <c r="S5257" s="150"/>
    </row>
    <row r="5258" spans="1:19" hidden="1">
      <c r="A5258" s="149" t="s">
        <v>7545</v>
      </c>
      <c r="B5258" s="150" t="str">
        <f>IFERROR(VLOOKUP(Proc[[#This Row],[App]],Table2[],3,0),"open")</f>
        <v>open</v>
      </c>
      <c r="C5258" s="149" t="s">
        <v>370</v>
      </c>
      <c r="D5258" t="s">
        <v>7559</v>
      </c>
      <c r="E5258" t="s">
        <v>7646</v>
      </c>
      <c r="F5258" s="150" t="str">
        <f>VLOOKUP(Proc[[#This Row],[Obj]],Sheet9!A:B,2,0)</f>
        <v>P000000220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6</v>
      </c>
      <c r="R5258" s="178" t="s">
        <v>5709</v>
      </c>
      <c r="S5258" s="150"/>
    </row>
    <row r="5259" spans="1:19" hidden="1">
      <c r="A5259" s="149" t="s">
        <v>7545</v>
      </c>
      <c r="B5259" s="150" t="str">
        <f>IFERROR(VLOOKUP(Proc[[#This Row],[App]],Table2[],3,0),"open")</f>
        <v>open</v>
      </c>
      <c r="C5259" s="149" t="s">
        <v>370</v>
      </c>
      <c r="D5259" t="s">
        <v>7560</v>
      </c>
      <c r="E5259" t="s">
        <v>7646</v>
      </c>
      <c r="F5259" s="150">
        <f>VLOOKUP(Proc[[#This Row],[Obj]],Sheet9!A:B,2,0)</f>
        <v>0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6</v>
      </c>
      <c r="R5259" s="178" t="s">
        <v>5709</v>
      </c>
      <c r="S5259" s="150"/>
    </row>
    <row r="5260" spans="1:19" hidden="1">
      <c r="A5260" s="149" t="s">
        <v>7545</v>
      </c>
      <c r="B5260" s="150" t="str">
        <f>IFERROR(VLOOKUP(Proc[[#This Row],[App]],Table2[],3,0),"open")</f>
        <v>open</v>
      </c>
      <c r="C5260" s="149" t="s">
        <v>370</v>
      </c>
      <c r="D5260" t="s">
        <v>7561</v>
      </c>
      <c r="E5260" t="s">
        <v>7646</v>
      </c>
      <c r="F5260" s="150" t="str">
        <f>VLOOKUP(Proc[[#This Row],[Obj]],Sheet9!A:B,2,0)</f>
        <v>P000000220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6</v>
      </c>
      <c r="R5260" s="178" t="s">
        <v>5709</v>
      </c>
      <c r="S5260" s="150"/>
    </row>
    <row r="5261" spans="1:19" hidden="1">
      <c r="A5261" s="149" t="s">
        <v>7545</v>
      </c>
      <c r="B5261" s="150" t="str">
        <f>IFERROR(VLOOKUP(Proc[[#This Row],[App]],Table2[],3,0),"open")</f>
        <v>open</v>
      </c>
      <c r="C5261" s="149" t="s">
        <v>370</v>
      </c>
      <c r="D5261" t="s">
        <v>7562</v>
      </c>
      <c r="E5261" t="s">
        <v>7646</v>
      </c>
      <c r="F5261" s="150" t="str">
        <f>VLOOKUP(Proc[[#This Row],[Obj]],Sheet9!A:B,2,0)</f>
        <v>P000000220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6</v>
      </c>
      <c r="R5261" s="178" t="s">
        <v>5709</v>
      </c>
      <c r="S5261" s="150"/>
    </row>
    <row r="5262" spans="1:19" hidden="1">
      <c r="A5262" s="149" t="s">
        <v>7545</v>
      </c>
      <c r="B5262" s="150" t="str">
        <f>IFERROR(VLOOKUP(Proc[[#This Row],[App]],Table2[],3,0),"open")</f>
        <v>open</v>
      </c>
      <c r="C5262" s="149" t="s">
        <v>370</v>
      </c>
      <c r="D5262" t="s">
        <v>7563</v>
      </c>
      <c r="E5262" t="s">
        <v>7646</v>
      </c>
      <c r="F5262" s="150">
        <f>VLOOKUP(Proc[[#This Row],[Obj]],Sheet9!A:B,2,0)</f>
        <v>0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6</v>
      </c>
      <c r="R5262" s="178" t="s">
        <v>5709</v>
      </c>
      <c r="S5262" s="150"/>
    </row>
    <row r="5263" spans="1:19" hidden="1">
      <c r="A5263" s="149" t="s">
        <v>7545</v>
      </c>
      <c r="B5263" s="150" t="str">
        <f>IFERROR(VLOOKUP(Proc[[#This Row],[App]],Table2[],3,0),"open")</f>
        <v>open</v>
      </c>
      <c r="C5263" s="149" t="s">
        <v>370</v>
      </c>
      <c r="D5263" t="s">
        <v>7564</v>
      </c>
      <c r="E5263" t="s">
        <v>7646</v>
      </c>
      <c r="F5263" s="150" t="str">
        <f>VLOOKUP(Proc[[#This Row],[Obj]],Sheet9!A:B,2,0)</f>
        <v>P000000220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6</v>
      </c>
      <c r="R5263" s="178" t="s">
        <v>5709</v>
      </c>
      <c r="S5263" s="150"/>
    </row>
    <row r="5264" spans="1:19" hidden="1">
      <c r="A5264" s="149" t="s">
        <v>7545</v>
      </c>
      <c r="B5264" s="150" t="str">
        <f>IFERROR(VLOOKUP(Proc[[#This Row],[App]],Table2[],3,0),"open")</f>
        <v>open</v>
      </c>
      <c r="C5264" s="149" t="s">
        <v>370</v>
      </c>
      <c r="D5264" t="s">
        <v>7565</v>
      </c>
      <c r="E5264" t="s">
        <v>7646</v>
      </c>
      <c r="F5264" s="150" t="str">
        <f>VLOOKUP(Proc[[#This Row],[Obj]],Sheet9!A:B,2,0)</f>
        <v>P000000220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6</v>
      </c>
      <c r="R5264" s="178" t="s">
        <v>5709</v>
      </c>
      <c r="S5264" s="150"/>
    </row>
    <row r="5265" spans="1:19" hidden="1">
      <c r="A5265" s="149" t="s">
        <v>7545</v>
      </c>
      <c r="B5265" s="150" t="str">
        <f>IFERROR(VLOOKUP(Proc[[#This Row],[App]],Table2[],3,0),"open")</f>
        <v>open</v>
      </c>
      <c r="C5265" s="149" t="s">
        <v>370</v>
      </c>
      <c r="D5265" t="s">
        <v>7566</v>
      </c>
      <c r="E5265" t="s">
        <v>7646</v>
      </c>
      <c r="F5265" s="150" t="str">
        <f>VLOOKUP(Proc[[#This Row],[Obj]],Sheet9!A:B,2,0)</f>
        <v>P000000220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6</v>
      </c>
      <c r="R5265" s="178" t="s">
        <v>5709</v>
      </c>
      <c r="S5265" s="150"/>
    </row>
    <row r="5266" spans="1:19" hidden="1">
      <c r="A5266" s="149" t="s">
        <v>7545</v>
      </c>
      <c r="B5266" s="150" t="str">
        <f>IFERROR(VLOOKUP(Proc[[#This Row],[App]],Table2[],3,0),"open")</f>
        <v>open</v>
      </c>
      <c r="C5266" s="149" t="s">
        <v>370</v>
      </c>
      <c r="D5266" t="s">
        <v>7567</v>
      </c>
      <c r="E5266" t="s">
        <v>7646</v>
      </c>
      <c r="F5266" s="150" t="str">
        <f>VLOOKUP(Proc[[#This Row],[Obj]],Sheet9!A:B,2,0)</f>
        <v>P000000220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6</v>
      </c>
      <c r="R5266" s="178" t="s">
        <v>5709</v>
      </c>
      <c r="S5266" s="150"/>
    </row>
    <row r="5267" spans="1:19" hidden="1">
      <c r="A5267" s="149" t="s">
        <v>7545</v>
      </c>
      <c r="B5267" s="150" t="str">
        <f>IFERROR(VLOOKUP(Proc[[#This Row],[App]],Table2[],3,0),"open")</f>
        <v>open</v>
      </c>
      <c r="C5267" s="149" t="s">
        <v>370</v>
      </c>
      <c r="D5267" t="s">
        <v>7568</v>
      </c>
      <c r="E5267" t="s">
        <v>7646</v>
      </c>
      <c r="F5267" s="150">
        <f>VLOOKUP(Proc[[#This Row],[Obj]],Sheet9!A:B,2,0)</f>
        <v>0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6</v>
      </c>
      <c r="R5267" s="178" t="s">
        <v>5709</v>
      </c>
      <c r="S5267" s="150"/>
    </row>
    <row r="5268" spans="1:19" hidden="1">
      <c r="A5268" s="149" t="s">
        <v>7545</v>
      </c>
      <c r="B5268" s="150" t="str">
        <f>IFERROR(VLOOKUP(Proc[[#This Row],[App]],Table2[],3,0),"open")</f>
        <v>open</v>
      </c>
      <c r="C5268" s="149" t="s">
        <v>370</v>
      </c>
      <c r="D5268" t="s">
        <v>7569</v>
      </c>
      <c r="E5268" t="s">
        <v>7646</v>
      </c>
      <c r="F5268" s="150" t="str">
        <f>VLOOKUP(Proc[[#This Row],[Obj]],Sheet9!A:B,2,0)</f>
        <v>P000000220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6</v>
      </c>
      <c r="R5268" s="178" t="s">
        <v>5709</v>
      </c>
      <c r="S5268" s="150"/>
    </row>
    <row r="5269" spans="1:19" hidden="1">
      <c r="A5269" s="149" t="s">
        <v>7545</v>
      </c>
      <c r="B5269" s="150" t="str">
        <f>IFERROR(VLOOKUP(Proc[[#This Row],[App]],Table2[],3,0),"open")</f>
        <v>open</v>
      </c>
      <c r="C5269" s="149" t="s">
        <v>370</v>
      </c>
      <c r="D5269" t="s">
        <v>7570</v>
      </c>
      <c r="E5269" t="s">
        <v>7646</v>
      </c>
      <c r="F5269" s="150" t="str">
        <f>VLOOKUP(Proc[[#This Row],[Obj]],Sheet9!A:B,2,0)</f>
        <v>P000000220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6</v>
      </c>
      <c r="R5269" s="178" t="s">
        <v>5709</v>
      </c>
      <c r="S5269" s="150"/>
    </row>
    <row r="5270" spans="1:19" hidden="1">
      <c r="A5270" s="149" t="s">
        <v>7545</v>
      </c>
      <c r="B5270" s="150" t="str">
        <f>IFERROR(VLOOKUP(Proc[[#This Row],[App]],Table2[],3,0),"open")</f>
        <v>open</v>
      </c>
      <c r="C5270" s="149" t="s">
        <v>370</v>
      </c>
      <c r="D5270" t="s">
        <v>7571</v>
      </c>
      <c r="E5270" t="s">
        <v>7646</v>
      </c>
      <c r="F5270" s="150" t="str">
        <f>VLOOKUP(Proc[[#This Row],[Obj]],Sheet9!A:B,2,0)</f>
        <v>P000000220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6</v>
      </c>
      <c r="R5270" s="178" t="s">
        <v>5709</v>
      </c>
      <c r="S5270" s="150"/>
    </row>
    <row r="5271" spans="1:19" hidden="1">
      <c r="A5271" s="149" t="s">
        <v>7545</v>
      </c>
      <c r="B5271" s="150" t="str">
        <f>IFERROR(VLOOKUP(Proc[[#This Row],[App]],Table2[],3,0),"open")</f>
        <v>open</v>
      </c>
      <c r="C5271" s="149" t="s">
        <v>370</v>
      </c>
      <c r="D5271" t="s">
        <v>7572</v>
      </c>
      <c r="E5271" t="s">
        <v>7646</v>
      </c>
      <c r="F5271" s="150" t="str">
        <f>VLOOKUP(Proc[[#This Row],[Obj]],Sheet9!A:B,2,0)</f>
        <v>P000000220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6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 t="str">
        <f>VLOOKUP(Proc[[#This Row],[Obj]],Sheet9!A:B,2,0)</f>
        <v>P000000220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6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 t="str">
        <f>VLOOKUP(Proc[[#This Row],[Obj]],Sheet9!A:B,2,0)</f>
        <v>P000000220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6</v>
      </c>
      <c r="R5273" s="178" t="s">
        <v>5709</v>
      </c>
      <c r="S5273" s="150"/>
    </row>
    <row r="5274" spans="1:19" hidden="1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 t="str">
        <f>VLOOKUP(Proc[[#This Row],[Obj]],Sheet9!A:B,2,0)</f>
        <v>P000000220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6</v>
      </c>
      <c r="R5274" s="178" t="s">
        <v>5709</v>
      </c>
      <c r="S5274" s="150"/>
    </row>
    <row r="5275" spans="1:19" hidden="1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 t="str">
        <f>VLOOKUP(Proc[[#This Row],[Obj]],Sheet9!A:B,2,0)</f>
        <v>P000000220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6</v>
      </c>
      <c r="R5275" s="178" t="s">
        <v>5709</v>
      </c>
      <c r="S5275" s="150"/>
    </row>
    <row r="5276" spans="1:19" hidden="1">
      <c r="A5276" s="149" t="s">
        <v>7545</v>
      </c>
      <c r="B5276" s="150" t="str">
        <f>IFERROR(VLOOKUP(Proc[[#This Row],[App]],Table2[],3,0),"open")</f>
        <v>open</v>
      </c>
      <c r="C5276" s="149" t="s">
        <v>370</v>
      </c>
      <c r="D5276" t="s">
        <v>7577</v>
      </c>
      <c r="E5276" t="s">
        <v>7646</v>
      </c>
      <c r="F5276" s="150" t="str">
        <f>VLOOKUP(Proc[[#This Row],[Obj]],Sheet9!A:B,2,0)</f>
        <v>P000000221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6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 t="str">
        <f>VLOOKUP(Proc[[#This Row],[Obj]],Sheet9!A:B,2,0)</f>
        <v>P000000221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6</v>
      </c>
      <c r="R5277" s="178" t="s">
        <v>5709</v>
      </c>
      <c r="S5277" s="150"/>
    </row>
    <row r="5278" spans="1:19" hidden="1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 t="str">
        <f>VLOOKUP(Proc[[#This Row],[Obj]],Sheet9!A:B,2,0)</f>
        <v>P000000221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6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 t="str">
        <f>VLOOKUP(Proc[[#This Row],[Obj]],Sheet9!A:B,2,0)</f>
        <v>I500613000000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6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 t="str">
        <f>VLOOKUP(Proc[[#This Row],[Obj]],Sheet9!A:B,2,0)</f>
        <v>QUATRO_I500613US01000000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6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 t="str">
        <f>VLOOKUP(Proc[[#This Row],[Obj]],Sheet9!A:B,2,0)</f>
        <v>QUATRO_I500613US01000000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6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 t="str">
        <f>VLOOKUP(Proc[[#This Row],[Obj]],Sheet9!A:B,2,0)</f>
        <v>QUATRO_I500613US01100000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6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 t="str">
        <f>VLOOKUP(Proc[[#This Row],[Obj]],Sheet9!A:B,2,0)</f>
        <v>QUATRO_I500613US01100000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6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 t="str">
        <f>VLOOKUP(Proc[[#This Row],[Obj]],Sheet9!A:B,2,0)</f>
        <v>QUATRO_I500613US01101000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6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 t="str">
        <f>VLOOKUP(Proc[[#This Row],[Obj]],Sheet9!A:B,2,0)</f>
        <v>QUATRO_I500613US01101000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6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 t="str">
        <f>VLOOKUP(Proc[[#This Row],[Obj]],Sheet9!A:B,2,0)</f>
        <v>QUATRO_I500613US01000000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6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 t="str">
        <f>VLOOKUP(Proc[[#This Row],[Obj]],Sheet9!A:B,2,0)</f>
        <v>QUATRO_I500613US01700000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6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 t="str">
        <f>VLOOKUP(Proc[[#This Row],[Obj]],Sheet9!A:B,2,0)</f>
        <v>QUATRO_I500613US01700000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6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 t="str">
        <f>VLOOKUP(Proc[[#This Row],[Obj]],Sheet9!A:B,2,0)</f>
        <v>QUATRO_I500613US01701000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6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 t="str">
        <f>VLOOKUP(Proc[[#This Row],[Obj]],Sheet9!A:B,2,0)</f>
        <v>QUATRO_I500613US01701000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6</v>
      </c>
      <c r="R5290" s="178" t="s">
        <v>5709</v>
      </c>
      <c r="S5290" s="150"/>
    </row>
    <row r="5291" spans="1:19" hidden="1">
      <c r="A5291" s="149" t="s">
        <v>7545</v>
      </c>
      <c r="B5291" s="150" t="str">
        <f>IFERROR(VLOOKUP(Proc[[#This Row],[App]],Table2[],3,0),"open")</f>
        <v>open</v>
      </c>
      <c r="C5291" s="149" t="s">
        <v>370</v>
      </c>
      <c r="D5291" t="s">
        <v>7592</v>
      </c>
      <c r="E5291" t="s">
        <v>7646</v>
      </c>
      <c r="F5291" s="150" t="str">
        <f>VLOOKUP(Proc[[#This Row],[Obj]],Sheet9!A:B,2,0)</f>
        <v>P000000222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6</v>
      </c>
      <c r="R5291" s="178" t="s">
        <v>5709</v>
      </c>
      <c r="S5291" s="150"/>
    </row>
    <row r="5292" spans="1:19" hidden="1">
      <c r="A5292" s="149" t="s">
        <v>7545</v>
      </c>
      <c r="B5292" s="150" t="str">
        <f>IFERROR(VLOOKUP(Proc[[#This Row],[App]],Table2[],3,0),"open")</f>
        <v>open</v>
      </c>
      <c r="C5292" s="149" t="s">
        <v>370</v>
      </c>
      <c r="D5292" t="s">
        <v>7593</v>
      </c>
      <c r="E5292" t="s">
        <v>7646</v>
      </c>
      <c r="F5292" s="150" t="str">
        <f>VLOOKUP(Proc[[#This Row],[Obj]],Sheet9!A:B,2,0)</f>
        <v>P000000223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6</v>
      </c>
      <c r="R5292" s="178" t="s">
        <v>5709</v>
      </c>
      <c r="S5292" s="150"/>
    </row>
    <row r="5293" spans="1:19" hidden="1">
      <c r="A5293" s="149" t="s">
        <v>7545</v>
      </c>
      <c r="B5293" s="150" t="str">
        <f>IFERROR(VLOOKUP(Proc[[#This Row],[App]],Table2[],3,0),"open")</f>
        <v>open</v>
      </c>
      <c r="C5293" s="149" t="s">
        <v>370</v>
      </c>
      <c r="D5293" t="s">
        <v>7594</v>
      </c>
      <c r="E5293" t="s">
        <v>7646</v>
      </c>
      <c r="F5293" s="150" t="str">
        <f>VLOOKUP(Proc[[#This Row],[Obj]],Sheet9!A:B,2,0)</f>
        <v>P000000224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6</v>
      </c>
      <c r="R5293" s="178" t="s">
        <v>5709</v>
      </c>
      <c r="S5293" s="150"/>
    </row>
    <row r="5294" spans="1:19" hidden="1">
      <c r="A5294" s="149" t="s">
        <v>7545</v>
      </c>
      <c r="B5294" s="150" t="str">
        <f>IFERROR(VLOOKUP(Proc[[#This Row],[App]],Table2[],3,0),"open")</f>
        <v>open</v>
      </c>
      <c r="C5294" s="149" t="s">
        <v>370</v>
      </c>
      <c r="D5294" t="s">
        <v>7595</v>
      </c>
      <c r="E5294" t="s">
        <v>7646</v>
      </c>
      <c r="F5294" s="150">
        <f>VLOOKUP(Proc[[#This Row],[Obj]],Sheet9!A:B,2,0)</f>
        <v>0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6</v>
      </c>
      <c r="R5294" s="178" t="s">
        <v>5709</v>
      </c>
      <c r="S5294" s="150"/>
    </row>
    <row r="5295" spans="1:19" hidden="1">
      <c r="A5295" s="149" t="s">
        <v>7545</v>
      </c>
      <c r="B5295" s="150" t="str">
        <f>IFERROR(VLOOKUP(Proc[[#This Row],[App]],Table2[],3,0),"open")</f>
        <v>open</v>
      </c>
      <c r="C5295" s="149" t="s">
        <v>370</v>
      </c>
      <c r="D5295" t="s">
        <v>7596</v>
      </c>
      <c r="E5295" t="s">
        <v>7646</v>
      </c>
      <c r="F5295" s="150" t="str">
        <f>VLOOKUP(Proc[[#This Row],[Obj]],Sheet9!A:B,2,0)</f>
        <v>P000000225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6</v>
      </c>
      <c r="R5295" s="178" t="s">
        <v>5709</v>
      </c>
      <c r="S5295" s="150"/>
    </row>
    <row r="5296" spans="1:19" hidden="1">
      <c r="A5296" s="149" t="s">
        <v>7545</v>
      </c>
      <c r="B5296" s="150" t="str">
        <f>IFERROR(VLOOKUP(Proc[[#This Row],[App]],Table2[],3,0),"open")</f>
        <v>open</v>
      </c>
      <c r="C5296" s="149" t="s">
        <v>370</v>
      </c>
      <c r="D5296" t="s">
        <v>7597</v>
      </c>
      <c r="E5296" t="s">
        <v>7646</v>
      </c>
      <c r="F5296" s="150">
        <f>VLOOKUP(Proc[[#This Row],[Obj]],Sheet9!A:B,2,0)</f>
        <v>0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6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 t="str">
        <f>VLOOKUP(Proc[[#This Row],[Obj]],Sheet9!A:B,2,0)</f>
        <v>P000000225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6</v>
      </c>
      <c r="R5297" s="178" t="s">
        <v>5709</v>
      </c>
      <c r="S5297" s="150"/>
    </row>
    <row r="5298" spans="1:19" hidden="1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 t="str">
        <f>VLOOKUP(Proc[[#This Row],[Obj]],Sheet9!A:B,2,0)</f>
        <v>P000000225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6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 t="str">
        <f>VLOOKUP(Proc[[#This Row],[Obj]],Sheet9!A:B,2,0)</f>
        <v>K10001195000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6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 t="str">
        <f>VLOOKUP(Proc[[#This Row],[Obj]],Sheet9!A:B,2,0)</f>
        <v>QUATRO_K10001195US01000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6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 t="str">
        <f>VLOOKUP(Proc[[#This Row],[Obj]],Sheet9!A:B,2,0)</f>
        <v>QUATRO_K10001195US01000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6</v>
      </c>
      <c r="R5301" s="178" t="s">
        <v>5709</v>
      </c>
      <c r="S5301" s="150"/>
    </row>
    <row r="5302" spans="1:19" hidden="1">
      <c r="A5302" s="149" t="s">
        <v>7545</v>
      </c>
      <c r="B5302" s="150" t="str">
        <f>IFERROR(VLOOKUP(Proc[[#This Row],[App]],Table2[],3,0),"open")</f>
        <v>open</v>
      </c>
      <c r="C5302" s="149" t="s">
        <v>370</v>
      </c>
      <c r="D5302" t="s">
        <v>7603</v>
      </c>
      <c r="E5302" t="s">
        <v>7646</v>
      </c>
      <c r="F5302" s="150" t="str">
        <f>VLOOKUP(Proc[[#This Row],[Obj]],Sheet9!A:B,2,0)</f>
        <v>P000000226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6</v>
      </c>
      <c r="R5302" s="178" t="s">
        <v>5709</v>
      </c>
      <c r="S5302" s="150"/>
    </row>
    <row r="5303" spans="1:19" hidden="1">
      <c r="A5303" s="149" t="s">
        <v>7545</v>
      </c>
      <c r="B5303" s="150" t="str">
        <f>IFERROR(VLOOKUP(Proc[[#This Row],[App]],Table2[],3,0),"open")</f>
        <v>open</v>
      </c>
      <c r="C5303" s="149" t="s">
        <v>370</v>
      </c>
      <c r="D5303" t="s">
        <v>7604</v>
      </c>
      <c r="E5303" t="s">
        <v>7646</v>
      </c>
      <c r="F5303" s="150" t="str">
        <f>VLOOKUP(Proc[[#This Row],[Obj]],Sheet9!A:B,2,0)</f>
        <v>P000000226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6</v>
      </c>
      <c r="R5303" s="178" t="s">
        <v>5709</v>
      </c>
      <c r="S5303" s="150"/>
    </row>
    <row r="5304" spans="1:19" hidden="1">
      <c r="A5304" s="149" t="s">
        <v>7545</v>
      </c>
      <c r="B5304" s="150" t="str">
        <f>IFERROR(VLOOKUP(Proc[[#This Row],[App]],Table2[],3,0),"open")</f>
        <v>open</v>
      </c>
      <c r="C5304" s="149" t="s">
        <v>370</v>
      </c>
      <c r="D5304" t="s">
        <v>7605</v>
      </c>
      <c r="E5304" t="s">
        <v>7646</v>
      </c>
      <c r="F5304" s="150" t="str">
        <f>VLOOKUP(Proc[[#This Row],[Obj]],Sheet9!A:B,2,0)</f>
        <v>P000000228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6</v>
      </c>
      <c r="R5304" s="178" t="s">
        <v>5709</v>
      </c>
      <c r="S5304" s="150"/>
    </row>
    <row r="5305" spans="1:19" hidden="1">
      <c r="A5305" s="149" t="s">
        <v>7545</v>
      </c>
      <c r="B5305" s="150" t="str">
        <f>IFERROR(VLOOKUP(Proc[[#This Row],[App]],Table2[],3,0),"open")</f>
        <v>open</v>
      </c>
      <c r="C5305" s="149" t="s">
        <v>370</v>
      </c>
      <c r="D5305" t="s">
        <v>7606</v>
      </c>
      <c r="E5305" t="s">
        <v>7646</v>
      </c>
      <c r="F5305" s="150" t="str">
        <f>VLOOKUP(Proc[[#This Row],[Obj]],Sheet9!A:B,2,0)</f>
        <v>P000000343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6</v>
      </c>
      <c r="R5305" s="178" t="s">
        <v>5709</v>
      </c>
      <c r="S5305" s="150"/>
    </row>
    <row r="5306" spans="1:19" hidden="1">
      <c r="A5306" s="149" t="s">
        <v>7545</v>
      </c>
      <c r="B5306" s="150" t="str">
        <f>IFERROR(VLOOKUP(Proc[[#This Row],[App]],Table2[],3,0),"open")</f>
        <v>open</v>
      </c>
      <c r="C5306" s="149" t="s">
        <v>370</v>
      </c>
      <c r="D5306" t="s">
        <v>7607</v>
      </c>
      <c r="E5306" t="s">
        <v>7646</v>
      </c>
      <c r="F5306" s="150">
        <f>VLOOKUP(Proc[[#This Row],[Obj]],Sheet9!A:B,2,0)</f>
        <v>0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6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 t="str">
        <f>VLOOKUP(Proc[[#This Row],[Obj]],Sheet9!A:B,2,0)</f>
        <v>P000000810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6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 t="str">
        <f>VLOOKUP(Proc[[#This Row],[Obj]],Sheet9!A:B,2,0)</f>
        <v>PL_E1_USAX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6</v>
      </c>
      <c r="R5308" s="178" t="s">
        <v>5709</v>
      </c>
      <c r="S5308" s="150"/>
    </row>
    <row r="5309" spans="1:19" hidden="1">
      <c r="A5309" s="149" t="s">
        <v>7545</v>
      </c>
      <c r="B5309" s="150" t="str">
        <f>IFERROR(VLOOKUP(Proc[[#This Row],[App]],Table2[],3,0),"open")</f>
        <v>open</v>
      </c>
      <c r="C5309" s="149" t="s">
        <v>370</v>
      </c>
      <c r="D5309" t="s">
        <v>7610</v>
      </c>
      <c r="E5309" t="s">
        <v>7647</v>
      </c>
      <c r="F5309" s="150" t="str">
        <f>VLOOKUP(Proc[[#This Row],[Obj]],Sheet9!A:B,2,0)</f>
        <v>P000000866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6</v>
      </c>
      <c r="R5309" s="178" t="s">
        <v>5709</v>
      </c>
      <c r="S5309" s="150"/>
    </row>
    <row r="5310" spans="1:19" hidden="1">
      <c r="A5310" s="149" t="s">
        <v>7545</v>
      </c>
      <c r="B5310" s="150" t="str">
        <f>IFERROR(VLOOKUP(Proc[[#This Row],[App]],Table2[],3,0),"open")</f>
        <v>open</v>
      </c>
      <c r="C5310" s="149" t="s">
        <v>370</v>
      </c>
      <c r="D5310" t="s">
        <v>7611</v>
      </c>
      <c r="E5310" t="s">
        <v>7647</v>
      </c>
      <c r="F5310" s="150" t="str">
        <f>VLOOKUP(Proc[[#This Row],[Obj]],Sheet9!A:B,2,0)</f>
        <v>P000000868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6</v>
      </c>
      <c r="R5310" s="178" t="s">
        <v>5709</v>
      </c>
      <c r="S5310" s="150"/>
    </row>
    <row r="5311" spans="1:19" hidden="1">
      <c r="A5311" s="149" t="s">
        <v>7545</v>
      </c>
      <c r="B5311" s="150" t="str">
        <f>IFERROR(VLOOKUP(Proc[[#This Row],[App]],Table2[],3,0),"open")</f>
        <v>open</v>
      </c>
      <c r="C5311" s="149" t="s">
        <v>370</v>
      </c>
      <c r="D5311" t="s">
        <v>7612</v>
      </c>
      <c r="E5311" t="s">
        <v>7647</v>
      </c>
      <c r="F5311" s="150" t="str">
        <f>VLOOKUP(Proc[[#This Row],[Obj]],Sheet9!A:B,2,0)</f>
        <v>P000000868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6</v>
      </c>
      <c r="R5311" s="178" t="s">
        <v>5709</v>
      </c>
      <c r="S5311" s="150"/>
    </row>
    <row r="5312" spans="1:19" hidden="1">
      <c r="A5312" s="149" t="s">
        <v>7545</v>
      </c>
      <c r="B5312" s="150" t="str">
        <f>IFERROR(VLOOKUP(Proc[[#This Row],[App]],Table2[],3,0),"open")</f>
        <v>open</v>
      </c>
      <c r="C5312" s="149" t="s">
        <v>370</v>
      </c>
      <c r="D5312" t="s">
        <v>7613</v>
      </c>
      <c r="E5312" t="s">
        <v>7647</v>
      </c>
      <c r="F5312" s="150" t="str">
        <f>VLOOKUP(Proc[[#This Row],[Obj]],Sheet9!A:B,2,0)</f>
        <v>P000000868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6</v>
      </c>
      <c r="R5312" s="178" t="s">
        <v>5709</v>
      </c>
      <c r="S5312" s="150"/>
    </row>
    <row r="5313" spans="1:19" hidden="1">
      <c r="A5313" s="149" t="s">
        <v>7545</v>
      </c>
      <c r="B5313" s="150" t="str">
        <f>IFERROR(VLOOKUP(Proc[[#This Row],[App]],Table2[],3,0),"open")</f>
        <v>open</v>
      </c>
      <c r="C5313" s="149" t="s">
        <v>370</v>
      </c>
      <c r="D5313" t="s">
        <v>1994</v>
      </c>
      <c r="E5313" t="s">
        <v>7648</v>
      </c>
      <c r="F5313" s="150" t="str">
        <f>VLOOKUP(Proc[[#This Row],[Obj]],Sheet9!A:B,2,0)</f>
        <v>P000000578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6</v>
      </c>
      <c r="R5313" s="178" t="s">
        <v>5709</v>
      </c>
      <c r="S5313" s="150"/>
    </row>
    <row r="5314" spans="1:19" hidden="1">
      <c r="A5314" s="149" t="s">
        <v>7545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7648</v>
      </c>
      <c r="F5314" s="150" t="str">
        <f>VLOOKUP(Proc[[#This Row],[Obj]],Sheet9!A:B,2,0)</f>
        <v>P000000578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6</v>
      </c>
      <c r="R5314" s="178" t="s">
        <v>5709</v>
      </c>
      <c r="S5314" s="150"/>
    </row>
    <row r="5315" spans="1:19" hidden="1">
      <c r="A5315" s="149" t="s">
        <v>7545</v>
      </c>
      <c r="B5315" s="150" t="str">
        <f>IFERROR(VLOOKUP(Proc[[#This Row],[App]],Table2[],3,0),"open")</f>
        <v>open</v>
      </c>
      <c r="C5315" s="149" t="s">
        <v>370</v>
      </c>
      <c r="D5315" t="s">
        <v>7614</v>
      </c>
      <c r="E5315" t="s">
        <v>7641</v>
      </c>
      <c r="F5315" s="150" t="str">
        <f>VLOOKUP(Proc[[#This Row],[Obj]],Sheet9!A:B,2,0)</f>
        <v>P000000801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6</v>
      </c>
      <c r="R5315" s="178" t="s">
        <v>5709</v>
      </c>
      <c r="S5315" s="150"/>
    </row>
    <row r="5316" spans="1:19" hidden="1">
      <c r="A5316" s="149" t="s">
        <v>7545</v>
      </c>
      <c r="B5316" s="150" t="str">
        <f>IFERROR(VLOOKUP(Proc[[#This Row],[App]],Table2[],3,0),"open")</f>
        <v>open</v>
      </c>
      <c r="C5316" s="149" t="s">
        <v>370</v>
      </c>
      <c r="D5316" t="s">
        <v>7615</v>
      </c>
      <c r="E5316" t="s">
        <v>7649</v>
      </c>
      <c r="F5316" s="150" t="str">
        <f>VLOOKUP(Proc[[#This Row],[Obj]],Sheet9!A:B,2,0)</f>
        <v>P000000249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6</v>
      </c>
      <c r="R5316" s="178" t="s">
        <v>5709</v>
      </c>
      <c r="S5316" s="150"/>
    </row>
    <row r="5317" spans="1:19" hidden="1">
      <c r="A5317" s="149" t="s">
        <v>7545</v>
      </c>
      <c r="B5317" s="150" t="str">
        <f>IFERROR(VLOOKUP(Proc[[#This Row],[App]],Table2[],3,0),"open")</f>
        <v>open</v>
      </c>
      <c r="C5317" s="149" t="s">
        <v>370</v>
      </c>
      <c r="D5317" t="s">
        <v>7616</v>
      </c>
      <c r="E5317" t="s">
        <v>7649</v>
      </c>
      <c r="F5317" s="150" t="str">
        <f>VLOOKUP(Proc[[#This Row],[Obj]],Sheet9!A:B,2,0)</f>
        <v>P000000249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6</v>
      </c>
      <c r="R5317" s="178" t="s">
        <v>5709</v>
      </c>
      <c r="S5317" s="150"/>
    </row>
    <row r="5318" spans="1:19" hidden="1">
      <c r="A5318" s="149" t="s">
        <v>7545</v>
      </c>
      <c r="B5318" s="150" t="str">
        <f>IFERROR(VLOOKUP(Proc[[#This Row],[App]],Table2[],3,0),"open")</f>
        <v>open</v>
      </c>
      <c r="C5318" s="149" t="s">
        <v>370</v>
      </c>
      <c r="D5318" t="s">
        <v>7617</v>
      </c>
      <c r="E5318" t="s">
        <v>7642</v>
      </c>
      <c r="F5318" s="150" t="str">
        <f>VLOOKUP(Proc[[#This Row],[Obj]],Sheet9!A:B,2,0)</f>
        <v>P000001275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6</v>
      </c>
      <c r="R5318" s="178" t="s">
        <v>5709</v>
      </c>
      <c r="S5318" s="150"/>
    </row>
    <row r="5319" spans="1:19" hidden="1">
      <c r="A5319" s="149" t="s">
        <v>7545</v>
      </c>
      <c r="B5319" s="150" t="str">
        <f>IFERROR(VLOOKUP(Proc[[#This Row],[App]],Table2[],3,0),"open")</f>
        <v>open</v>
      </c>
      <c r="C5319" s="149" t="s">
        <v>370</v>
      </c>
      <c r="D5319" t="s">
        <v>7618</v>
      </c>
      <c r="E5319" t="s">
        <v>7650</v>
      </c>
      <c r="F5319" s="150" t="str">
        <f>VLOOKUP(Proc[[#This Row],[Obj]],Sheet9!A:B,2,0)</f>
        <v>P000000708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6</v>
      </c>
      <c r="R5319" s="178" t="s">
        <v>5709</v>
      </c>
      <c r="S5319" s="150"/>
    </row>
    <row r="5320" spans="1:19" hidden="1">
      <c r="A5320" s="149" t="s">
        <v>7545</v>
      </c>
      <c r="B5320" s="150" t="str">
        <f>IFERROR(VLOOKUP(Proc[[#This Row],[App]],Table2[],3,0),"open")</f>
        <v>open</v>
      </c>
      <c r="C5320" s="149" t="s">
        <v>370</v>
      </c>
      <c r="D5320" t="s">
        <v>7619</v>
      </c>
      <c r="E5320" t="s">
        <v>7650</v>
      </c>
      <c r="F5320" s="150" t="str">
        <f>VLOOKUP(Proc[[#This Row],[Obj]],Sheet9!A:B,2,0)</f>
        <v>P000000708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6</v>
      </c>
      <c r="R5320" s="178" t="s">
        <v>5709</v>
      </c>
      <c r="S5320" s="150"/>
    </row>
    <row r="5321" spans="1:19" hidden="1">
      <c r="A5321" s="149" t="s">
        <v>7545</v>
      </c>
      <c r="B5321" s="150" t="str">
        <f>IFERROR(VLOOKUP(Proc[[#This Row],[App]],Table2[],3,0),"open")</f>
        <v>open</v>
      </c>
      <c r="C5321" s="149" t="s">
        <v>370</v>
      </c>
      <c r="D5321" t="s">
        <v>7620</v>
      </c>
      <c r="E5321" t="s">
        <v>7650</v>
      </c>
      <c r="F5321" s="150" t="str">
        <f>VLOOKUP(Proc[[#This Row],[Obj]],Sheet9!A:B,2,0)</f>
        <v>P000000708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6</v>
      </c>
      <c r="R5321" s="178" t="s">
        <v>5709</v>
      </c>
      <c r="S5321" s="150"/>
    </row>
    <row r="5322" spans="1:19" hidden="1">
      <c r="A5322" s="149" t="s">
        <v>7545</v>
      </c>
      <c r="B5322" s="150" t="str">
        <f>IFERROR(VLOOKUP(Proc[[#This Row],[App]],Table2[],3,0),"open")</f>
        <v>open</v>
      </c>
      <c r="C5322" s="149" t="s">
        <v>370</v>
      </c>
      <c r="D5322" t="s">
        <v>7621</v>
      </c>
      <c r="E5322" t="s">
        <v>7650</v>
      </c>
      <c r="F5322" s="150" t="str">
        <f>VLOOKUP(Proc[[#This Row],[Obj]],Sheet9!A:B,2,0)</f>
        <v>P000000708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6</v>
      </c>
      <c r="R5322" s="178" t="s">
        <v>5709</v>
      </c>
      <c r="S5322" s="150"/>
    </row>
    <row r="5323" spans="1:19" hidden="1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 t="str">
        <f>VLOOKUP(Proc[[#This Row],[Obj]],Sheet9!A:B,2,0)</f>
        <v>P000000708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6</v>
      </c>
      <c r="R5323" s="178" t="s">
        <v>5709</v>
      </c>
      <c r="S5323" s="150"/>
    </row>
    <row r="5324" spans="1:19" hidden="1">
      <c r="A5324" s="149" t="s">
        <v>7545</v>
      </c>
      <c r="B5324" s="150" t="str">
        <f>IFERROR(VLOOKUP(Proc[[#This Row],[App]],Table2[],3,0),"open")</f>
        <v>open</v>
      </c>
      <c r="C5324" s="149" t="s">
        <v>370</v>
      </c>
      <c r="D5324" t="s">
        <v>7623</v>
      </c>
      <c r="E5324" t="s">
        <v>7651</v>
      </c>
      <c r="F5324" s="150" t="str">
        <f>VLOOKUP(Proc[[#This Row],[Obj]],Sheet9!A:B,2,0)</f>
        <v>P000000992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6</v>
      </c>
      <c r="R5324" s="178" t="s">
        <v>5709</v>
      </c>
      <c r="S5324" s="150"/>
    </row>
    <row r="5325" spans="1:19" hidden="1">
      <c r="A5325" s="149" t="s">
        <v>7545</v>
      </c>
      <c r="B5325" s="150" t="str">
        <f>IFERROR(VLOOKUP(Proc[[#This Row],[App]],Table2[],3,0),"open")</f>
        <v>open</v>
      </c>
      <c r="C5325" s="149" t="s">
        <v>370</v>
      </c>
      <c r="D5325" t="s">
        <v>7624</v>
      </c>
      <c r="E5325" t="s">
        <v>7651</v>
      </c>
      <c r="F5325" s="150" t="str">
        <f>VLOOKUP(Proc[[#This Row],[Obj]],Sheet9!A:B,2,0)</f>
        <v>P000000992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6</v>
      </c>
      <c r="R5325" s="178" t="s">
        <v>5709</v>
      </c>
      <c r="S5325" s="150"/>
    </row>
    <row r="5326" spans="1:19" hidden="1">
      <c r="A5326" s="149" t="s">
        <v>7545</v>
      </c>
      <c r="B5326" s="150" t="str">
        <f>IFERROR(VLOOKUP(Proc[[#This Row],[App]],Table2[],3,0),"open")</f>
        <v>open</v>
      </c>
      <c r="C5326" s="149" t="s">
        <v>370</v>
      </c>
      <c r="D5326" t="s">
        <v>7625</v>
      </c>
      <c r="E5326" t="s">
        <v>7652</v>
      </c>
      <c r="F5326" s="150" t="str">
        <f>VLOOKUP(Proc[[#This Row],[Obj]],Sheet9!A:B,2,0)</f>
        <v>P000000731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6</v>
      </c>
      <c r="R5326" s="178" t="s">
        <v>5709</v>
      </c>
      <c r="S5326" s="150"/>
    </row>
    <row r="5327" spans="1:19" hidden="1">
      <c r="A5327" s="149" t="s">
        <v>7545</v>
      </c>
      <c r="B5327" s="150" t="str">
        <f>IFERROR(VLOOKUP(Proc[[#This Row],[App]],Table2[],3,0),"open")</f>
        <v>open</v>
      </c>
      <c r="C5327" s="149" t="s">
        <v>370</v>
      </c>
      <c r="D5327" t="s">
        <v>7626</v>
      </c>
      <c r="E5327" t="s">
        <v>7653</v>
      </c>
      <c r="F5327" s="150" t="str">
        <f>VLOOKUP(Proc[[#This Row],[Obj]],Sheet9!A:B,2,0)</f>
        <v>P000000230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6</v>
      </c>
      <c r="R5327" s="178" t="s">
        <v>5709</v>
      </c>
      <c r="S5327" s="150"/>
    </row>
    <row r="5328" spans="1:19" hidden="1">
      <c r="A5328" s="149" t="s">
        <v>7545</v>
      </c>
      <c r="B5328" s="150" t="str">
        <f>IFERROR(VLOOKUP(Proc[[#This Row],[App]],Table2[],3,0),"open")</f>
        <v>open</v>
      </c>
      <c r="C5328" s="149" t="s">
        <v>370</v>
      </c>
      <c r="D5328" t="s">
        <v>7627</v>
      </c>
      <c r="E5328" t="s">
        <v>7653</v>
      </c>
      <c r="F5328" s="150" t="str">
        <f>VLOOKUP(Proc[[#This Row],[Obj]],Sheet9!A:B,2,0)</f>
        <v>P000000230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6</v>
      </c>
      <c r="R5328" s="178" t="s">
        <v>5709</v>
      </c>
      <c r="S5328" s="150"/>
    </row>
    <row r="5329" spans="1:19" hidden="1">
      <c r="A5329" s="149" t="s">
        <v>7545</v>
      </c>
      <c r="B5329" s="150" t="str">
        <f>IFERROR(VLOOKUP(Proc[[#This Row],[App]],Table2[],3,0),"open")</f>
        <v>open</v>
      </c>
      <c r="C5329" s="149" t="s">
        <v>370</v>
      </c>
      <c r="D5329" t="s">
        <v>7628</v>
      </c>
      <c r="E5329" t="s">
        <v>7653</v>
      </c>
      <c r="F5329" s="150" t="str">
        <f>VLOOKUP(Proc[[#This Row],[Obj]],Sheet9!A:B,2,0)</f>
        <v>P000000230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6</v>
      </c>
      <c r="R5329" s="178" t="s">
        <v>5709</v>
      </c>
      <c r="S5329" s="150"/>
    </row>
    <row r="5330" spans="1:19" hidden="1">
      <c r="A5330" s="149" t="s">
        <v>7545</v>
      </c>
      <c r="B5330" s="150" t="str">
        <f>IFERROR(VLOOKUP(Proc[[#This Row],[App]],Table2[],3,0),"open")</f>
        <v>open</v>
      </c>
      <c r="C5330" s="149" t="s">
        <v>370</v>
      </c>
      <c r="D5330" t="s">
        <v>7629</v>
      </c>
      <c r="E5330" t="s">
        <v>7643</v>
      </c>
      <c r="F5330" s="150" t="str">
        <f>VLOOKUP(Proc[[#This Row],[Obj]],Sheet9!A:B,2,0)</f>
        <v>P000000412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6</v>
      </c>
      <c r="R5330" s="178" t="s">
        <v>5709</v>
      </c>
      <c r="S5330" s="150"/>
    </row>
    <row r="5331" spans="1:19" hidden="1">
      <c r="A5331" t="s">
        <v>7654</v>
      </c>
      <c r="B5331" s="150" t="str">
        <f>IFERROR(VLOOKUP(Proc[[#This Row],[App]],Table2[],3,0),"open")</f>
        <v>ok</v>
      </c>
      <c r="C5331" s="180" t="s">
        <v>369</v>
      </c>
      <c r="D5331" t="s">
        <v>7655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6</v>
      </c>
      <c r="R5331" s="178" t="s">
        <v>489</v>
      </c>
      <c r="S5331" s="150"/>
    </row>
    <row r="5332" spans="1:19" hidden="1">
      <c r="A5332" t="s">
        <v>7712</v>
      </c>
      <c r="B5332" s="150" t="str">
        <f>IFERROR(VLOOKUP(Proc[[#This Row],[App]],Table2[],3,0),"open")</f>
        <v>open</v>
      </c>
      <c r="C5332" s="149" t="s">
        <v>369</v>
      </c>
      <c r="D5332" t="s">
        <v>7713</v>
      </c>
      <c r="E5332" t="s">
        <v>2625</v>
      </c>
      <c r="F5332" s="180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7656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6</v>
      </c>
      <c r="R5332" s="178" t="s">
        <v>1459</v>
      </c>
      <c r="S5332" s="150"/>
    </row>
    <row r="5333" spans="1:19" hidden="1">
      <c r="A5333" t="s">
        <v>7714</v>
      </c>
      <c r="B5333" s="150" t="str">
        <f>IFERROR(VLOOKUP(Proc[[#This Row],[App]],Table2[],3,0),"open")</f>
        <v>ok</v>
      </c>
      <c r="C5333" s="180" t="s">
        <v>369</v>
      </c>
      <c r="D5333" t="s">
        <v>7715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on track</v>
      </c>
      <c r="Q5333" s="3">
        <f ca="1">IF(Proc[[#This Row],[DateClosed]]="",ABS(NETWORKDAYS(Proc[[#This Row],[DateOpened]],TODAY()))-1,ABS(NETWORKDAYS(Proc[[#This Row],[DateOpened]],Proc[[#This Row],[DateClosed]]))-1)</f>
        <v>4</v>
      </c>
      <c r="R5333" s="178" t="s">
        <v>489</v>
      </c>
      <c r="S5333" s="150"/>
    </row>
    <row r="5334" spans="1:19" hidden="1">
      <c r="A5334" t="s">
        <v>7717</v>
      </c>
      <c r="B5334" s="150" t="str">
        <f>IFERROR(VLOOKUP(Proc[[#This Row],[App]],Table2[],3,0),"open")</f>
        <v>open</v>
      </c>
      <c r="C5334" s="180" t="s">
        <v>692</v>
      </c>
      <c r="D5334" t="s">
        <v>7716</v>
      </c>
      <c r="E5334" t="s">
        <v>524</v>
      </c>
      <c r="F5334" s="150">
        <f>VLOOKUP(Proc[[#This Row],[Obj]],Sheet9!A:B,2,0)</f>
        <v>0</v>
      </c>
      <c r="G5334" t="s">
        <v>400</v>
      </c>
      <c r="H5334" s="150" t="str">
        <f>IF(Proc[[#This Row],[type]]="LFF (MDG-F)",MID(Proc[[#This Row],[Obj]],13,10),"")</f>
        <v/>
      </c>
      <c r="I5334" t="s">
        <v>7739</v>
      </c>
      <c r="J5334" s="150" t="b">
        <f>Proc[[#This Row],[Requested]]=Proc[[#This Row],[CurrentParent]]</f>
        <v>0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on track</v>
      </c>
      <c r="Q5334" s="3">
        <f ca="1">IF(Proc[[#This Row],[DateClosed]]="",ABS(NETWORKDAYS(Proc[[#This Row],[DateOpened]],TODAY()))-1,ABS(NETWORKDAYS(Proc[[#This Row],[DateOpened]],Proc[[#This Row],[DateClosed]]))-1)</f>
        <v>4</v>
      </c>
      <c r="R5334" s="178" t="s">
        <v>489</v>
      </c>
      <c r="S5334" s="150"/>
    </row>
    <row r="5335" spans="1:19" hidden="1">
      <c r="A5335" t="s">
        <v>7830</v>
      </c>
      <c r="B5335" s="150" t="str">
        <f>IFERROR(VLOOKUP(Proc[[#This Row],[App]],Table2[],3,0),"open")</f>
        <v>open</v>
      </c>
      <c r="C5335" t="s">
        <v>375</v>
      </c>
      <c r="D5335" s="180" t="s">
        <v>7745</v>
      </c>
      <c r="E5335" t="s">
        <v>7813</v>
      </c>
      <c r="F5335" s="150" t="str">
        <f>VLOOKUP(Proc[[#This Row],[Obj]],Sheet9!A:B,2,0)</f>
        <v>LFF_1000$$$IT50TABF00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0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on track</v>
      </c>
      <c r="Q5335" s="3">
        <f ca="1">IF(Proc[[#This Row],[DateClosed]]="",ABS(NETWORKDAYS(Proc[[#This Row],[DateOpened]],TODAY()))-1,ABS(NETWORKDAYS(Proc[[#This Row],[DateOpened]],Proc[[#This Row],[DateClosed]]))-1)</f>
        <v>1</v>
      </c>
      <c r="R5335" s="178" t="s">
        <v>7831</v>
      </c>
      <c r="S5335" s="150"/>
    </row>
    <row r="5336" spans="1:19" hidden="1">
      <c r="A5336" s="180" t="s">
        <v>7830</v>
      </c>
      <c r="B5336" s="150" t="str">
        <f>IFERROR(VLOOKUP(Proc[[#This Row],[App]],Table2[],3,0),"open")</f>
        <v>open</v>
      </c>
      <c r="C5336" s="180" t="s">
        <v>375</v>
      </c>
      <c r="D5336" s="180" t="s">
        <v>7746</v>
      </c>
      <c r="E5336" t="s">
        <v>7814</v>
      </c>
      <c r="F5336" s="150" t="str">
        <f>VLOOKUP(Proc[[#This Row],[Obj]],Sheet9!A:B,2,0)</f>
        <v>H000004146</v>
      </c>
      <c r="G5336" s="180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0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on track</v>
      </c>
      <c r="Q5336" s="3">
        <f ca="1">IF(Proc[[#This Row],[DateClosed]]="",ABS(NETWORKDAYS(Proc[[#This Row],[DateOpened]],TODAY()))-1,ABS(NETWORKDAYS(Proc[[#This Row],[DateOpened]],Proc[[#This Row],[DateClosed]]))-1)</f>
        <v>1</v>
      </c>
      <c r="R5336" s="178" t="s">
        <v>7831</v>
      </c>
      <c r="S5336" s="150"/>
    </row>
    <row r="5337" spans="1:19" hidden="1">
      <c r="A5337" s="180" t="s">
        <v>7830</v>
      </c>
      <c r="B5337" s="150" t="str">
        <f>IFERROR(VLOOKUP(Proc[[#This Row],[App]],Table2[],3,0),"open")</f>
        <v>open</v>
      </c>
      <c r="C5337" s="180" t="s">
        <v>375</v>
      </c>
      <c r="D5337" s="180" t="s">
        <v>7747</v>
      </c>
      <c r="E5337" t="s">
        <v>7814</v>
      </c>
      <c r="F5337" s="150" t="str">
        <f>VLOOKUP(Proc[[#This Row],[Obj]],Sheet9!A:B,2,0)</f>
        <v>H000004146</v>
      </c>
      <c r="G5337" s="180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0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on track</v>
      </c>
      <c r="Q5337" s="3">
        <f ca="1">IF(Proc[[#This Row],[DateClosed]]="",ABS(NETWORKDAYS(Proc[[#This Row],[DateOpened]],TODAY()))-1,ABS(NETWORKDAYS(Proc[[#This Row],[DateOpened]],Proc[[#This Row],[DateClosed]]))-1)</f>
        <v>1</v>
      </c>
      <c r="R5337" s="178" t="s">
        <v>7831</v>
      </c>
      <c r="S5337" s="150"/>
    </row>
    <row r="5338" spans="1:19" hidden="1">
      <c r="A5338" s="180" t="s">
        <v>7830</v>
      </c>
      <c r="B5338" s="150" t="str">
        <f>IFERROR(VLOOKUP(Proc[[#This Row],[App]],Table2[],3,0),"open")</f>
        <v>open</v>
      </c>
      <c r="C5338" s="180" t="s">
        <v>375</v>
      </c>
      <c r="D5338" s="180" t="s">
        <v>7748</v>
      </c>
      <c r="E5338" t="s">
        <v>7814</v>
      </c>
      <c r="F5338" s="150" t="str">
        <f>VLOOKUP(Proc[[#This Row],[Obj]],Sheet9!A:B,2,0)</f>
        <v>H000000472</v>
      </c>
      <c r="G5338" s="180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0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on track</v>
      </c>
      <c r="Q5338" s="3">
        <f ca="1">IF(Proc[[#This Row],[DateClosed]]="",ABS(NETWORKDAYS(Proc[[#This Row],[DateOpened]],TODAY()))-1,ABS(NETWORKDAYS(Proc[[#This Row],[DateOpened]],Proc[[#This Row],[DateClosed]]))-1)</f>
        <v>1</v>
      </c>
      <c r="R5338" s="178" t="s">
        <v>7831</v>
      </c>
      <c r="S5338" s="150"/>
    </row>
    <row r="5339" spans="1:19" hidden="1">
      <c r="A5339" s="180" t="s">
        <v>7830</v>
      </c>
      <c r="B5339" s="150" t="str">
        <f>IFERROR(VLOOKUP(Proc[[#This Row],[App]],Table2[],3,0),"open")</f>
        <v>open</v>
      </c>
      <c r="C5339" s="180" t="s">
        <v>375</v>
      </c>
      <c r="D5339" s="180" t="s">
        <v>7749</v>
      </c>
      <c r="E5339" t="s">
        <v>7814</v>
      </c>
      <c r="F5339" s="150" t="str">
        <f>VLOOKUP(Proc[[#This Row],[Obj]],Sheet9!A:B,2,0)</f>
        <v>H000000472</v>
      </c>
      <c r="G5339" s="180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0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on track</v>
      </c>
      <c r="Q5339" s="3">
        <f ca="1">IF(Proc[[#This Row],[DateClosed]]="",ABS(NETWORKDAYS(Proc[[#This Row],[DateOpened]],TODAY()))-1,ABS(NETWORKDAYS(Proc[[#This Row],[DateOpened]],Proc[[#This Row],[DateClosed]]))-1)</f>
        <v>1</v>
      </c>
      <c r="R5339" s="178" t="s">
        <v>7831</v>
      </c>
      <c r="S5339" s="150"/>
    </row>
    <row r="5340" spans="1:19" hidden="1">
      <c r="A5340" s="180" t="s">
        <v>7830</v>
      </c>
      <c r="B5340" s="150" t="str">
        <f>IFERROR(VLOOKUP(Proc[[#This Row],[App]],Table2[],3,0),"open")</f>
        <v>open</v>
      </c>
      <c r="C5340" s="180" t="s">
        <v>375</v>
      </c>
      <c r="D5340" s="180" t="s">
        <v>7750</v>
      </c>
      <c r="E5340" t="s">
        <v>7814</v>
      </c>
      <c r="F5340" s="150" t="str">
        <f>VLOOKUP(Proc[[#This Row],[Obj]],Sheet9!A:B,2,0)</f>
        <v>H000004146</v>
      </c>
      <c r="G5340" s="180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0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on track</v>
      </c>
      <c r="Q5340" s="3">
        <f ca="1">IF(Proc[[#This Row],[DateClosed]]="",ABS(NETWORKDAYS(Proc[[#This Row],[DateOpened]],TODAY()))-1,ABS(NETWORKDAYS(Proc[[#This Row],[DateOpened]],Proc[[#This Row],[DateClosed]]))-1)</f>
        <v>1</v>
      </c>
      <c r="R5340" s="178" t="s">
        <v>7831</v>
      </c>
      <c r="S5340" s="150"/>
    </row>
    <row r="5341" spans="1:19" hidden="1">
      <c r="A5341" s="180" t="s">
        <v>7830</v>
      </c>
      <c r="B5341" s="150" t="str">
        <f>IFERROR(VLOOKUP(Proc[[#This Row],[App]],Table2[],3,0),"open")</f>
        <v>open</v>
      </c>
      <c r="C5341" s="180" t="s">
        <v>375</v>
      </c>
      <c r="D5341" s="180" t="s">
        <v>7751</v>
      </c>
      <c r="E5341" t="s">
        <v>7814</v>
      </c>
      <c r="F5341" s="150" t="str">
        <f>VLOOKUP(Proc[[#This Row],[Obj]],Sheet9!A:B,2,0)</f>
        <v>H000004146</v>
      </c>
      <c r="G5341" s="180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0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on track</v>
      </c>
      <c r="Q5341" s="3">
        <f ca="1">IF(Proc[[#This Row],[DateClosed]]="",ABS(NETWORKDAYS(Proc[[#This Row],[DateOpened]],TODAY()))-1,ABS(NETWORKDAYS(Proc[[#This Row],[DateOpened]],Proc[[#This Row],[DateClosed]]))-1)</f>
        <v>1</v>
      </c>
      <c r="R5341" s="178" t="s">
        <v>7831</v>
      </c>
      <c r="S5341" s="150"/>
    </row>
    <row r="5342" spans="1:19" hidden="1">
      <c r="A5342" s="180" t="s">
        <v>7830</v>
      </c>
      <c r="B5342" s="150" t="str">
        <f>IFERROR(VLOOKUP(Proc[[#This Row],[App]],Table2[],3,0),"open")</f>
        <v>open</v>
      </c>
      <c r="C5342" s="180" t="s">
        <v>375</v>
      </c>
      <c r="D5342" s="180" t="s">
        <v>7752</v>
      </c>
      <c r="E5342" t="s">
        <v>7814</v>
      </c>
      <c r="F5342" s="150" t="str">
        <f>VLOOKUP(Proc[[#This Row],[Obj]],Sheet9!A:B,2,0)</f>
        <v>H000004146</v>
      </c>
      <c r="G5342" s="180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0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on track</v>
      </c>
      <c r="Q5342" s="3">
        <f ca="1">IF(Proc[[#This Row],[DateClosed]]="",ABS(NETWORKDAYS(Proc[[#This Row],[DateOpened]],TODAY()))-1,ABS(NETWORKDAYS(Proc[[#This Row],[DateOpened]],Proc[[#This Row],[DateClosed]]))-1)</f>
        <v>1</v>
      </c>
      <c r="R5342" s="178" t="s">
        <v>7831</v>
      </c>
      <c r="S5342" s="150"/>
    </row>
    <row r="5343" spans="1:19" hidden="1">
      <c r="A5343" s="180" t="s">
        <v>7830</v>
      </c>
      <c r="B5343" s="150" t="str">
        <f>IFERROR(VLOOKUP(Proc[[#This Row],[App]],Table2[],3,0),"open")</f>
        <v>open</v>
      </c>
      <c r="C5343" s="180" t="s">
        <v>375</v>
      </c>
      <c r="D5343" s="180" t="s">
        <v>7753</v>
      </c>
      <c r="E5343" t="s">
        <v>7814</v>
      </c>
      <c r="F5343" s="150" t="str">
        <f>VLOOKUP(Proc[[#This Row],[Obj]],Sheet9!A:B,2,0)</f>
        <v>H000004146</v>
      </c>
      <c r="G5343" s="180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0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on track</v>
      </c>
      <c r="Q5343" s="3">
        <f ca="1">IF(Proc[[#This Row],[DateClosed]]="",ABS(NETWORKDAYS(Proc[[#This Row],[DateOpened]],TODAY()))-1,ABS(NETWORKDAYS(Proc[[#This Row],[DateOpened]],Proc[[#This Row],[DateClosed]]))-1)</f>
        <v>1</v>
      </c>
      <c r="R5343" s="178" t="s">
        <v>7831</v>
      </c>
      <c r="S5343" s="150"/>
    </row>
    <row r="5344" spans="1:19" hidden="1">
      <c r="A5344" s="180" t="s">
        <v>7830</v>
      </c>
      <c r="B5344" s="150" t="str">
        <f>IFERROR(VLOOKUP(Proc[[#This Row],[App]],Table2[],3,0),"open")</f>
        <v>open</v>
      </c>
      <c r="C5344" s="180" t="s">
        <v>375</v>
      </c>
      <c r="D5344" s="180" t="s">
        <v>7754</v>
      </c>
      <c r="E5344" t="s">
        <v>7815</v>
      </c>
      <c r="F5344" s="150">
        <f>VLOOKUP(Proc[[#This Row],[Obj]],Sheet9!A:B,2,0)</f>
        <v>0</v>
      </c>
      <c r="G5344" s="180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0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on track</v>
      </c>
      <c r="Q5344" s="3">
        <f ca="1">IF(Proc[[#This Row],[DateClosed]]="",ABS(NETWORKDAYS(Proc[[#This Row],[DateOpened]],TODAY()))-1,ABS(NETWORKDAYS(Proc[[#This Row],[DateOpened]],Proc[[#This Row],[DateClosed]]))-1)</f>
        <v>1</v>
      </c>
      <c r="R5344" s="178" t="s">
        <v>7831</v>
      </c>
      <c r="S5344" s="150"/>
    </row>
    <row r="5345" spans="1:19" hidden="1">
      <c r="A5345" s="180" t="s">
        <v>7830</v>
      </c>
      <c r="B5345" s="150" t="str">
        <f>IFERROR(VLOOKUP(Proc[[#This Row],[App]],Table2[],3,0),"open")</f>
        <v>open</v>
      </c>
      <c r="C5345" s="180" t="s">
        <v>375</v>
      </c>
      <c r="D5345" s="180" t="s">
        <v>7755</v>
      </c>
      <c r="E5345" t="s">
        <v>7815</v>
      </c>
      <c r="F5345" s="150">
        <f>VLOOKUP(Proc[[#This Row],[Obj]],Sheet9!A:B,2,0)</f>
        <v>0</v>
      </c>
      <c r="G5345" s="180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0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on track</v>
      </c>
      <c r="Q5345" s="3">
        <f ca="1">IF(Proc[[#This Row],[DateClosed]]="",ABS(NETWORKDAYS(Proc[[#This Row],[DateOpened]],TODAY()))-1,ABS(NETWORKDAYS(Proc[[#This Row],[DateOpened]],Proc[[#This Row],[DateClosed]]))-1)</f>
        <v>1</v>
      </c>
      <c r="R5345" s="178" t="s">
        <v>7831</v>
      </c>
      <c r="S5345" s="150"/>
    </row>
    <row r="5346" spans="1:19" hidden="1">
      <c r="A5346" s="180" t="s">
        <v>7830</v>
      </c>
      <c r="B5346" s="150" t="str">
        <f>IFERROR(VLOOKUP(Proc[[#This Row],[App]],Table2[],3,0),"open")</f>
        <v>open</v>
      </c>
      <c r="C5346" s="180" t="s">
        <v>375</v>
      </c>
      <c r="D5346" s="180" t="s">
        <v>7756</v>
      </c>
      <c r="E5346" t="s">
        <v>7816</v>
      </c>
      <c r="F5346" s="150" t="str">
        <f>VLOOKUP(Proc[[#This Row],[Obj]],Sheet9!A:B,2,0)</f>
        <v>H000004146</v>
      </c>
      <c r="G5346" s="180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0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on track</v>
      </c>
      <c r="Q5346" s="3">
        <f ca="1">IF(Proc[[#This Row],[DateClosed]]="",ABS(NETWORKDAYS(Proc[[#This Row],[DateOpened]],TODAY()))-1,ABS(NETWORKDAYS(Proc[[#This Row],[DateOpened]],Proc[[#This Row],[DateClosed]]))-1)</f>
        <v>1</v>
      </c>
      <c r="R5346" s="178" t="s">
        <v>7831</v>
      </c>
      <c r="S5346" s="150"/>
    </row>
    <row r="5347" spans="1:19" hidden="1">
      <c r="A5347" s="180" t="s">
        <v>7830</v>
      </c>
      <c r="B5347" s="150" t="str">
        <f>IFERROR(VLOOKUP(Proc[[#This Row],[App]],Table2[],3,0),"open")</f>
        <v>open</v>
      </c>
      <c r="C5347" s="180" t="s">
        <v>375</v>
      </c>
      <c r="D5347" s="180" t="s">
        <v>7757</v>
      </c>
      <c r="E5347" t="s">
        <v>7817</v>
      </c>
      <c r="F5347" s="150" t="str">
        <f>VLOOKUP(Proc[[#This Row],[Obj]],Sheet9!A:B,2,0)</f>
        <v>LFF_1000$$$IT50TABP00</v>
      </c>
      <c r="G5347" s="180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0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on track</v>
      </c>
      <c r="Q5347" s="3">
        <f ca="1">IF(Proc[[#This Row],[DateClosed]]="",ABS(NETWORKDAYS(Proc[[#This Row],[DateOpened]],TODAY()))-1,ABS(NETWORKDAYS(Proc[[#This Row],[DateOpened]],Proc[[#This Row],[DateClosed]]))-1)</f>
        <v>1</v>
      </c>
      <c r="R5347" s="178" t="s">
        <v>7831</v>
      </c>
      <c r="S5347" s="150"/>
    </row>
    <row r="5348" spans="1:19" hidden="1">
      <c r="A5348" s="180" t="s">
        <v>7830</v>
      </c>
      <c r="B5348" s="150" t="str">
        <f>IFERROR(VLOOKUP(Proc[[#This Row],[App]],Table2[],3,0),"open")</f>
        <v>open</v>
      </c>
      <c r="C5348" s="180" t="s">
        <v>375</v>
      </c>
      <c r="D5348" s="180" t="s">
        <v>7758</v>
      </c>
      <c r="E5348" t="s">
        <v>7818</v>
      </c>
      <c r="F5348" s="150" t="str">
        <f>VLOOKUP(Proc[[#This Row],[Obj]],Sheet9!A:B,2,0)</f>
        <v>H000004147</v>
      </c>
      <c r="G5348" s="180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0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on track</v>
      </c>
      <c r="Q5348" s="3">
        <f ca="1">IF(Proc[[#This Row],[DateClosed]]="",ABS(NETWORKDAYS(Proc[[#This Row],[DateOpened]],TODAY()))-1,ABS(NETWORKDAYS(Proc[[#This Row],[DateOpened]],Proc[[#This Row],[DateClosed]]))-1)</f>
        <v>1</v>
      </c>
      <c r="R5348" s="178" t="s">
        <v>7831</v>
      </c>
      <c r="S5348" s="150"/>
    </row>
    <row r="5349" spans="1:19" hidden="1">
      <c r="A5349" s="180" t="s">
        <v>7830</v>
      </c>
      <c r="B5349" s="150" t="str">
        <f>IFERROR(VLOOKUP(Proc[[#This Row],[App]],Table2[],3,0),"open")</f>
        <v>open</v>
      </c>
      <c r="C5349" s="180" t="s">
        <v>375</v>
      </c>
      <c r="D5349" s="180" t="s">
        <v>7759</v>
      </c>
      <c r="E5349" t="s">
        <v>7818</v>
      </c>
      <c r="F5349" s="150" t="str">
        <f>VLOOKUP(Proc[[#This Row],[Obj]],Sheet9!A:B,2,0)</f>
        <v>H000000472</v>
      </c>
      <c r="G5349" s="180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0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on track</v>
      </c>
      <c r="Q5349" s="3">
        <f ca="1">IF(Proc[[#This Row],[DateClosed]]="",ABS(NETWORKDAYS(Proc[[#This Row],[DateOpened]],TODAY()))-1,ABS(NETWORKDAYS(Proc[[#This Row],[DateOpened]],Proc[[#This Row],[DateClosed]]))-1)</f>
        <v>1</v>
      </c>
      <c r="R5349" s="178" t="s">
        <v>7831</v>
      </c>
      <c r="S5349" s="150"/>
    </row>
    <row r="5350" spans="1:19" hidden="1">
      <c r="A5350" s="180" t="s">
        <v>7830</v>
      </c>
      <c r="B5350" s="150" t="str">
        <f>IFERROR(VLOOKUP(Proc[[#This Row],[App]],Table2[],3,0),"open")</f>
        <v>open</v>
      </c>
      <c r="C5350" s="180" t="s">
        <v>375</v>
      </c>
      <c r="D5350" s="180" t="s">
        <v>7760</v>
      </c>
      <c r="E5350" t="s">
        <v>7818</v>
      </c>
      <c r="F5350" s="150" t="str">
        <f>VLOOKUP(Proc[[#This Row],[Obj]],Sheet9!A:B,2,0)</f>
        <v>H000004147</v>
      </c>
      <c r="G5350" s="180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0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on track</v>
      </c>
      <c r="Q5350" s="3">
        <f ca="1">IF(Proc[[#This Row],[DateClosed]]="",ABS(NETWORKDAYS(Proc[[#This Row],[DateOpened]],TODAY()))-1,ABS(NETWORKDAYS(Proc[[#This Row],[DateOpened]],Proc[[#This Row],[DateClosed]]))-1)</f>
        <v>1</v>
      </c>
      <c r="R5350" s="178" t="s">
        <v>7831</v>
      </c>
      <c r="S5350" s="150"/>
    </row>
    <row r="5351" spans="1:19" hidden="1">
      <c r="A5351" s="180" t="s">
        <v>7830</v>
      </c>
      <c r="B5351" s="150" t="str">
        <f>IFERROR(VLOOKUP(Proc[[#This Row],[App]],Table2[],3,0),"open")</f>
        <v>open</v>
      </c>
      <c r="C5351" s="180" t="s">
        <v>375</v>
      </c>
      <c r="D5351" s="180" t="s">
        <v>7761</v>
      </c>
      <c r="E5351" t="s">
        <v>7819</v>
      </c>
      <c r="F5351" s="150">
        <f>VLOOKUP(Proc[[#This Row],[Obj]],Sheet9!A:B,2,0)</f>
        <v>0</v>
      </c>
      <c r="G5351" s="180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0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on track</v>
      </c>
      <c r="Q5351" s="3">
        <f ca="1">IF(Proc[[#This Row],[DateClosed]]="",ABS(NETWORKDAYS(Proc[[#This Row],[DateOpened]],TODAY()))-1,ABS(NETWORKDAYS(Proc[[#This Row],[DateOpened]],Proc[[#This Row],[DateClosed]]))-1)</f>
        <v>1</v>
      </c>
      <c r="R5351" s="178" t="s">
        <v>7831</v>
      </c>
      <c r="S5351" s="150"/>
    </row>
    <row r="5352" spans="1:19" hidden="1">
      <c r="A5352" s="180" t="s">
        <v>7830</v>
      </c>
      <c r="B5352" s="150" t="str">
        <f>IFERROR(VLOOKUP(Proc[[#This Row],[App]],Table2[],3,0),"open")</f>
        <v>open</v>
      </c>
      <c r="C5352" s="180" t="s">
        <v>375</v>
      </c>
      <c r="D5352" s="180" t="s">
        <v>7762</v>
      </c>
      <c r="E5352" t="s">
        <v>7819</v>
      </c>
      <c r="F5352" s="150">
        <f>VLOOKUP(Proc[[#This Row],[Obj]],Sheet9!A:B,2,0)</f>
        <v>0</v>
      </c>
      <c r="G5352" s="180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0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on track</v>
      </c>
      <c r="Q5352" s="3">
        <f ca="1">IF(Proc[[#This Row],[DateClosed]]="",ABS(NETWORKDAYS(Proc[[#This Row],[DateOpened]],TODAY()))-1,ABS(NETWORKDAYS(Proc[[#This Row],[DateOpened]],Proc[[#This Row],[DateClosed]]))-1)</f>
        <v>1</v>
      </c>
      <c r="R5352" s="178" t="s">
        <v>7831</v>
      </c>
      <c r="S5352" s="150"/>
    </row>
    <row r="5353" spans="1:19" hidden="1">
      <c r="A5353" s="180" t="s">
        <v>7830</v>
      </c>
      <c r="B5353" s="150" t="str">
        <f>IFERROR(VLOOKUP(Proc[[#This Row],[App]],Table2[],3,0),"open")</f>
        <v>open</v>
      </c>
      <c r="C5353" s="180" t="s">
        <v>375</v>
      </c>
      <c r="D5353" s="180" t="s">
        <v>7763</v>
      </c>
      <c r="E5353" t="s">
        <v>7820</v>
      </c>
      <c r="F5353" s="150" t="str">
        <f>VLOOKUP(Proc[[#This Row],[Obj]],Sheet9!A:B,2,0)</f>
        <v>H000004147</v>
      </c>
      <c r="G5353" s="180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0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on track</v>
      </c>
      <c r="Q5353" s="3">
        <f ca="1">IF(Proc[[#This Row],[DateClosed]]="",ABS(NETWORKDAYS(Proc[[#This Row],[DateOpened]],TODAY()))-1,ABS(NETWORKDAYS(Proc[[#This Row],[DateOpened]],Proc[[#This Row],[DateClosed]]))-1)</f>
        <v>1</v>
      </c>
      <c r="R5353" s="178" t="s">
        <v>7831</v>
      </c>
      <c r="S5353" s="150"/>
    </row>
    <row r="5354" spans="1:19" hidden="1">
      <c r="A5354" s="180" t="s">
        <v>7830</v>
      </c>
      <c r="B5354" s="150" t="str">
        <f>IFERROR(VLOOKUP(Proc[[#This Row],[App]],Table2[],3,0),"open")</f>
        <v>open</v>
      </c>
      <c r="C5354" s="180" t="s">
        <v>375</v>
      </c>
      <c r="D5354" s="180" t="s">
        <v>7764</v>
      </c>
      <c r="E5354" t="s">
        <v>7821</v>
      </c>
      <c r="F5354" s="150">
        <f>VLOOKUP(Proc[[#This Row],[Obj]],Sheet9!A:B,2,0)</f>
        <v>0</v>
      </c>
      <c r="G5354" s="180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0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on track</v>
      </c>
      <c r="Q5354" s="3">
        <f ca="1">IF(Proc[[#This Row],[DateClosed]]="",ABS(NETWORKDAYS(Proc[[#This Row],[DateOpened]],TODAY()))-1,ABS(NETWORKDAYS(Proc[[#This Row],[DateOpened]],Proc[[#This Row],[DateClosed]]))-1)</f>
        <v>1</v>
      </c>
      <c r="R5354" s="178" t="s">
        <v>7831</v>
      </c>
      <c r="S5354" s="150"/>
    </row>
    <row r="5355" spans="1:19" hidden="1">
      <c r="A5355" s="180" t="s">
        <v>7830</v>
      </c>
      <c r="B5355" s="150" t="str">
        <f>IFERROR(VLOOKUP(Proc[[#This Row],[App]],Table2[],3,0),"open")</f>
        <v>open</v>
      </c>
      <c r="C5355" s="180" t="s">
        <v>375</v>
      </c>
      <c r="D5355" s="180" t="s">
        <v>7765</v>
      </c>
      <c r="E5355" t="s">
        <v>7822</v>
      </c>
      <c r="F5355" s="150" t="str">
        <f>VLOOKUP(Proc[[#This Row],[Obj]],Sheet9!A:B,2,0)</f>
        <v>H000004153</v>
      </c>
      <c r="G5355" s="180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0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on track</v>
      </c>
      <c r="Q5355" s="3">
        <f ca="1">IF(Proc[[#This Row],[DateClosed]]="",ABS(NETWORKDAYS(Proc[[#This Row],[DateOpened]],TODAY()))-1,ABS(NETWORKDAYS(Proc[[#This Row],[DateOpened]],Proc[[#This Row],[DateClosed]]))-1)</f>
        <v>1</v>
      </c>
      <c r="R5355" s="178" t="s">
        <v>7831</v>
      </c>
      <c r="S5355" s="150"/>
    </row>
    <row r="5356" spans="1:19" hidden="1">
      <c r="A5356" s="180" t="s">
        <v>7830</v>
      </c>
      <c r="B5356" s="150" t="str">
        <f>IFERROR(VLOOKUP(Proc[[#This Row],[App]],Table2[],3,0),"open")</f>
        <v>open</v>
      </c>
      <c r="C5356" s="180" t="s">
        <v>375</v>
      </c>
      <c r="D5356" s="180" t="s">
        <v>7766</v>
      </c>
      <c r="E5356" t="s">
        <v>7822</v>
      </c>
      <c r="F5356" s="150">
        <f>VLOOKUP(Proc[[#This Row],[Obj]],Sheet9!A:B,2,0)</f>
        <v>0</v>
      </c>
      <c r="G5356" s="180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0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on track</v>
      </c>
      <c r="Q5356" s="3">
        <f ca="1">IF(Proc[[#This Row],[DateClosed]]="",ABS(NETWORKDAYS(Proc[[#This Row],[DateOpened]],TODAY()))-1,ABS(NETWORKDAYS(Proc[[#This Row],[DateOpened]],Proc[[#This Row],[DateClosed]]))-1)</f>
        <v>1</v>
      </c>
      <c r="R5356" s="178" t="s">
        <v>7831</v>
      </c>
      <c r="S5356" s="150"/>
    </row>
    <row r="5357" spans="1:19" hidden="1">
      <c r="A5357" s="180" t="s">
        <v>7830</v>
      </c>
      <c r="B5357" s="150" t="str">
        <f>IFERROR(VLOOKUP(Proc[[#This Row],[App]],Table2[],3,0),"open")</f>
        <v>open</v>
      </c>
      <c r="C5357" s="180" t="s">
        <v>375</v>
      </c>
      <c r="D5357" s="180" t="s">
        <v>7766</v>
      </c>
      <c r="E5357" t="s">
        <v>7822</v>
      </c>
      <c r="F5357" s="150">
        <f>VLOOKUP(Proc[[#This Row],[Obj]],Sheet9!A:B,2,0)</f>
        <v>0</v>
      </c>
      <c r="G5357" s="180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0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on track</v>
      </c>
      <c r="Q5357" s="3">
        <f ca="1">IF(Proc[[#This Row],[DateClosed]]="",ABS(NETWORKDAYS(Proc[[#This Row],[DateOpened]],TODAY()))-1,ABS(NETWORKDAYS(Proc[[#This Row],[DateOpened]],Proc[[#This Row],[DateClosed]]))-1)</f>
        <v>1</v>
      </c>
      <c r="R5357" s="178" t="s">
        <v>7831</v>
      </c>
      <c r="S5357" s="150"/>
    </row>
    <row r="5358" spans="1:19" hidden="1">
      <c r="A5358" s="180" t="s">
        <v>7830</v>
      </c>
      <c r="B5358" s="150" t="str">
        <f>IFERROR(VLOOKUP(Proc[[#This Row],[App]],Table2[],3,0),"open")</f>
        <v>open</v>
      </c>
      <c r="C5358" s="180" t="s">
        <v>375</v>
      </c>
      <c r="D5358" s="180" t="s">
        <v>7766</v>
      </c>
      <c r="E5358" t="s">
        <v>7822</v>
      </c>
      <c r="F5358" s="150">
        <f>VLOOKUP(Proc[[#This Row],[Obj]],Sheet9!A:B,2,0)</f>
        <v>0</v>
      </c>
      <c r="G5358" s="180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0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on track</v>
      </c>
      <c r="Q5358" s="3">
        <f ca="1">IF(Proc[[#This Row],[DateClosed]]="",ABS(NETWORKDAYS(Proc[[#This Row],[DateOpened]],TODAY()))-1,ABS(NETWORKDAYS(Proc[[#This Row],[DateOpened]],Proc[[#This Row],[DateClosed]]))-1)</f>
        <v>1</v>
      </c>
      <c r="R5358" s="178" t="s">
        <v>7831</v>
      </c>
      <c r="S5358" s="150"/>
    </row>
    <row r="5359" spans="1:19" hidden="1">
      <c r="A5359" s="180" t="s">
        <v>7830</v>
      </c>
      <c r="B5359" s="150" t="str">
        <f>IFERROR(VLOOKUP(Proc[[#This Row],[App]],Table2[],3,0),"open")</f>
        <v>open</v>
      </c>
      <c r="C5359" s="180" t="s">
        <v>375</v>
      </c>
      <c r="D5359" s="180" t="s">
        <v>7766</v>
      </c>
      <c r="E5359" t="s">
        <v>7822</v>
      </c>
      <c r="F5359" s="150">
        <f>VLOOKUP(Proc[[#This Row],[Obj]],Sheet9!A:B,2,0)</f>
        <v>0</v>
      </c>
      <c r="G5359" s="180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0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on track</v>
      </c>
      <c r="Q5359" s="3">
        <f ca="1">IF(Proc[[#This Row],[DateClosed]]="",ABS(NETWORKDAYS(Proc[[#This Row],[DateOpened]],TODAY()))-1,ABS(NETWORKDAYS(Proc[[#This Row],[DateOpened]],Proc[[#This Row],[DateClosed]]))-1)</f>
        <v>1</v>
      </c>
      <c r="R5359" s="178" t="s">
        <v>7831</v>
      </c>
      <c r="S5359" s="150"/>
    </row>
    <row r="5360" spans="1:19" hidden="1">
      <c r="A5360" s="180" t="s">
        <v>7830</v>
      </c>
      <c r="B5360" s="150" t="str">
        <f>IFERROR(VLOOKUP(Proc[[#This Row],[App]],Table2[],3,0),"open")</f>
        <v>open</v>
      </c>
      <c r="C5360" s="180" t="s">
        <v>375</v>
      </c>
      <c r="D5360" s="180" t="s">
        <v>7767</v>
      </c>
      <c r="E5360" t="s">
        <v>7822</v>
      </c>
      <c r="F5360" s="150">
        <f>VLOOKUP(Proc[[#This Row],[Obj]],Sheet9!A:B,2,0)</f>
        <v>0</v>
      </c>
      <c r="G5360" s="180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0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on track</v>
      </c>
      <c r="Q5360" s="3">
        <f ca="1">IF(Proc[[#This Row],[DateClosed]]="",ABS(NETWORKDAYS(Proc[[#This Row],[DateOpened]],TODAY()))-1,ABS(NETWORKDAYS(Proc[[#This Row],[DateOpened]],Proc[[#This Row],[DateClosed]]))-1)</f>
        <v>1</v>
      </c>
      <c r="R5360" s="178" t="s">
        <v>7831</v>
      </c>
      <c r="S5360" s="150"/>
    </row>
    <row r="5361" spans="1:19" hidden="1">
      <c r="A5361" s="180" t="s">
        <v>7830</v>
      </c>
      <c r="B5361" s="150" t="str">
        <f>IFERROR(VLOOKUP(Proc[[#This Row],[App]],Table2[],3,0),"open")</f>
        <v>open</v>
      </c>
      <c r="C5361" s="180" t="s">
        <v>375</v>
      </c>
      <c r="D5361" s="180" t="s">
        <v>7766</v>
      </c>
      <c r="E5361" t="s">
        <v>7822</v>
      </c>
      <c r="F5361" s="150">
        <f>VLOOKUP(Proc[[#This Row],[Obj]],Sheet9!A:B,2,0)</f>
        <v>0</v>
      </c>
      <c r="G5361" s="180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0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on track</v>
      </c>
      <c r="Q5361" s="3">
        <f ca="1">IF(Proc[[#This Row],[DateClosed]]="",ABS(NETWORKDAYS(Proc[[#This Row],[DateOpened]],TODAY()))-1,ABS(NETWORKDAYS(Proc[[#This Row],[DateOpened]],Proc[[#This Row],[DateClosed]]))-1)</f>
        <v>1</v>
      </c>
      <c r="R5361" s="178" t="s">
        <v>7831</v>
      </c>
      <c r="S5361" s="150"/>
    </row>
    <row r="5362" spans="1:19" hidden="1">
      <c r="A5362" s="180" t="s">
        <v>7830</v>
      </c>
      <c r="B5362" s="150" t="str">
        <f>IFERROR(VLOOKUP(Proc[[#This Row],[App]],Table2[],3,0),"open")</f>
        <v>open</v>
      </c>
      <c r="C5362" s="180" t="s">
        <v>375</v>
      </c>
      <c r="D5362" s="180" t="s">
        <v>7768</v>
      </c>
      <c r="E5362" t="s">
        <v>7823</v>
      </c>
      <c r="F5362" s="150">
        <f>VLOOKUP(Proc[[#This Row],[Obj]],Sheet9!A:B,2,0)</f>
        <v>0</v>
      </c>
      <c r="G5362" s="180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0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on track</v>
      </c>
      <c r="Q5362" s="3">
        <f ca="1">IF(Proc[[#This Row],[DateClosed]]="",ABS(NETWORKDAYS(Proc[[#This Row],[DateOpened]],TODAY()))-1,ABS(NETWORKDAYS(Proc[[#This Row],[DateOpened]],Proc[[#This Row],[DateClosed]]))-1)</f>
        <v>1</v>
      </c>
      <c r="R5362" s="178" t="s">
        <v>7831</v>
      </c>
      <c r="S5362" s="150"/>
    </row>
    <row r="5363" spans="1:19" hidden="1">
      <c r="A5363" s="180" t="s">
        <v>7830</v>
      </c>
      <c r="B5363" s="150" t="str">
        <f>IFERROR(VLOOKUP(Proc[[#This Row],[App]],Table2[],3,0),"open")</f>
        <v>open</v>
      </c>
      <c r="C5363" s="180" t="s">
        <v>375</v>
      </c>
      <c r="D5363" s="180" t="s">
        <v>7768</v>
      </c>
      <c r="E5363" t="s">
        <v>7823</v>
      </c>
      <c r="F5363" s="150">
        <f>VLOOKUP(Proc[[#This Row],[Obj]],Sheet9!A:B,2,0)</f>
        <v>0</v>
      </c>
      <c r="G5363" s="180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0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on track</v>
      </c>
      <c r="Q5363" s="3">
        <f ca="1">IF(Proc[[#This Row],[DateClosed]]="",ABS(NETWORKDAYS(Proc[[#This Row],[DateOpened]],TODAY()))-1,ABS(NETWORKDAYS(Proc[[#This Row],[DateOpened]],Proc[[#This Row],[DateClosed]]))-1)</f>
        <v>1</v>
      </c>
      <c r="R5363" s="178" t="s">
        <v>7831</v>
      </c>
      <c r="S5363" s="150"/>
    </row>
    <row r="5364" spans="1:19" hidden="1">
      <c r="A5364" s="180" t="s">
        <v>7830</v>
      </c>
      <c r="B5364" s="150" t="str">
        <f>IFERROR(VLOOKUP(Proc[[#This Row],[App]],Table2[],3,0),"open")</f>
        <v>open</v>
      </c>
      <c r="C5364" s="180" t="s">
        <v>375</v>
      </c>
      <c r="D5364" s="180" t="s">
        <v>7769</v>
      </c>
      <c r="E5364" t="s">
        <v>7821</v>
      </c>
      <c r="F5364" s="150">
        <f>VLOOKUP(Proc[[#This Row],[Obj]],Sheet9!A:B,2,0)</f>
        <v>0</v>
      </c>
      <c r="G5364" s="180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0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on track</v>
      </c>
      <c r="Q5364" s="3">
        <f ca="1">IF(Proc[[#This Row],[DateClosed]]="",ABS(NETWORKDAYS(Proc[[#This Row],[DateOpened]],TODAY()))-1,ABS(NETWORKDAYS(Proc[[#This Row],[DateOpened]],Proc[[#This Row],[DateClosed]]))-1)</f>
        <v>1</v>
      </c>
      <c r="R5364" s="178" t="s">
        <v>7831</v>
      </c>
      <c r="S5364" s="150"/>
    </row>
    <row r="5365" spans="1:19" hidden="1">
      <c r="A5365" s="180" t="s">
        <v>7830</v>
      </c>
      <c r="B5365" s="150" t="str">
        <f>IFERROR(VLOOKUP(Proc[[#This Row],[App]],Table2[],3,0),"open")</f>
        <v>open</v>
      </c>
      <c r="C5365" s="180" t="s">
        <v>375</v>
      </c>
      <c r="D5365" s="180" t="s">
        <v>7764</v>
      </c>
      <c r="E5365" t="s">
        <v>7821</v>
      </c>
      <c r="F5365" s="150">
        <f>VLOOKUP(Proc[[#This Row],[Obj]],Sheet9!A:B,2,0)</f>
        <v>0</v>
      </c>
      <c r="G5365" s="180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0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on track</v>
      </c>
      <c r="Q5365" s="3">
        <f ca="1">IF(Proc[[#This Row],[DateClosed]]="",ABS(NETWORKDAYS(Proc[[#This Row],[DateOpened]],TODAY()))-1,ABS(NETWORKDAYS(Proc[[#This Row],[DateOpened]],Proc[[#This Row],[DateClosed]]))-1)</f>
        <v>1</v>
      </c>
      <c r="R5365" s="178" t="s">
        <v>7831</v>
      </c>
      <c r="S5365" s="150"/>
    </row>
    <row r="5366" spans="1:19" hidden="1">
      <c r="A5366" s="180" t="s">
        <v>7830</v>
      </c>
      <c r="B5366" s="150" t="str">
        <f>IFERROR(VLOOKUP(Proc[[#This Row],[App]],Table2[],3,0),"open")</f>
        <v>open</v>
      </c>
      <c r="C5366" s="180" t="s">
        <v>375</v>
      </c>
      <c r="D5366" s="180" t="s">
        <v>7764</v>
      </c>
      <c r="E5366" t="s">
        <v>7821</v>
      </c>
      <c r="F5366" s="150">
        <f>VLOOKUP(Proc[[#This Row],[Obj]],Sheet9!A:B,2,0)</f>
        <v>0</v>
      </c>
      <c r="G5366" s="180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0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on track</v>
      </c>
      <c r="Q5366" s="3">
        <f ca="1">IF(Proc[[#This Row],[DateClosed]]="",ABS(NETWORKDAYS(Proc[[#This Row],[DateOpened]],TODAY()))-1,ABS(NETWORKDAYS(Proc[[#This Row],[DateOpened]],Proc[[#This Row],[DateClosed]]))-1)</f>
        <v>1</v>
      </c>
      <c r="R5366" s="178" t="s">
        <v>7831</v>
      </c>
      <c r="S5366" s="150"/>
    </row>
    <row r="5367" spans="1:19" hidden="1">
      <c r="A5367" s="180" t="s">
        <v>7830</v>
      </c>
      <c r="B5367" s="150" t="str">
        <f>IFERROR(VLOOKUP(Proc[[#This Row],[App]],Table2[],3,0),"open")</f>
        <v>open</v>
      </c>
      <c r="C5367" s="180" t="s">
        <v>375</v>
      </c>
      <c r="D5367" s="180" t="s">
        <v>7770</v>
      </c>
      <c r="E5367" t="s">
        <v>7823</v>
      </c>
      <c r="F5367" s="150">
        <f>VLOOKUP(Proc[[#This Row],[Obj]],Sheet9!A:B,2,0)</f>
        <v>0</v>
      </c>
      <c r="G5367" s="180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0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on track</v>
      </c>
      <c r="Q5367" s="3">
        <f ca="1">IF(Proc[[#This Row],[DateClosed]]="",ABS(NETWORKDAYS(Proc[[#This Row],[DateOpened]],TODAY()))-1,ABS(NETWORKDAYS(Proc[[#This Row],[DateOpened]],Proc[[#This Row],[DateClosed]]))-1)</f>
        <v>1</v>
      </c>
      <c r="R5367" s="178" t="s">
        <v>7831</v>
      </c>
      <c r="S5367" s="150"/>
    </row>
    <row r="5368" spans="1:19" hidden="1">
      <c r="A5368" s="180" t="s">
        <v>7830</v>
      </c>
      <c r="B5368" s="150" t="str">
        <f>IFERROR(VLOOKUP(Proc[[#This Row],[App]],Table2[],3,0),"open")</f>
        <v>open</v>
      </c>
      <c r="C5368" s="180" t="s">
        <v>375</v>
      </c>
      <c r="D5368" s="180" t="s">
        <v>7771</v>
      </c>
      <c r="E5368" t="s">
        <v>7824</v>
      </c>
      <c r="F5368" s="150">
        <f>VLOOKUP(Proc[[#This Row],[Obj]],Sheet9!A:B,2,0)</f>
        <v>0</v>
      </c>
      <c r="G5368" s="180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0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on track</v>
      </c>
      <c r="Q5368" s="3">
        <f ca="1">IF(Proc[[#This Row],[DateClosed]]="",ABS(NETWORKDAYS(Proc[[#This Row],[DateOpened]],TODAY()))-1,ABS(NETWORKDAYS(Proc[[#This Row],[DateOpened]],Proc[[#This Row],[DateClosed]]))-1)</f>
        <v>1</v>
      </c>
      <c r="R5368" s="178" t="s">
        <v>7831</v>
      </c>
      <c r="S5368" s="150"/>
    </row>
    <row r="5369" spans="1:19" hidden="1">
      <c r="A5369" s="180" t="s">
        <v>7830</v>
      </c>
      <c r="B5369" s="150" t="str">
        <f>IFERROR(VLOOKUP(Proc[[#This Row],[App]],Table2[],3,0),"open")</f>
        <v>open</v>
      </c>
      <c r="C5369" s="180" t="s">
        <v>375</v>
      </c>
      <c r="D5369" s="180" t="s">
        <v>7771</v>
      </c>
      <c r="E5369" t="s">
        <v>7824</v>
      </c>
      <c r="F5369" s="150">
        <f>VLOOKUP(Proc[[#This Row],[Obj]],Sheet9!A:B,2,0)</f>
        <v>0</v>
      </c>
      <c r="G5369" s="180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0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on track</v>
      </c>
      <c r="Q5369" s="3">
        <f ca="1">IF(Proc[[#This Row],[DateClosed]]="",ABS(NETWORKDAYS(Proc[[#This Row],[DateOpened]],TODAY()))-1,ABS(NETWORKDAYS(Proc[[#This Row],[DateOpened]],Proc[[#This Row],[DateClosed]]))-1)</f>
        <v>1</v>
      </c>
      <c r="R5369" s="178" t="s">
        <v>7831</v>
      </c>
      <c r="S5369" s="150"/>
    </row>
    <row r="5370" spans="1:19" hidden="1">
      <c r="A5370" s="180" t="s">
        <v>7830</v>
      </c>
      <c r="B5370" s="150" t="str">
        <f>IFERROR(VLOOKUP(Proc[[#This Row],[App]],Table2[],3,0),"open")</f>
        <v>open</v>
      </c>
      <c r="C5370" s="180" t="s">
        <v>375</v>
      </c>
      <c r="D5370" s="180" t="s">
        <v>7772</v>
      </c>
      <c r="E5370" t="s">
        <v>7824</v>
      </c>
      <c r="F5370" s="150">
        <f>VLOOKUP(Proc[[#This Row],[Obj]],Sheet9!A:B,2,0)</f>
        <v>0</v>
      </c>
      <c r="G5370" s="180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0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on track</v>
      </c>
      <c r="Q5370" s="3">
        <f ca="1">IF(Proc[[#This Row],[DateClosed]]="",ABS(NETWORKDAYS(Proc[[#This Row],[DateOpened]],TODAY()))-1,ABS(NETWORKDAYS(Proc[[#This Row],[DateOpened]],Proc[[#This Row],[DateClosed]]))-1)</f>
        <v>1</v>
      </c>
      <c r="R5370" s="178" t="s">
        <v>7831</v>
      </c>
      <c r="S5370" s="150"/>
    </row>
    <row r="5371" spans="1:19" hidden="1">
      <c r="A5371" s="180" t="s">
        <v>7830</v>
      </c>
      <c r="B5371" s="150" t="str">
        <f>IFERROR(VLOOKUP(Proc[[#This Row],[App]],Table2[],3,0),"open")</f>
        <v>open</v>
      </c>
      <c r="C5371" s="180" t="s">
        <v>375</v>
      </c>
      <c r="D5371" s="180" t="s">
        <v>7773</v>
      </c>
      <c r="E5371" t="s">
        <v>7824</v>
      </c>
      <c r="F5371" s="150">
        <f>VLOOKUP(Proc[[#This Row],[Obj]],Sheet9!A:B,2,0)</f>
        <v>0</v>
      </c>
      <c r="G5371" s="180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0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on track</v>
      </c>
      <c r="Q5371" s="3">
        <f ca="1">IF(Proc[[#This Row],[DateClosed]]="",ABS(NETWORKDAYS(Proc[[#This Row],[DateOpened]],TODAY()))-1,ABS(NETWORKDAYS(Proc[[#This Row],[DateOpened]],Proc[[#This Row],[DateClosed]]))-1)</f>
        <v>1</v>
      </c>
      <c r="R5371" s="178" t="s">
        <v>7831</v>
      </c>
      <c r="S5371" s="150"/>
    </row>
    <row r="5372" spans="1:19" hidden="1">
      <c r="A5372" s="180" t="s">
        <v>7830</v>
      </c>
      <c r="B5372" s="150" t="str">
        <f>IFERROR(VLOOKUP(Proc[[#This Row],[App]],Table2[],3,0),"open")</f>
        <v>open</v>
      </c>
      <c r="C5372" s="180" t="s">
        <v>375</v>
      </c>
      <c r="D5372" s="180" t="s">
        <v>7774</v>
      </c>
      <c r="E5372" t="s">
        <v>7824</v>
      </c>
      <c r="F5372" s="150">
        <f>VLOOKUP(Proc[[#This Row],[Obj]],Sheet9!A:B,2,0)</f>
        <v>0</v>
      </c>
      <c r="G5372" s="180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0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on track</v>
      </c>
      <c r="Q5372" s="3">
        <f ca="1">IF(Proc[[#This Row],[DateClosed]]="",ABS(NETWORKDAYS(Proc[[#This Row],[DateOpened]],TODAY()))-1,ABS(NETWORKDAYS(Proc[[#This Row],[DateOpened]],Proc[[#This Row],[DateClosed]]))-1)</f>
        <v>1</v>
      </c>
      <c r="R5372" s="178" t="s">
        <v>7831</v>
      </c>
      <c r="S5372" s="150"/>
    </row>
    <row r="5373" spans="1:19" hidden="1">
      <c r="A5373" s="180" t="s">
        <v>7830</v>
      </c>
      <c r="B5373" s="150" t="str">
        <f>IFERROR(VLOOKUP(Proc[[#This Row],[App]],Table2[],3,0),"open")</f>
        <v>open</v>
      </c>
      <c r="C5373" s="180" t="s">
        <v>375</v>
      </c>
      <c r="D5373" s="180" t="s">
        <v>7775</v>
      </c>
      <c r="E5373" t="s">
        <v>7823</v>
      </c>
      <c r="F5373" s="150">
        <f>VLOOKUP(Proc[[#This Row],[Obj]],Sheet9!A:B,2,0)</f>
        <v>0</v>
      </c>
      <c r="G5373" s="180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0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on track</v>
      </c>
      <c r="Q5373" s="3">
        <f ca="1">IF(Proc[[#This Row],[DateClosed]]="",ABS(NETWORKDAYS(Proc[[#This Row],[DateOpened]],TODAY()))-1,ABS(NETWORKDAYS(Proc[[#This Row],[DateOpened]],Proc[[#This Row],[DateClosed]]))-1)</f>
        <v>1</v>
      </c>
      <c r="R5373" s="178" t="s">
        <v>7831</v>
      </c>
      <c r="S5373" s="150"/>
    </row>
    <row r="5374" spans="1:19" hidden="1">
      <c r="A5374" s="180" t="s">
        <v>7830</v>
      </c>
      <c r="B5374" s="150" t="str">
        <f>IFERROR(VLOOKUP(Proc[[#This Row],[App]],Table2[],3,0),"open")</f>
        <v>open</v>
      </c>
      <c r="C5374" s="180" t="s">
        <v>375</v>
      </c>
      <c r="D5374" s="180" t="s">
        <v>7775</v>
      </c>
      <c r="E5374" t="s">
        <v>7823</v>
      </c>
      <c r="F5374" s="150">
        <f>VLOOKUP(Proc[[#This Row],[Obj]],Sheet9!A:B,2,0)</f>
        <v>0</v>
      </c>
      <c r="G5374" s="180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0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on track</v>
      </c>
      <c r="Q5374" s="3">
        <f ca="1">IF(Proc[[#This Row],[DateClosed]]="",ABS(NETWORKDAYS(Proc[[#This Row],[DateOpened]],TODAY()))-1,ABS(NETWORKDAYS(Proc[[#This Row],[DateOpened]],Proc[[#This Row],[DateClosed]]))-1)</f>
        <v>1</v>
      </c>
      <c r="R5374" s="178" t="s">
        <v>7831</v>
      </c>
      <c r="S5374" s="150"/>
    </row>
    <row r="5375" spans="1:19" hidden="1">
      <c r="A5375" s="180" t="s">
        <v>7830</v>
      </c>
      <c r="B5375" s="150" t="str">
        <f>IFERROR(VLOOKUP(Proc[[#This Row],[App]],Table2[],3,0),"open")</f>
        <v>open</v>
      </c>
      <c r="C5375" s="180" t="s">
        <v>375</v>
      </c>
      <c r="D5375" s="180" t="s">
        <v>7776</v>
      </c>
      <c r="E5375" t="s">
        <v>7821</v>
      </c>
      <c r="F5375" s="150" t="str">
        <f>VLOOKUP(Proc[[#This Row],[Obj]],Sheet9!A:B,2,0)</f>
        <v>H000000477</v>
      </c>
      <c r="G5375" s="180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0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on track</v>
      </c>
      <c r="Q5375" s="3">
        <f ca="1">IF(Proc[[#This Row],[DateClosed]]="",ABS(NETWORKDAYS(Proc[[#This Row],[DateOpened]],TODAY()))-1,ABS(NETWORKDAYS(Proc[[#This Row],[DateOpened]],Proc[[#This Row],[DateClosed]]))-1)</f>
        <v>1</v>
      </c>
      <c r="R5375" s="178" t="s">
        <v>7831</v>
      </c>
      <c r="S5375" s="150"/>
    </row>
    <row r="5376" spans="1:19" hidden="1">
      <c r="A5376" s="180" t="s">
        <v>7830</v>
      </c>
      <c r="B5376" s="150" t="str">
        <f>IFERROR(VLOOKUP(Proc[[#This Row],[App]],Table2[],3,0),"open")</f>
        <v>open</v>
      </c>
      <c r="C5376" s="180" t="s">
        <v>375</v>
      </c>
      <c r="D5376" s="180" t="s">
        <v>7777</v>
      </c>
      <c r="E5376" t="s">
        <v>7825</v>
      </c>
      <c r="F5376" s="150">
        <f>VLOOKUP(Proc[[#This Row],[Obj]],Sheet9!A:B,2,0)</f>
        <v>0</v>
      </c>
      <c r="G5376" s="180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0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on track</v>
      </c>
      <c r="Q5376" s="3">
        <f ca="1">IF(Proc[[#This Row],[DateClosed]]="",ABS(NETWORKDAYS(Proc[[#This Row],[DateOpened]],TODAY()))-1,ABS(NETWORKDAYS(Proc[[#This Row],[DateOpened]],Proc[[#This Row],[DateClosed]]))-1)</f>
        <v>1</v>
      </c>
      <c r="R5376" s="178" t="s">
        <v>7831</v>
      </c>
      <c r="S5376" s="150"/>
    </row>
    <row r="5377" spans="1:19" hidden="1">
      <c r="A5377" s="180" t="s">
        <v>7830</v>
      </c>
      <c r="B5377" s="150" t="str">
        <f>IFERROR(VLOOKUP(Proc[[#This Row],[App]],Table2[],3,0),"open")</f>
        <v>open</v>
      </c>
      <c r="C5377" s="180" t="s">
        <v>375</v>
      </c>
      <c r="D5377" s="180" t="s">
        <v>7778</v>
      </c>
      <c r="E5377" t="s">
        <v>7826</v>
      </c>
      <c r="F5377" s="150">
        <f>VLOOKUP(Proc[[#This Row],[Obj]],Sheet9!A:B,2,0)</f>
        <v>0</v>
      </c>
      <c r="G5377" s="180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0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on track</v>
      </c>
      <c r="Q5377" s="3">
        <f ca="1">IF(Proc[[#This Row],[DateClosed]]="",ABS(NETWORKDAYS(Proc[[#This Row],[DateOpened]],TODAY()))-1,ABS(NETWORKDAYS(Proc[[#This Row],[DateOpened]],Proc[[#This Row],[DateClosed]]))-1)</f>
        <v>1</v>
      </c>
      <c r="R5377" s="178" t="s">
        <v>7831</v>
      </c>
      <c r="S5377" s="150"/>
    </row>
    <row r="5378" spans="1:19" hidden="1">
      <c r="A5378" s="180" t="s">
        <v>7830</v>
      </c>
      <c r="B5378" s="150" t="str">
        <f>IFERROR(VLOOKUP(Proc[[#This Row],[App]],Table2[],3,0),"open")</f>
        <v>open</v>
      </c>
      <c r="C5378" s="180" t="s">
        <v>375</v>
      </c>
      <c r="D5378" s="180" t="s">
        <v>7779</v>
      </c>
      <c r="E5378" t="s">
        <v>7827</v>
      </c>
      <c r="F5378" s="150">
        <f>VLOOKUP(Proc[[#This Row],[Obj]],Sheet9!A:B,2,0)</f>
        <v>0</v>
      </c>
      <c r="G5378" s="180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0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on track</v>
      </c>
      <c r="Q5378" s="3">
        <f ca="1">IF(Proc[[#This Row],[DateClosed]]="",ABS(NETWORKDAYS(Proc[[#This Row],[DateOpened]],TODAY()))-1,ABS(NETWORKDAYS(Proc[[#This Row],[DateOpened]],Proc[[#This Row],[DateClosed]]))-1)</f>
        <v>1</v>
      </c>
      <c r="R5378" s="178" t="s">
        <v>7831</v>
      </c>
      <c r="S5378" s="150"/>
    </row>
    <row r="5379" spans="1:19" hidden="1">
      <c r="A5379" s="180" t="s">
        <v>7830</v>
      </c>
      <c r="B5379" s="150" t="str">
        <f>IFERROR(VLOOKUP(Proc[[#This Row],[App]],Table2[],3,0),"open")</f>
        <v>open</v>
      </c>
      <c r="C5379" s="180" t="s">
        <v>375</v>
      </c>
      <c r="D5379" s="180" t="s">
        <v>7780</v>
      </c>
      <c r="E5379" t="s">
        <v>7828</v>
      </c>
      <c r="F5379" s="150">
        <f>VLOOKUP(Proc[[#This Row],[Obj]],Sheet9!A:B,2,0)</f>
        <v>0</v>
      </c>
      <c r="G5379" s="180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0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on track</v>
      </c>
      <c r="Q5379" s="3">
        <f ca="1">IF(Proc[[#This Row],[DateClosed]]="",ABS(NETWORKDAYS(Proc[[#This Row],[DateOpened]],TODAY()))-1,ABS(NETWORKDAYS(Proc[[#This Row],[DateOpened]],Proc[[#This Row],[DateClosed]]))-1)</f>
        <v>1</v>
      </c>
      <c r="R5379" s="178" t="s">
        <v>7831</v>
      </c>
      <c r="S5379" s="150"/>
    </row>
    <row r="5380" spans="1:19" hidden="1">
      <c r="A5380" s="180" t="s">
        <v>7830</v>
      </c>
      <c r="B5380" s="150" t="str">
        <f>IFERROR(VLOOKUP(Proc[[#This Row],[App]],Table2[],3,0),"open")</f>
        <v>open</v>
      </c>
      <c r="C5380" s="180" t="s">
        <v>375</v>
      </c>
      <c r="D5380" s="180" t="s">
        <v>7781</v>
      </c>
      <c r="E5380" t="s">
        <v>7828</v>
      </c>
      <c r="F5380" s="150">
        <f>VLOOKUP(Proc[[#This Row],[Obj]],Sheet9!A:B,2,0)</f>
        <v>0</v>
      </c>
      <c r="G5380" s="180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0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on track</v>
      </c>
      <c r="Q5380" s="3">
        <f ca="1">IF(Proc[[#This Row],[DateClosed]]="",ABS(NETWORKDAYS(Proc[[#This Row],[DateOpened]],TODAY()))-1,ABS(NETWORKDAYS(Proc[[#This Row],[DateOpened]],Proc[[#This Row],[DateClosed]]))-1)</f>
        <v>1</v>
      </c>
      <c r="R5380" s="178" t="s">
        <v>7831</v>
      </c>
      <c r="S5380" s="150"/>
    </row>
    <row r="5381" spans="1:19" hidden="1">
      <c r="A5381" s="180" t="s">
        <v>7830</v>
      </c>
      <c r="B5381" s="150" t="str">
        <f>IFERROR(VLOOKUP(Proc[[#This Row],[App]],Table2[],3,0),"open")</f>
        <v>open</v>
      </c>
      <c r="C5381" s="180" t="s">
        <v>375</v>
      </c>
      <c r="D5381" s="180" t="s">
        <v>7782</v>
      </c>
      <c r="E5381" t="s">
        <v>7828</v>
      </c>
      <c r="F5381" s="150">
        <f>VLOOKUP(Proc[[#This Row],[Obj]],Sheet9!A:B,2,0)</f>
        <v>0</v>
      </c>
      <c r="G5381" s="180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0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on track</v>
      </c>
      <c r="Q5381" s="3">
        <f ca="1">IF(Proc[[#This Row],[DateClosed]]="",ABS(NETWORKDAYS(Proc[[#This Row],[DateOpened]],TODAY()))-1,ABS(NETWORKDAYS(Proc[[#This Row],[DateOpened]],Proc[[#This Row],[DateClosed]]))-1)</f>
        <v>1</v>
      </c>
      <c r="R5381" s="178" t="s">
        <v>7831</v>
      </c>
      <c r="S5381" s="150"/>
    </row>
    <row r="5382" spans="1:19" hidden="1">
      <c r="A5382" s="180" t="s">
        <v>7830</v>
      </c>
      <c r="B5382" s="150" t="str">
        <f>IFERROR(VLOOKUP(Proc[[#This Row],[App]],Table2[],3,0),"open")</f>
        <v>open</v>
      </c>
      <c r="C5382" s="180" t="s">
        <v>375</v>
      </c>
      <c r="D5382" s="180" t="s">
        <v>7783</v>
      </c>
      <c r="E5382" t="s">
        <v>7828</v>
      </c>
      <c r="F5382" s="150">
        <f>VLOOKUP(Proc[[#This Row],[Obj]],Sheet9!A:B,2,0)</f>
        <v>0</v>
      </c>
      <c r="G5382" s="180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0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on track</v>
      </c>
      <c r="Q5382" s="3">
        <f ca="1">IF(Proc[[#This Row],[DateClosed]]="",ABS(NETWORKDAYS(Proc[[#This Row],[DateOpened]],TODAY()))-1,ABS(NETWORKDAYS(Proc[[#This Row],[DateOpened]],Proc[[#This Row],[DateClosed]]))-1)</f>
        <v>1</v>
      </c>
      <c r="R5382" s="178" t="s">
        <v>7831</v>
      </c>
      <c r="S5382" s="150"/>
    </row>
    <row r="5383" spans="1:19" hidden="1">
      <c r="A5383" s="180" t="s">
        <v>7830</v>
      </c>
      <c r="B5383" s="150" t="str">
        <f>IFERROR(VLOOKUP(Proc[[#This Row],[App]],Table2[],3,0),"open")</f>
        <v>open</v>
      </c>
      <c r="C5383" s="180" t="s">
        <v>375</v>
      </c>
      <c r="D5383" s="180" t="s">
        <v>7784</v>
      </c>
      <c r="E5383" t="s">
        <v>7828</v>
      </c>
      <c r="F5383" s="150">
        <f>VLOOKUP(Proc[[#This Row],[Obj]],Sheet9!A:B,2,0)</f>
        <v>0</v>
      </c>
      <c r="G5383" s="180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0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on track</v>
      </c>
      <c r="Q5383" s="3">
        <f ca="1">IF(Proc[[#This Row],[DateClosed]]="",ABS(NETWORKDAYS(Proc[[#This Row],[DateOpened]],TODAY()))-1,ABS(NETWORKDAYS(Proc[[#This Row],[DateOpened]],Proc[[#This Row],[DateClosed]]))-1)</f>
        <v>1</v>
      </c>
      <c r="R5383" s="178" t="s">
        <v>7831</v>
      </c>
      <c r="S5383" s="150"/>
    </row>
    <row r="5384" spans="1:19" hidden="1">
      <c r="A5384" s="180" t="s">
        <v>7830</v>
      </c>
      <c r="B5384" s="150" t="str">
        <f>IFERROR(VLOOKUP(Proc[[#This Row],[App]],Table2[],3,0),"open")</f>
        <v>open</v>
      </c>
      <c r="C5384" s="180" t="s">
        <v>375</v>
      </c>
      <c r="D5384" s="180" t="s">
        <v>7785</v>
      </c>
      <c r="E5384" t="s">
        <v>7826</v>
      </c>
      <c r="F5384" s="150">
        <f>VLOOKUP(Proc[[#This Row],[Obj]],Sheet9!A:B,2,0)</f>
        <v>0</v>
      </c>
      <c r="G5384" s="180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0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on track</v>
      </c>
      <c r="Q5384" s="3">
        <f ca="1">IF(Proc[[#This Row],[DateClosed]]="",ABS(NETWORKDAYS(Proc[[#This Row],[DateOpened]],TODAY()))-1,ABS(NETWORKDAYS(Proc[[#This Row],[DateOpened]],Proc[[#This Row],[DateClosed]]))-1)</f>
        <v>1</v>
      </c>
      <c r="R5384" s="178" t="s">
        <v>7831</v>
      </c>
      <c r="S5384" s="150"/>
    </row>
    <row r="5385" spans="1:19" hidden="1">
      <c r="A5385" s="180" t="s">
        <v>7830</v>
      </c>
      <c r="B5385" s="150" t="str">
        <f>IFERROR(VLOOKUP(Proc[[#This Row],[App]],Table2[],3,0),"open")</f>
        <v>open</v>
      </c>
      <c r="C5385" s="180" t="s">
        <v>375</v>
      </c>
      <c r="D5385" s="180" t="s">
        <v>7786</v>
      </c>
      <c r="E5385" t="s">
        <v>7828</v>
      </c>
      <c r="F5385" s="150">
        <f>VLOOKUP(Proc[[#This Row],[Obj]],Sheet9!A:B,2,0)</f>
        <v>0</v>
      </c>
      <c r="G5385" s="180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0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on track</v>
      </c>
      <c r="Q5385" s="3">
        <f ca="1">IF(Proc[[#This Row],[DateClosed]]="",ABS(NETWORKDAYS(Proc[[#This Row],[DateOpened]],TODAY()))-1,ABS(NETWORKDAYS(Proc[[#This Row],[DateOpened]],Proc[[#This Row],[DateClosed]]))-1)</f>
        <v>1</v>
      </c>
      <c r="R5385" s="178" t="s">
        <v>7831</v>
      </c>
      <c r="S5385" s="150"/>
    </row>
    <row r="5386" spans="1:19" hidden="1">
      <c r="A5386" s="180" t="s">
        <v>7830</v>
      </c>
      <c r="B5386" s="150" t="str">
        <f>IFERROR(VLOOKUP(Proc[[#This Row],[App]],Table2[],3,0),"open")</f>
        <v>open</v>
      </c>
      <c r="C5386" s="180" t="s">
        <v>375</v>
      </c>
      <c r="D5386" s="180" t="s">
        <v>7787</v>
      </c>
      <c r="E5386" t="s">
        <v>7828</v>
      </c>
      <c r="F5386" s="150">
        <f>VLOOKUP(Proc[[#This Row],[Obj]],Sheet9!A:B,2,0)</f>
        <v>0</v>
      </c>
      <c r="G5386" s="180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0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on track</v>
      </c>
      <c r="Q5386" s="3">
        <f ca="1">IF(Proc[[#This Row],[DateClosed]]="",ABS(NETWORKDAYS(Proc[[#This Row],[DateOpened]],TODAY()))-1,ABS(NETWORKDAYS(Proc[[#This Row],[DateOpened]],Proc[[#This Row],[DateClosed]]))-1)</f>
        <v>1</v>
      </c>
      <c r="R5386" s="178" t="s">
        <v>7831</v>
      </c>
      <c r="S5386" s="150"/>
    </row>
    <row r="5387" spans="1:19" hidden="1">
      <c r="A5387" s="180" t="s">
        <v>7830</v>
      </c>
      <c r="B5387" s="150" t="str">
        <f>IFERROR(VLOOKUP(Proc[[#This Row],[App]],Table2[],3,0),"open")</f>
        <v>open</v>
      </c>
      <c r="C5387" s="180" t="s">
        <v>375</v>
      </c>
      <c r="D5387" s="180" t="s">
        <v>7788</v>
      </c>
      <c r="E5387" t="s">
        <v>7828</v>
      </c>
      <c r="F5387" s="150">
        <f>VLOOKUP(Proc[[#This Row],[Obj]],Sheet9!A:B,2,0)</f>
        <v>0</v>
      </c>
      <c r="G5387" s="180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0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on track</v>
      </c>
      <c r="Q5387" s="3">
        <f ca="1">IF(Proc[[#This Row],[DateClosed]]="",ABS(NETWORKDAYS(Proc[[#This Row],[DateOpened]],TODAY()))-1,ABS(NETWORKDAYS(Proc[[#This Row],[DateOpened]],Proc[[#This Row],[DateClosed]]))-1)</f>
        <v>1</v>
      </c>
      <c r="R5387" s="178" t="s">
        <v>7831</v>
      </c>
      <c r="S5387" s="150"/>
    </row>
    <row r="5388" spans="1:19" hidden="1">
      <c r="A5388" s="180" t="s">
        <v>7830</v>
      </c>
      <c r="B5388" s="150" t="str">
        <f>IFERROR(VLOOKUP(Proc[[#This Row],[App]],Table2[],3,0),"open")</f>
        <v>open</v>
      </c>
      <c r="C5388" s="180" t="s">
        <v>375</v>
      </c>
      <c r="D5388" s="180" t="s">
        <v>7789</v>
      </c>
      <c r="E5388" t="s">
        <v>7828</v>
      </c>
      <c r="F5388" s="150">
        <f>VLOOKUP(Proc[[#This Row],[Obj]],Sheet9!A:B,2,0)</f>
        <v>0</v>
      </c>
      <c r="G5388" s="180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0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on track</v>
      </c>
      <c r="Q5388" s="3">
        <f ca="1">IF(Proc[[#This Row],[DateClosed]]="",ABS(NETWORKDAYS(Proc[[#This Row],[DateOpened]],TODAY()))-1,ABS(NETWORKDAYS(Proc[[#This Row],[DateOpened]],Proc[[#This Row],[DateClosed]]))-1)</f>
        <v>1</v>
      </c>
      <c r="R5388" s="178" t="s">
        <v>7831</v>
      </c>
      <c r="S5388" s="150"/>
    </row>
    <row r="5389" spans="1:19" hidden="1">
      <c r="A5389" s="180" t="s">
        <v>7830</v>
      </c>
      <c r="B5389" s="150" t="str">
        <f>IFERROR(VLOOKUP(Proc[[#This Row],[App]],Table2[],3,0),"open")</f>
        <v>open</v>
      </c>
      <c r="C5389" s="180" t="s">
        <v>375</v>
      </c>
      <c r="D5389" s="180" t="s">
        <v>7790</v>
      </c>
      <c r="E5389" t="s">
        <v>7828</v>
      </c>
      <c r="F5389" s="150">
        <f>VLOOKUP(Proc[[#This Row],[Obj]],Sheet9!A:B,2,0)</f>
        <v>0</v>
      </c>
      <c r="G5389" s="180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0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on track</v>
      </c>
      <c r="Q5389" s="3">
        <f ca="1">IF(Proc[[#This Row],[DateClosed]]="",ABS(NETWORKDAYS(Proc[[#This Row],[DateOpened]],TODAY()))-1,ABS(NETWORKDAYS(Proc[[#This Row],[DateOpened]],Proc[[#This Row],[DateClosed]]))-1)</f>
        <v>1</v>
      </c>
      <c r="R5389" s="178" t="s">
        <v>7831</v>
      </c>
      <c r="S5389" s="150"/>
    </row>
    <row r="5390" spans="1:19" hidden="1">
      <c r="A5390" s="180" t="s">
        <v>7830</v>
      </c>
      <c r="B5390" s="150" t="str">
        <f>IFERROR(VLOOKUP(Proc[[#This Row],[App]],Table2[],3,0),"open")</f>
        <v>open</v>
      </c>
      <c r="C5390" s="180" t="s">
        <v>375</v>
      </c>
      <c r="D5390" s="180" t="s">
        <v>7791</v>
      </c>
      <c r="E5390" t="s">
        <v>7828</v>
      </c>
      <c r="F5390" s="150">
        <f>VLOOKUP(Proc[[#This Row],[Obj]],Sheet9!A:B,2,0)</f>
        <v>0</v>
      </c>
      <c r="G5390" s="180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0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on track</v>
      </c>
      <c r="Q5390" s="3">
        <f ca="1">IF(Proc[[#This Row],[DateClosed]]="",ABS(NETWORKDAYS(Proc[[#This Row],[DateOpened]],TODAY()))-1,ABS(NETWORKDAYS(Proc[[#This Row],[DateOpened]],Proc[[#This Row],[DateClosed]]))-1)</f>
        <v>1</v>
      </c>
      <c r="R5390" s="178" t="s">
        <v>7831</v>
      </c>
      <c r="S5390" s="150"/>
    </row>
    <row r="5391" spans="1:19" hidden="1">
      <c r="A5391" s="180" t="s">
        <v>7830</v>
      </c>
      <c r="B5391" s="150" t="str">
        <f>IFERROR(VLOOKUP(Proc[[#This Row],[App]],Table2[],3,0),"open")</f>
        <v>open</v>
      </c>
      <c r="C5391" s="180" t="s">
        <v>375</v>
      </c>
      <c r="D5391" s="180" t="s">
        <v>7792</v>
      </c>
      <c r="E5391" t="s">
        <v>7829</v>
      </c>
      <c r="F5391" s="150" t="str">
        <f>VLOOKUP(Proc[[#This Row],[Obj]],Sheet9!A:B,2,0)</f>
        <v>H000004156</v>
      </c>
      <c r="G5391" s="180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0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on track</v>
      </c>
      <c r="Q5391" s="3">
        <f ca="1">IF(Proc[[#This Row],[DateClosed]]="",ABS(NETWORKDAYS(Proc[[#This Row],[DateOpened]],TODAY()))-1,ABS(NETWORKDAYS(Proc[[#This Row],[DateOpened]],Proc[[#This Row],[DateClosed]]))-1)</f>
        <v>1</v>
      </c>
      <c r="R5391" s="178" t="s">
        <v>7831</v>
      </c>
      <c r="S5391" s="150"/>
    </row>
    <row r="5392" spans="1:19" hidden="1">
      <c r="A5392" s="180" t="s">
        <v>7830</v>
      </c>
      <c r="B5392" s="150" t="str">
        <f>IFERROR(VLOOKUP(Proc[[#This Row],[App]],Table2[],3,0),"open")</f>
        <v>open</v>
      </c>
      <c r="C5392" s="180" t="s">
        <v>375</v>
      </c>
      <c r="D5392" s="180" t="s">
        <v>7793</v>
      </c>
      <c r="E5392" t="s">
        <v>7829</v>
      </c>
      <c r="F5392" s="150" t="str">
        <f>VLOOKUP(Proc[[#This Row],[Obj]],Sheet9!A:B,2,0)</f>
        <v>H000004160</v>
      </c>
      <c r="G5392" s="180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0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on track</v>
      </c>
      <c r="Q5392" s="3">
        <f ca="1">IF(Proc[[#This Row],[DateClosed]]="",ABS(NETWORKDAYS(Proc[[#This Row],[DateOpened]],TODAY()))-1,ABS(NETWORKDAYS(Proc[[#This Row],[DateOpened]],Proc[[#This Row],[DateClosed]]))-1)</f>
        <v>1</v>
      </c>
      <c r="R5392" s="178" t="s">
        <v>7831</v>
      </c>
      <c r="S5392" s="150"/>
    </row>
    <row r="5393" spans="1:19" hidden="1">
      <c r="A5393" s="180" t="s">
        <v>7830</v>
      </c>
      <c r="B5393" s="150" t="str">
        <f>IFERROR(VLOOKUP(Proc[[#This Row],[App]],Table2[],3,0),"open")</f>
        <v>open</v>
      </c>
      <c r="C5393" s="180" t="s">
        <v>375</v>
      </c>
      <c r="D5393" s="180" t="s">
        <v>7794</v>
      </c>
      <c r="E5393" t="s">
        <v>7829</v>
      </c>
      <c r="F5393" s="150" t="str">
        <f>VLOOKUP(Proc[[#This Row],[Obj]],Sheet9!A:B,2,0)</f>
        <v>H000004156</v>
      </c>
      <c r="G5393" s="180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0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on track</v>
      </c>
      <c r="Q5393" s="3">
        <f ca="1">IF(Proc[[#This Row],[DateClosed]]="",ABS(NETWORKDAYS(Proc[[#This Row],[DateOpened]],TODAY()))-1,ABS(NETWORKDAYS(Proc[[#This Row],[DateOpened]],Proc[[#This Row],[DateClosed]]))-1)</f>
        <v>1</v>
      </c>
      <c r="R5393" s="178" t="s">
        <v>7831</v>
      </c>
      <c r="S5393" s="150"/>
    </row>
    <row r="5394" spans="1:19" hidden="1">
      <c r="A5394" s="180" t="s">
        <v>7830</v>
      </c>
      <c r="B5394" s="150" t="str">
        <f>IFERROR(VLOOKUP(Proc[[#This Row],[App]],Table2[],3,0),"open")</f>
        <v>open</v>
      </c>
      <c r="C5394" s="180" t="s">
        <v>375</v>
      </c>
      <c r="D5394" s="180" t="s">
        <v>7795</v>
      </c>
      <c r="E5394" t="s">
        <v>7829</v>
      </c>
      <c r="F5394" s="150" t="str">
        <f>VLOOKUP(Proc[[#This Row],[Obj]],Sheet9!A:B,2,0)</f>
        <v>H000004156</v>
      </c>
      <c r="G5394" s="180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0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on track</v>
      </c>
      <c r="Q5394" s="3">
        <f ca="1">IF(Proc[[#This Row],[DateClosed]]="",ABS(NETWORKDAYS(Proc[[#This Row],[DateOpened]],TODAY()))-1,ABS(NETWORKDAYS(Proc[[#This Row],[DateOpened]],Proc[[#This Row],[DateClosed]]))-1)</f>
        <v>1</v>
      </c>
      <c r="R5394" s="178" t="s">
        <v>7831</v>
      </c>
      <c r="S5394" s="150"/>
    </row>
    <row r="5395" spans="1:19" hidden="1">
      <c r="A5395" s="180" t="s">
        <v>7830</v>
      </c>
      <c r="B5395" s="150" t="str">
        <f>IFERROR(VLOOKUP(Proc[[#This Row],[App]],Table2[],3,0),"open")</f>
        <v>open</v>
      </c>
      <c r="C5395" s="180" t="s">
        <v>375</v>
      </c>
      <c r="D5395" s="180" t="s">
        <v>7796</v>
      </c>
      <c r="E5395" t="s">
        <v>7829</v>
      </c>
      <c r="F5395" s="150" t="str">
        <f>VLOOKUP(Proc[[#This Row],[Obj]],Sheet9!A:B,2,0)</f>
        <v>H000004158</v>
      </c>
      <c r="G5395" s="180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0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on track</v>
      </c>
      <c r="Q5395" s="3">
        <f ca="1">IF(Proc[[#This Row],[DateClosed]]="",ABS(NETWORKDAYS(Proc[[#This Row],[DateOpened]],TODAY()))-1,ABS(NETWORKDAYS(Proc[[#This Row],[DateOpened]],Proc[[#This Row],[DateClosed]]))-1)</f>
        <v>1</v>
      </c>
      <c r="R5395" s="178" t="s">
        <v>7831</v>
      </c>
      <c r="S5395" s="150"/>
    </row>
    <row r="5396" spans="1:19" hidden="1">
      <c r="A5396" s="180" t="s">
        <v>7830</v>
      </c>
      <c r="B5396" s="150" t="str">
        <f>IFERROR(VLOOKUP(Proc[[#This Row],[App]],Table2[],3,0),"open")</f>
        <v>open</v>
      </c>
      <c r="C5396" s="180" t="s">
        <v>375</v>
      </c>
      <c r="D5396" s="180" t="s">
        <v>7797</v>
      </c>
      <c r="E5396" t="s">
        <v>7829</v>
      </c>
      <c r="F5396" s="150" t="str">
        <f>VLOOKUP(Proc[[#This Row],[Obj]],Sheet9!A:B,2,0)</f>
        <v>LFF_1000$$$IT50TAPY95</v>
      </c>
      <c r="G5396" s="180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0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on track</v>
      </c>
      <c r="Q5396" s="3">
        <f ca="1">IF(Proc[[#This Row],[DateClosed]]="",ABS(NETWORKDAYS(Proc[[#This Row],[DateOpened]],TODAY()))-1,ABS(NETWORKDAYS(Proc[[#This Row],[DateOpened]],Proc[[#This Row],[DateClosed]]))-1)</f>
        <v>1</v>
      </c>
      <c r="R5396" s="178" t="s">
        <v>7831</v>
      </c>
      <c r="S5396" s="150"/>
    </row>
    <row r="5397" spans="1:19" hidden="1">
      <c r="A5397" s="180" t="s">
        <v>7830</v>
      </c>
      <c r="B5397" s="150" t="str">
        <f>IFERROR(VLOOKUP(Proc[[#This Row],[App]],Table2[],3,0),"open")</f>
        <v>open</v>
      </c>
      <c r="C5397" s="180" t="s">
        <v>375</v>
      </c>
      <c r="D5397" s="180" t="s">
        <v>7798</v>
      </c>
      <c r="E5397" t="s">
        <v>7829</v>
      </c>
      <c r="F5397" s="150" t="str">
        <f>VLOOKUP(Proc[[#This Row],[Obj]],Sheet9!A:B,2,0)</f>
        <v>H000004160</v>
      </c>
      <c r="G5397" s="180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0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on track</v>
      </c>
      <c r="Q5397" s="3">
        <f ca="1">IF(Proc[[#This Row],[DateClosed]]="",ABS(NETWORKDAYS(Proc[[#This Row],[DateOpened]],TODAY()))-1,ABS(NETWORKDAYS(Proc[[#This Row],[DateOpened]],Proc[[#This Row],[DateClosed]]))-1)</f>
        <v>1</v>
      </c>
      <c r="R5397" s="178" t="s">
        <v>7831</v>
      </c>
      <c r="S5397" s="150"/>
    </row>
    <row r="5398" spans="1:19" hidden="1">
      <c r="A5398" s="180" t="s">
        <v>7830</v>
      </c>
      <c r="B5398" s="150" t="str">
        <f>IFERROR(VLOOKUP(Proc[[#This Row],[App]],Table2[],3,0),"open")</f>
        <v>open</v>
      </c>
      <c r="C5398" s="180" t="s">
        <v>375</v>
      </c>
      <c r="D5398" s="180" t="s">
        <v>7799</v>
      </c>
      <c r="E5398" t="s">
        <v>7829</v>
      </c>
      <c r="F5398" s="150" t="str">
        <f>VLOOKUP(Proc[[#This Row],[Obj]],Sheet9!A:B,2,0)</f>
        <v>LFF_1000$$$IT50TAPY97</v>
      </c>
      <c r="G5398" s="180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0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on track</v>
      </c>
      <c r="Q5398" s="3">
        <f ca="1">IF(Proc[[#This Row],[DateClosed]]="",ABS(NETWORKDAYS(Proc[[#This Row],[DateOpened]],TODAY()))-1,ABS(NETWORKDAYS(Proc[[#This Row],[DateOpened]],Proc[[#This Row],[DateClosed]]))-1)</f>
        <v>1</v>
      </c>
      <c r="R5398" s="178" t="s">
        <v>7831</v>
      </c>
      <c r="S5398" s="150"/>
    </row>
    <row r="5399" spans="1:19" hidden="1">
      <c r="A5399" s="180" t="s">
        <v>7830</v>
      </c>
      <c r="B5399" s="150" t="str">
        <f>IFERROR(VLOOKUP(Proc[[#This Row],[App]],Table2[],3,0),"open")</f>
        <v>open</v>
      </c>
      <c r="C5399" s="180" t="s">
        <v>375</v>
      </c>
      <c r="D5399" s="180" t="s">
        <v>7800</v>
      </c>
      <c r="E5399" t="s">
        <v>7829</v>
      </c>
      <c r="F5399" s="150" t="str">
        <f>VLOOKUP(Proc[[#This Row],[Obj]],Sheet9!A:B,2,0)</f>
        <v>H000004156</v>
      </c>
      <c r="G5399" s="180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0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on track</v>
      </c>
      <c r="Q5399" s="3">
        <f ca="1">IF(Proc[[#This Row],[DateClosed]]="",ABS(NETWORKDAYS(Proc[[#This Row],[DateOpened]],TODAY()))-1,ABS(NETWORKDAYS(Proc[[#This Row],[DateOpened]],Proc[[#This Row],[DateClosed]]))-1)</f>
        <v>1</v>
      </c>
      <c r="R5399" s="178" t="s">
        <v>7831</v>
      </c>
      <c r="S5399" s="150"/>
    </row>
    <row r="5400" spans="1:19" hidden="1">
      <c r="A5400" s="180" t="s">
        <v>7830</v>
      </c>
      <c r="B5400" s="150" t="str">
        <f>IFERROR(VLOOKUP(Proc[[#This Row],[App]],Table2[],3,0),"open")</f>
        <v>open</v>
      </c>
      <c r="C5400" s="180" t="s">
        <v>692</v>
      </c>
      <c r="D5400" s="180" t="s">
        <v>7801</v>
      </c>
      <c r="E5400" t="s">
        <v>7829</v>
      </c>
      <c r="F5400" s="150">
        <f>VLOOKUP(Proc[[#This Row],[Obj]],Sheet9!A:B,2,0)</f>
        <v>0</v>
      </c>
      <c r="G5400" s="180" t="s">
        <v>406</v>
      </c>
      <c r="H5400" s="150" t="str">
        <f>IF(Proc[[#This Row],[type]]="LFF (MDG-F)",MID(Proc[[#This Row],[Obj]],13,10),"")</f>
        <v>IT10B05A11</v>
      </c>
      <c r="J5400" s="150" t="b">
        <f>Proc[[#This Row],[Requested]]=Proc[[#This Row],[CurrentParent]]</f>
        <v>0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on track</v>
      </c>
      <c r="Q5400" s="3">
        <f ca="1">IF(Proc[[#This Row],[DateClosed]]="",ABS(NETWORKDAYS(Proc[[#This Row],[DateOpened]],TODAY()))-1,ABS(NETWORKDAYS(Proc[[#This Row],[DateOpened]],Proc[[#This Row],[DateClosed]]))-1)</f>
        <v>1</v>
      </c>
      <c r="R5400" s="178" t="s">
        <v>7831</v>
      </c>
      <c r="S5400" s="150"/>
    </row>
    <row r="5401" spans="1:19" hidden="1">
      <c r="A5401" s="180" t="s">
        <v>7830</v>
      </c>
      <c r="B5401" s="150" t="str">
        <f>IFERROR(VLOOKUP(Proc[[#This Row],[App]],Table2[],3,0),"open")</f>
        <v>open</v>
      </c>
      <c r="C5401" s="180" t="s">
        <v>375</v>
      </c>
      <c r="D5401" s="180" t="s">
        <v>7802</v>
      </c>
      <c r="E5401" t="s">
        <v>7829</v>
      </c>
      <c r="F5401" s="150" t="str">
        <f>VLOOKUP(Proc[[#This Row],[Obj]],Sheet9!A:B,2,0)</f>
        <v>H000004169</v>
      </c>
      <c r="G5401" s="180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0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on track</v>
      </c>
      <c r="Q5401" s="3">
        <f ca="1">IF(Proc[[#This Row],[DateClosed]]="",ABS(NETWORKDAYS(Proc[[#This Row],[DateOpened]],TODAY()))-1,ABS(NETWORKDAYS(Proc[[#This Row],[DateOpened]],Proc[[#This Row],[DateClosed]]))-1)</f>
        <v>1</v>
      </c>
      <c r="R5401" s="178" t="s">
        <v>7831</v>
      </c>
      <c r="S5401" s="150"/>
    </row>
    <row r="5402" spans="1:19" hidden="1">
      <c r="A5402" s="180" t="s">
        <v>7830</v>
      </c>
      <c r="B5402" s="150" t="str">
        <f>IFERROR(VLOOKUP(Proc[[#This Row],[App]],Table2[],3,0),"open")</f>
        <v>open</v>
      </c>
      <c r="C5402" s="180" t="s">
        <v>375</v>
      </c>
      <c r="D5402" s="180" t="s">
        <v>7803</v>
      </c>
      <c r="E5402" t="s">
        <v>7829</v>
      </c>
      <c r="F5402" s="150" t="str">
        <f>VLOOKUP(Proc[[#This Row],[Obj]],Sheet9!A:B,2,0)</f>
        <v>G000000560</v>
      </c>
      <c r="G5402" s="180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0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on track</v>
      </c>
      <c r="Q5402" s="3">
        <f ca="1">IF(Proc[[#This Row],[DateClosed]]="",ABS(NETWORKDAYS(Proc[[#This Row],[DateOpened]],TODAY()))-1,ABS(NETWORKDAYS(Proc[[#This Row],[DateOpened]],Proc[[#This Row],[DateClosed]]))-1)</f>
        <v>1</v>
      </c>
      <c r="R5402" s="178" t="s">
        <v>7831</v>
      </c>
      <c r="S5402" s="150"/>
    </row>
    <row r="5403" spans="1:19" hidden="1">
      <c r="A5403" s="180" t="s">
        <v>7830</v>
      </c>
      <c r="B5403" s="150" t="str">
        <f>IFERROR(VLOOKUP(Proc[[#This Row],[App]],Table2[],3,0),"open")</f>
        <v>open</v>
      </c>
      <c r="C5403" s="180" t="s">
        <v>375</v>
      </c>
      <c r="D5403" s="180" t="s">
        <v>7804</v>
      </c>
      <c r="E5403" t="s">
        <v>7829</v>
      </c>
      <c r="F5403" s="150" t="str">
        <f>VLOOKUP(Proc[[#This Row],[Obj]],Sheet9!A:B,2,0)</f>
        <v>G000000277</v>
      </c>
      <c r="G5403" s="180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0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on track</v>
      </c>
      <c r="Q5403" s="3">
        <f ca="1">IF(Proc[[#This Row],[DateClosed]]="",ABS(NETWORKDAYS(Proc[[#This Row],[DateOpened]],TODAY()))-1,ABS(NETWORKDAYS(Proc[[#This Row],[DateOpened]],Proc[[#This Row],[DateClosed]]))-1)</f>
        <v>1</v>
      </c>
      <c r="R5403" s="178" t="s">
        <v>7831</v>
      </c>
      <c r="S5403" s="150"/>
    </row>
    <row r="5404" spans="1:19" hidden="1">
      <c r="A5404" s="180" t="s">
        <v>7830</v>
      </c>
      <c r="B5404" s="150" t="str">
        <f>IFERROR(VLOOKUP(Proc[[#This Row],[App]],Table2[],3,0),"open")</f>
        <v>open</v>
      </c>
      <c r="C5404" s="180" t="s">
        <v>375</v>
      </c>
      <c r="D5404" s="180" t="s">
        <v>7805</v>
      </c>
      <c r="E5404" t="s">
        <v>7829</v>
      </c>
      <c r="F5404" s="150" t="str">
        <f>VLOOKUP(Proc[[#This Row],[Obj]],Sheet9!A:B,2,0)</f>
        <v>G000000277</v>
      </c>
      <c r="G5404" s="180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0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on track</v>
      </c>
      <c r="Q5404" s="3">
        <f ca="1">IF(Proc[[#This Row],[DateClosed]]="",ABS(NETWORKDAYS(Proc[[#This Row],[DateOpened]],TODAY()))-1,ABS(NETWORKDAYS(Proc[[#This Row],[DateOpened]],Proc[[#This Row],[DateClosed]]))-1)</f>
        <v>1</v>
      </c>
      <c r="R5404" s="178" t="s">
        <v>7831</v>
      </c>
      <c r="S5404" s="150"/>
    </row>
    <row r="5405" spans="1:19" hidden="1">
      <c r="A5405" s="180" t="s">
        <v>7830</v>
      </c>
      <c r="B5405" s="150" t="str">
        <f>IFERROR(VLOOKUP(Proc[[#This Row],[App]],Table2[],3,0),"open")</f>
        <v>open</v>
      </c>
      <c r="C5405" s="180" t="s">
        <v>375</v>
      </c>
      <c r="D5405" s="180" t="s">
        <v>7806</v>
      </c>
      <c r="E5405" t="s">
        <v>7829</v>
      </c>
      <c r="F5405" s="150" t="str">
        <f>VLOOKUP(Proc[[#This Row],[Obj]],Sheet9!A:B,2,0)</f>
        <v>G000000253</v>
      </c>
      <c r="G5405" s="180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0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on track</v>
      </c>
      <c r="Q5405" s="3">
        <f ca="1">IF(Proc[[#This Row],[DateClosed]]="",ABS(NETWORKDAYS(Proc[[#This Row],[DateOpened]],TODAY()))-1,ABS(NETWORKDAYS(Proc[[#This Row],[DateOpened]],Proc[[#This Row],[DateClosed]]))-1)</f>
        <v>1</v>
      </c>
      <c r="R5405" s="178" t="s">
        <v>7831</v>
      </c>
      <c r="S5405" s="150"/>
    </row>
    <row r="5406" spans="1:19" hidden="1">
      <c r="A5406" s="180" t="s">
        <v>7830</v>
      </c>
      <c r="B5406" s="150" t="str">
        <f>IFERROR(VLOOKUP(Proc[[#This Row],[App]],Table2[],3,0),"open")</f>
        <v>open</v>
      </c>
      <c r="C5406" s="180" t="s">
        <v>375</v>
      </c>
      <c r="D5406" s="180" t="s">
        <v>7807</v>
      </c>
      <c r="E5406" t="s">
        <v>7829</v>
      </c>
      <c r="F5406" s="150" t="str">
        <f>VLOOKUP(Proc[[#This Row],[Obj]],Sheet9!A:B,2,0)</f>
        <v>H000004174</v>
      </c>
      <c r="G5406" s="180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0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on track</v>
      </c>
      <c r="Q5406" s="3">
        <f ca="1">IF(Proc[[#This Row],[DateClosed]]="",ABS(NETWORKDAYS(Proc[[#This Row],[DateOpened]],TODAY()))-1,ABS(NETWORKDAYS(Proc[[#This Row],[DateOpened]],Proc[[#This Row],[DateClosed]]))-1)</f>
        <v>1</v>
      </c>
      <c r="R5406" s="178" t="s">
        <v>7831</v>
      </c>
      <c r="S5406" s="150"/>
    </row>
    <row r="5407" spans="1:19" hidden="1">
      <c r="A5407" s="180" t="s">
        <v>7830</v>
      </c>
      <c r="B5407" s="150" t="str">
        <f>IFERROR(VLOOKUP(Proc[[#This Row],[App]],Table2[],3,0),"open")</f>
        <v>open</v>
      </c>
      <c r="C5407" s="180" t="s">
        <v>375</v>
      </c>
      <c r="D5407" s="180" t="s">
        <v>7808</v>
      </c>
      <c r="E5407" t="s">
        <v>7829</v>
      </c>
      <c r="F5407" s="150" t="str">
        <f>VLOOKUP(Proc[[#This Row],[Obj]],Sheet9!A:B,2,0)</f>
        <v>H000000646</v>
      </c>
      <c r="G5407" s="180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0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on track</v>
      </c>
      <c r="Q5407" s="3">
        <f ca="1">IF(Proc[[#This Row],[DateClosed]]="",ABS(NETWORKDAYS(Proc[[#This Row],[DateOpened]],TODAY()))-1,ABS(NETWORKDAYS(Proc[[#This Row],[DateOpened]],Proc[[#This Row],[DateClosed]]))-1)</f>
        <v>1</v>
      </c>
      <c r="R5407" s="178" t="s">
        <v>7831</v>
      </c>
      <c r="S5407" s="150"/>
    </row>
    <row r="5408" spans="1:19" hidden="1">
      <c r="A5408" s="180" t="s">
        <v>7830</v>
      </c>
      <c r="B5408" s="150" t="str">
        <f>IFERROR(VLOOKUP(Proc[[#This Row],[App]],Table2[],3,0),"open")</f>
        <v>open</v>
      </c>
      <c r="C5408" s="180" t="s">
        <v>375</v>
      </c>
      <c r="D5408" s="180" t="s">
        <v>7809</v>
      </c>
      <c r="E5408" t="s">
        <v>7829</v>
      </c>
      <c r="F5408" s="150" t="str">
        <f>VLOOKUP(Proc[[#This Row],[Obj]],Sheet9!A:B,2,0)</f>
        <v>H000000646</v>
      </c>
      <c r="G5408" s="180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0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on track</v>
      </c>
      <c r="Q5408" s="3">
        <f ca="1">IF(Proc[[#This Row],[DateClosed]]="",ABS(NETWORKDAYS(Proc[[#This Row],[DateOpened]],TODAY()))-1,ABS(NETWORKDAYS(Proc[[#This Row],[DateOpened]],Proc[[#This Row],[DateClosed]]))-1)</f>
        <v>1</v>
      </c>
      <c r="R5408" s="178" t="s">
        <v>7831</v>
      </c>
      <c r="S5408" s="150"/>
    </row>
    <row r="5409" spans="1:19" hidden="1">
      <c r="A5409" s="180" t="s">
        <v>7830</v>
      </c>
      <c r="B5409" s="150" t="str">
        <f>IFERROR(VLOOKUP(Proc[[#This Row],[App]],Table2[],3,0),"open")</f>
        <v>open</v>
      </c>
      <c r="C5409" s="180" t="s">
        <v>375</v>
      </c>
      <c r="D5409" s="180" t="s">
        <v>7810</v>
      </c>
      <c r="E5409" t="s">
        <v>7829</v>
      </c>
      <c r="F5409" s="150" t="str">
        <f>VLOOKUP(Proc[[#This Row],[Obj]],Sheet9!A:B,2,0)</f>
        <v>H000004261</v>
      </c>
      <c r="G5409" s="180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0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on track</v>
      </c>
      <c r="Q5409" s="3">
        <f ca="1">IF(Proc[[#This Row],[DateClosed]]="",ABS(NETWORKDAYS(Proc[[#This Row],[DateOpened]],TODAY()))-1,ABS(NETWORKDAYS(Proc[[#This Row],[DateOpened]],Proc[[#This Row],[DateClosed]]))-1)</f>
        <v>1</v>
      </c>
      <c r="R5409" s="178" t="s">
        <v>7831</v>
      </c>
      <c r="S5409" s="150"/>
    </row>
    <row r="5410" spans="1:19" hidden="1">
      <c r="A5410" s="180" t="s">
        <v>7830</v>
      </c>
      <c r="B5410" s="150" t="str">
        <f>IFERROR(VLOOKUP(Proc[[#This Row],[App]],Table2[],3,0),"open")</f>
        <v>open</v>
      </c>
      <c r="C5410" s="180" t="s">
        <v>375</v>
      </c>
      <c r="D5410" s="180" t="s">
        <v>7811</v>
      </c>
      <c r="E5410" t="s">
        <v>7829</v>
      </c>
      <c r="F5410" s="150" t="str">
        <f>VLOOKUP(Proc[[#This Row],[Obj]],Sheet9!A:B,2,0)</f>
        <v>H000000680</v>
      </c>
      <c r="G5410" s="180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0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on track</v>
      </c>
      <c r="Q5410" s="3">
        <f ca="1">IF(Proc[[#This Row],[DateClosed]]="",ABS(NETWORKDAYS(Proc[[#This Row],[DateOpened]],TODAY()))-1,ABS(NETWORKDAYS(Proc[[#This Row],[DateOpened]],Proc[[#This Row],[DateClosed]]))-1)</f>
        <v>1</v>
      </c>
      <c r="R5410" s="178" t="s">
        <v>7831</v>
      </c>
      <c r="S5410" s="150"/>
    </row>
    <row r="5411" spans="1:19" hidden="1">
      <c r="A5411" s="180" t="s">
        <v>7830</v>
      </c>
      <c r="B5411" s="150" t="str">
        <f>IFERROR(VLOOKUP(Proc[[#This Row],[App]],Table2[],3,0),"open")</f>
        <v>open</v>
      </c>
      <c r="C5411" s="180" t="s">
        <v>375</v>
      </c>
      <c r="D5411" s="180" t="s">
        <v>7812</v>
      </c>
      <c r="E5411" t="s">
        <v>7829</v>
      </c>
      <c r="F5411" s="150" t="str">
        <f>VLOOKUP(Proc[[#This Row],[Obj]],Sheet9!A:B,2,0)</f>
        <v>H000000649</v>
      </c>
      <c r="G5411" s="180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0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on track</v>
      </c>
      <c r="Q5411" s="3">
        <f ca="1">IF(Proc[[#This Row],[DateClosed]]="",ABS(NETWORKDAYS(Proc[[#This Row],[DateOpened]],TODAY()))-1,ABS(NETWORKDAYS(Proc[[#This Row],[DateOpened]],Proc[[#This Row],[DateClosed]]))-1)</f>
        <v>1</v>
      </c>
      <c r="R5411" s="178" t="s">
        <v>7831</v>
      </c>
      <c r="S5411" s="150"/>
    </row>
    <row r="5412" spans="1:19">
      <c r="A5412" t="s">
        <v>7932</v>
      </c>
      <c r="B5412" s="150" t="str">
        <f>IFERROR(VLOOKUP(Proc[[#This Row],[App]],Table2[],3,0),"open")</f>
        <v>open</v>
      </c>
      <c r="C5412" t="s">
        <v>404</v>
      </c>
      <c r="D5412" t="s">
        <v>7930</v>
      </c>
      <c r="E5412" t="s">
        <v>7931</v>
      </c>
      <c r="F5412" s="150"/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0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6435</v>
      </c>
      <c r="M5412" s="178">
        <v>46045</v>
      </c>
      <c r="N5412" s="178"/>
      <c r="O5412" s="178"/>
      <c r="P5412" s="178" t="str">
        <f ca="1">IF(Proc[[#This Row],[DaysAgeing]]&gt;5,"yep","on track")</f>
        <v>on track</v>
      </c>
      <c r="Q5412" s="3">
        <f ca="1">IF(Proc[[#This Row],[DateClosed]]="",ABS(NETWORKDAYS(Proc[[#This Row],[DateOpened]],TODAY()))-1,ABS(NETWORKDAYS(Proc[[#This Row],[DateOpened]],Proc[[#This Row],[DateClosed]]))-1)</f>
        <v>0</v>
      </c>
      <c r="R5412" s="178" t="s">
        <v>7933</v>
      </c>
      <c r="S5412" s="150"/>
    </row>
    <row r="5413" spans="1:19" hidden="1">
      <c r="A5413" t="s">
        <v>7934</v>
      </c>
      <c r="B5413" s="150" t="str">
        <f>IFERROR(VLOOKUP(Proc[[#This Row],[App]],Table2[],3,0),"open")</f>
        <v>open</v>
      </c>
      <c r="C5413" s="180" t="s">
        <v>370</v>
      </c>
      <c r="D5413" t="s">
        <v>7935</v>
      </c>
      <c r="E5413" t="s">
        <v>4829</v>
      </c>
      <c r="F5413" s="150"/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0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6435</v>
      </c>
      <c r="M5413" s="178">
        <v>46045</v>
      </c>
      <c r="N5413" s="178"/>
      <c r="O5413" s="178"/>
      <c r="P5413" s="178" t="str">
        <f ca="1">IF(Proc[[#This Row],[DaysAgeing]]&gt;5,"yep","on track")</f>
        <v>on track</v>
      </c>
      <c r="Q5413" s="3">
        <f ca="1">IF(Proc[[#This Row],[DateClosed]]="",ABS(NETWORKDAYS(Proc[[#This Row],[DateOpened]],TODAY()))-1,ABS(NETWORKDAYS(Proc[[#This Row],[DateOpened]],Proc[[#This Row],[DateClosed]]))-1)</f>
        <v>0</v>
      </c>
      <c r="R5413" s="178" t="s">
        <v>7993</v>
      </c>
      <c r="S5413" s="150"/>
    </row>
    <row r="5414" spans="1:19" hidden="1">
      <c r="A5414" s="180" t="s">
        <v>7934</v>
      </c>
      <c r="B5414" s="150" t="str">
        <f>IFERROR(VLOOKUP(Proc[[#This Row],[App]],Table2[],3,0),"open")</f>
        <v>open</v>
      </c>
      <c r="C5414" s="180" t="s">
        <v>370</v>
      </c>
      <c r="D5414" t="s">
        <v>7936</v>
      </c>
      <c r="E5414" t="s">
        <v>4829</v>
      </c>
      <c r="F5414" s="150"/>
      <c r="G5414" s="180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0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6435</v>
      </c>
      <c r="M5414" s="178">
        <v>46045</v>
      </c>
      <c r="N5414" s="178"/>
      <c r="O5414" s="178"/>
      <c r="P5414" s="178" t="str">
        <f ca="1">IF(Proc[[#This Row],[DaysAgeing]]&gt;5,"yep","on track")</f>
        <v>on track</v>
      </c>
      <c r="Q5414" s="3">
        <f ca="1">IF(Proc[[#This Row],[DateClosed]]="",ABS(NETWORKDAYS(Proc[[#This Row],[DateOpened]],TODAY()))-1,ABS(NETWORKDAYS(Proc[[#This Row],[DateOpened]],Proc[[#This Row],[DateClosed]]))-1)</f>
        <v>0</v>
      </c>
      <c r="R5414" s="178" t="s">
        <v>7993</v>
      </c>
      <c r="S5414" s="150"/>
    </row>
    <row r="5415" spans="1:19" hidden="1">
      <c r="A5415" s="180" t="s">
        <v>7934</v>
      </c>
      <c r="B5415" s="150" t="str">
        <f>IFERROR(VLOOKUP(Proc[[#This Row],[App]],Table2[],3,0),"open")</f>
        <v>open</v>
      </c>
      <c r="C5415" s="180" t="s">
        <v>370</v>
      </c>
      <c r="D5415" t="s">
        <v>7937</v>
      </c>
      <c r="E5415" t="s">
        <v>4829</v>
      </c>
      <c r="F5415" s="150"/>
      <c r="G5415" s="180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0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6435</v>
      </c>
      <c r="M5415" s="178">
        <v>46045</v>
      </c>
      <c r="N5415" s="178"/>
      <c r="O5415" s="178"/>
      <c r="P5415" s="178" t="str">
        <f ca="1">IF(Proc[[#This Row],[DaysAgeing]]&gt;5,"yep","on track")</f>
        <v>on track</v>
      </c>
      <c r="Q5415" s="3">
        <f ca="1">IF(Proc[[#This Row],[DateClosed]]="",ABS(NETWORKDAYS(Proc[[#This Row],[DateOpened]],TODAY()))-1,ABS(NETWORKDAYS(Proc[[#This Row],[DateOpened]],Proc[[#This Row],[DateClosed]]))-1)</f>
        <v>0</v>
      </c>
      <c r="R5415" s="178" t="s">
        <v>7993</v>
      </c>
      <c r="S5415" s="150"/>
    </row>
    <row r="5416" spans="1:19" hidden="1">
      <c r="A5416" s="180" t="s">
        <v>7934</v>
      </c>
      <c r="B5416" s="150" t="str">
        <f>IFERROR(VLOOKUP(Proc[[#This Row],[App]],Table2[],3,0),"open")</f>
        <v>open</v>
      </c>
      <c r="C5416" s="180" t="s">
        <v>370</v>
      </c>
      <c r="D5416" t="s">
        <v>7938</v>
      </c>
      <c r="E5416" t="s">
        <v>4829</v>
      </c>
      <c r="F5416" s="150"/>
      <c r="G5416" s="180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0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6435</v>
      </c>
      <c r="M5416" s="178">
        <v>46045</v>
      </c>
      <c r="N5416" s="178"/>
      <c r="O5416" s="178"/>
      <c r="P5416" s="178" t="str">
        <f ca="1">IF(Proc[[#This Row],[DaysAgeing]]&gt;5,"yep","on track")</f>
        <v>on track</v>
      </c>
      <c r="Q5416" s="3">
        <f ca="1">IF(Proc[[#This Row],[DateClosed]]="",ABS(NETWORKDAYS(Proc[[#This Row],[DateOpened]],TODAY()))-1,ABS(NETWORKDAYS(Proc[[#This Row],[DateOpened]],Proc[[#This Row],[DateClosed]]))-1)</f>
        <v>0</v>
      </c>
      <c r="R5416" s="178" t="s">
        <v>7993</v>
      </c>
      <c r="S5416" s="150"/>
    </row>
    <row r="5417" spans="1:19" hidden="1">
      <c r="A5417" s="180" t="s">
        <v>7934</v>
      </c>
      <c r="B5417" s="150" t="str">
        <f>IFERROR(VLOOKUP(Proc[[#This Row],[App]],Table2[],3,0),"open")</f>
        <v>open</v>
      </c>
      <c r="C5417" s="180" t="s">
        <v>370</v>
      </c>
      <c r="D5417" t="s">
        <v>7939</v>
      </c>
      <c r="E5417" t="s">
        <v>4829</v>
      </c>
      <c r="F5417" s="150"/>
      <c r="G5417" s="180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0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6435</v>
      </c>
      <c r="M5417" s="178">
        <v>46045</v>
      </c>
      <c r="N5417" s="178"/>
      <c r="O5417" s="178"/>
      <c r="P5417" s="178" t="str">
        <f ca="1">IF(Proc[[#This Row],[DaysAgeing]]&gt;5,"yep","on track")</f>
        <v>on track</v>
      </c>
      <c r="Q5417" s="3">
        <f ca="1">IF(Proc[[#This Row],[DateClosed]]="",ABS(NETWORKDAYS(Proc[[#This Row],[DateOpened]],TODAY()))-1,ABS(NETWORKDAYS(Proc[[#This Row],[DateOpened]],Proc[[#This Row],[DateClosed]]))-1)</f>
        <v>0</v>
      </c>
      <c r="R5417" s="178" t="s">
        <v>7993</v>
      </c>
      <c r="S5417" s="150"/>
    </row>
    <row r="5418" spans="1:19" hidden="1">
      <c r="A5418" s="180" t="s">
        <v>7934</v>
      </c>
      <c r="B5418" s="150" t="str">
        <f>IFERROR(VLOOKUP(Proc[[#This Row],[App]],Table2[],3,0),"open")</f>
        <v>open</v>
      </c>
      <c r="C5418" s="180" t="s">
        <v>370</v>
      </c>
      <c r="D5418" t="s">
        <v>7940</v>
      </c>
      <c r="E5418" t="s">
        <v>4829</v>
      </c>
      <c r="F5418" s="150"/>
      <c r="G5418" s="180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0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6435</v>
      </c>
      <c r="M5418" s="178">
        <v>46045</v>
      </c>
      <c r="N5418" s="178"/>
      <c r="O5418" s="178"/>
      <c r="P5418" s="178" t="str">
        <f ca="1">IF(Proc[[#This Row],[DaysAgeing]]&gt;5,"yep","on track")</f>
        <v>on track</v>
      </c>
      <c r="Q5418" s="3">
        <f ca="1">IF(Proc[[#This Row],[DateClosed]]="",ABS(NETWORKDAYS(Proc[[#This Row],[DateOpened]],TODAY()))-1,ABS(NETWORKDAYS(Proc[[#This Row],[DateOpened]],Proc[[#This Row],[DateClosed]]))-1)</f>
        <v>0</v>
      </c>
      <c r="R5418" s="178" t="s">
        <v>7993</v>
      </c>
      <c r="S5418" s="150"/>
    </row>
    <row r="5419" spans="1:19" hidden="1">
      <c r="A5419" s="180" t="s">
        <v>7934</v>
      </c>
      <c r="B5419" s="150" t="str">
        <f>IFERROR(VLOOKUP(Proc[[#This Row],[App]],Table2[],3,0),"open")</f>
        <v>open</v>
      </c>
      <c r="C5419" s="180" t="s">
        <v>370</v>
      </c>
      <c r="D5419" t="s">
        <v>7941</v>
      </c>
      <c r="E5419" t="s">
        <v>4829</v>
      </c>
      <c r="F5419" s="150"/>
      <c r="G5419" s="180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0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6435</v>
      </c>
      <c r="M5419" s="178">
        <v>46045</v>
      </c>
      <c r="N5419" s="178"/>
      <c r="O5419" s="178"/>
      <c r="P5419" s="178" t="str">
        <f ca="1">IF(Proc[[#This Row],[DaysAgeing]]&gt;5,"yep","on track")</f>
        <v>on track</v>
      </c>
      <c r="Q5419" s="3">
        <f ca="1">IF(Proc[[#This Row],[DateClosed]]="",ABS(NETWORKDAYS(Proc[[#This Row],[DateOpened]],TODAY()))-1,ABS(NETWORKDAYS(Proc[[#This Row],[DateOpened]],Proc[[#This Row],[DateClosed]]))-1)</f>
        <v>0</v>
      </c>
      <c r="R5419" s="178" t="s">
        <v>7993</v>
      </c>
      <c r="S5419" s="150"/>
    </row>
    <row r="5420" spans="1:19" hidden="1">
      <c r="A5420" s="180" t="s">
        <v>7934</v>
      </c>
      <c r="B5420" s="150" t="str">
        <f>IFERROR(VLOOKUP(Proc[[#This Row],[App]],Table2[],3,0),"open")</f>
        <v>open</v>
      </c>
      <c r="C5420" s="180" t="s">
        <v>370</v>
      </c>
      <c r="D5420" t="s">
        <v>7942</v>
      </c>
      <c r="E5420" t="s">
        <v>4829</v>
      </c>
      <c r="F5420" s="150"/>
      <c r="G5420" s="180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0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6435</v>
      </c>
      <c r="M5420" s="178">
        <v>46045</v>
      </c>
      <c r="N5420" s="178"/>
      <c r="O5420" s="178"/>
      <c r="P5420" s="178" t="str">
        <f ca="1">IF(Proc[[#This Row],[DaysAgeing]]&gt;5,"yep","on track")</f>
        <v>on track</v>
      </c>
      <c r="Q5420" s="3">
        <f ca="1">IF(Proc[[#This Row],[DateClosed]]="",ABS(NETWORKDAYS(Proc[[#This Row],[DateOpened]],TODAY()))-1,ABS(NETWORKDAYS(Proc[[#This Row],[DateOpened]],Proc[[#This Row],[DateClosed]]))-1)</f>
        <v>0</v>
      </c>
      <c r="R5420" s="178" t="s">
        <v>7993</v>
      </c>
      <c r="S5420" s="150"/>
    </row>
    <row r="5421" spans="1:19" hidden="1">
      <c r="A5421" s="180" t="s">
        <v>7934</v>
      </c>
      <c r="B5421" s="150" t="str">
        <f>IFERROR(VLOOKUP(Proc[[#This Row],[App]],Table2[],3,0),"open")</f>
        <v>open</v>
      </c>
      <c r="C5421" s="180" t="s">
        <v>370</v>
      </c>
      <c r="D5421" t="s">
        <v>7943</v>
      </c>
      <c r="E5421" t="s">
        <v>4829</v>
      </c>
      <c r="F5421" s="150"/>
      <c r="G5421" s="180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0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6435</v>
      </c>
      <c r="M5421" s="178">
        <v>46045</v>
      </c>
      <c r="N5421" s="178"/>
      <c r="O5421" s="178"/>
      <c r="P5421" s="178" t="str">
        <f ca="1">IF(Proc[[#This Row],[DaysAgeing]]&gt;5,"yep","on track")</f>
        <v>on track</v>
      </c>
      <c r="Q5421" s="3">
        <f ca="1">IF(Proc[[#This Row],[DateClosed]]="",ABS(NETWORKDAYS(Proc[[#This Row],[DateOpened]],TODAY()))-1,ABS(NETWORKDAYS(Proc[[#This Row],[DateOpened]],Proc[[#This Row],[DateClosed]]))-1)</f>
        <v>0</v>
      </c>
      <c r="R5421" s="178" t="s">
        <v>7993</v>
      </c>
      <c r="S5421" s="150"/>
    </row>
    <row r="5422" spans="1:19" hidden="1">
      <c r="A5422" s="180" t="s">
        <v>7934</v>
      </c>
      <c r="B5422" s="150" t="str">
        <f>IFERROR(VLOOKUP(Proc[[#This Row],[App]],Table2[],3,0),"open")</f>
        <v>open</v>
      </c>
      <c r="C5422" s="180" t="s">
        <v>370</v>
      </c>
      <c r="D5422" t="s">
        <v>7944</v>
      </c>
      <c r="E5422" t="s">
        <v>4829</v>
      </c>
      <c r="F5422" s="150"/>
      <c r="G5422" s="180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0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6435</v>
      </c>
      <c r="M5422" s="178">
        <v>46045</v>
      </c>
      <c r="N5422" s="178"/>
      <c r="O5422" s="178"/>
      <c r="P5422" s="178" t="str">
        <f ca="1">IF(Proc[[#This Row],[DaysAgeing]]&gt;5,"yep","on track")</f>
        <v>on track</v>
      </c>
      <c r="Q5422" s="3">
        <f ca="1">IF(Proc[[#This Row],[DateClosed]]="",ABS(NETWORKDAYS(Proc[[#This Row],[DateOpened]],TODAY()))-1,ABS(NETWORKDAYS(Proc[[#This Row],[DateOpened]],Proc[[#This Row],[DateClosed]]))-1)</f>
        <v>0</v>
      </c>
      <c r="R5422" s="178" t="s">
        <v>7993</v>
      </c>
      <c r="S5422" s="150"/>
    </row>
    <row r="5423" spans="1:19" hidden="1">
      <c r="A5423" s="180" t="s">
        <v>7934</v>
      </c>
      <c r="B5423" s="150" t="str">
        <f>IFERROR(VLOOKUP(Proc[[#This Row],[App]],Table2[],3,0),"open")</f>
        <v>open</v>
      </c>
      <c r="C5423" s="180" t="s">
        <v>370</v>
      </c>
      <c r="D5423" t="s">
        <v>7945</v>
      </c>
      <c r="E5423" t="s">
        <v>4829</v>
      </c>
      <c r="F5423" s="150"/>
      <c r="G5423" s="180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0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6435</v>
      </c>
      <c r="M5423" s="178">
        <v>46045</v>
      </c>
      <c r="N5423" s="178"/>
      <c r="O5423" s="178"/>
      <c r="P5423" s="178" t="str">
        <f ca="1">IF(Proc[[#This Row],[DaysAgeing]]&gt;5,"yep","on track")</f>
        <v>on track</v>
      </c>
      <c r="Q5423" s="3">
        <f ca="1">IF(Proc[[#This Row],[DateClosed]]="",ABS(NETWORKDAYS(Proc[[#This Row],[DateOpened]],TODAY()))-1,ABS(NETWORKDAYS(Proc[[#This Row],[DateOpened]],Proc[[#This Row],[DateClosed]]))-1)</f>
        <v>0</v>
      </c>
      <c r="R5423" s="178" t="s">
        <v>7993</v>
      </c>
      <c r="S5423" s="150"/>
    </row>
    <row r="5424" spans="1:19" hidden="1">
      <c r="A5424" s="180" t="s">
        <v>7934</v>
      </c>
      <c r="B5424" s="150" t="str">
        <f>IFERROR(VLOOKUP(Proc[[#This Row],[App]],Table2[],3,0),"open")</f>
        <v>open</v>
      </c>
      <c r="C5424" s="180" t="s">
        <v>370</v>
      </c>
      <c r="D5424" t="s">
        <v>7946</v>
      </c>
      <c r="E5424" t="s">
        <v>4829</v>
      </c>
      <c r="F5424" s="150"/>
      <c r="G5424" s="180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0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6435</v>
      </c>
      <c r="M5424" s="178">
        <v>46045</v>
      </c>
      <c r="N5424" s="178"/>
      <c r="O5424" s="178"/>
      <c r="P5424" s="178" t="str">
        <f ca="1">IF(Proc[[#This Row],[DaysAgeing]]&gt;5,"yep","on track")</f>
        <v>on track</v>
      </c>
      <c r="Q5424" s="3">
        <f ca="1">IF(Proc[[#This Row],[DateClosed]]="",ABS(NETWORKDAYS(Proc[[#This Row],[DateOpened]],TODAY()))-1,ABS(NETWORKDAYS(Proc[[#This Row],[DateOpened]],Proc[[#This Row],[DateClosed]]))-1)</f>
        <v>0</v>
      </c>
      <c r="R5424" s="178" t="s">
        <v>7993</v>
      </c>
      <c r="S5424" s="150"/>
    </row>
    <row r="5425" spans="1:19" hidden="1">
      <c r="A5425" s="180" t="s">
        <v>7934</v>
      </c>
      <c r="B5425" s="150" t="str">
        <f>IFERROR(VLOOKUP(Proc[[#This Row],[App]],Table2[],3,0),"open")</f>
        <v>open</v>
      </c>
      <c r="C5425" s="180" t="s">
        <v>370</v>
      </c>
      <c r="D5425" t="s">
        <v>7947</v>
      </c>
      <c r="E5425" t="s">
        <v>4829</v>
      </c>
      <c r="F5425" s="150"/>
      <c r="G5425" s="180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0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6435</v>
      </c>
      <c r="M5425" s="178">
        <v>46045</v>
      </c>
      <c r="N5425" s="178"/>
      <c r="O5425" s="178"/>
      <c r="P5425" s="178" t="str">
        <f ca="1">IF(Proc[[#This Row],[DaysAgeing]]&gt;5,"yep","on track")</f>
        <v>on track</v>
      </c>
      <c r="Q5425" s="3">
        <f ca="1">IF(Proc[[#This Row],[DateClosed]]="",ABS(NETWORKDAYS(Proc[[#This Row],[DateOpened]],TODAY()))-1,ABS(NETWORKDAYS(Proc[[#This Row],[DateOpened]],Proc[[#This Row],[DateClosed]]))-1)</f>
        <v>0</v>
      </c>
      <c r="R5425" s="178" t="s">
        <v>7993</v>
      </c>
      <c r="S5425" s="150"/>
    </row>
    <row r="5426" spans="1:19" hidden="1">
      <c r="A5426" s="180" t="s">
        <v>7934</v>
      </c>
      <c r="B5426" s="150" t="str">
        <f>IFERROR(VLOOKUP(Proc[[#This Row],[App]],Table2[],3,0),"open")</f>
        <v>open</v>
      </c>
      <c r="C5426" s="180" t="s">
        <v>370</v>
      </c>
      <c r="D5426" t="s">
        <v>7948</v>
      </c>
      <c r="E5426" t="s">
        <v>4829</v>
      </c>
      <c r="F5426" s="150"/>
      <c r="G5426" s="180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0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6435</v>
      </c>
      <c r="M5426" s="178">
        <v>46045</v>
      </c>
      <c r="N5426" s="178"/>
      <c r="O5426" s="178"/>
      <c r="P5426" s="178" t="str">
        <f ca="1">IF(Proc[[#This Row],[DaysAgeing]]&gt;5,"yep","on track")</f>
        <v>on track</v>
      </c>
      <c r="Q5426" s="3">
        <f ca="1">IF(Proc[[#This Row],[DateClosed]]="",ABS(NETWORKDAYS(Proc[[#This Row],[DateOpened]],TODAY()))-1,ABS(NETWORKDAYS(Proc[[#This Row],[DateOpened]],Proc[[#This Row],[DateClosed]]))-1)</f>
        <v>0</v>
      </c>
      <c r="R5426" s="178" t="s">
        <v>7993</v>
      </c>
      <c r="S5426" s="150"/>
    </row>
    <row r="5427" spans="1:19" hidden="1">
      <c r="A5427" s="180" t="s">
        <v>7934</v>
      </c>
      <c r="B5427" s="150" t="str">
        <f>IFERROR(VLOOKUP(Proc[[#This Row],[App]],Table2[],3,0),"open")</f>
        <v>open</v>
      </c>
      <c r="C5427" s="180" t="s">
        <v>370</v>
      </c>
      <c r="D5427" t="s">
        <v>7949</v>
      </c>
      <c r="E5427" t="s">
        <v>4829</v>
      </c>
      <c r="F5427" s="150"/>
      <c r="G5427" s="180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0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6435</v>
      </c>
      <c r="M5427" s="178">
        <v>46045</v>
      </c>
      <c r="N5427" s="178"/>
      <c r="O5427" s="178"/>
      <c r="P5427" s="178" t="str">
        <f ca="1">IF(Proc[[#This Row],[DaysAgeing]]&gt;5,"yep","on track")</f>
        <v>on track</v>
      </c>
      <c r="Q5427" s="3">
        <f ca="1">IF(Proc[[#This Row],[DateClosed]]="",ABS(NETWORKDAYS(Proc[[#This Row],[DateOpened]],TODAY()))-1,ABS(NETWORKDAYS(Proc[[#This Row],[DateOpened]],Proc[[#This Row],[DateClosed]]))-1)</f>
        <v>0</v>
      </c>
      <c r="R5427" s="178" t="s">
        <v>7993</v>
      </c>
      <c r="S5427" s="150"/>
    </row>
    <row r="5428" spans="1:19" hidden="1">
      <c r="A5428" s="180" t="s">
        <v>7934</v>
      </c>
      <c r="B5428" s="150" t="str">
        <f>IFERROR(VLOOKUP(Proc[[#This Row],[App]],Table2[],3,0),"open")</f>
        <v>open</v>
      </c>
      <c r="C5428" s="180" t="s">
        <v>370</v>
      </c>
      <c r="D5428" t="s">
        <v>7950</v>
      </c>
      <c r="E5428" t="s">
        <v>4829</v>
      </c>
      <c r="F5428" s="150"/>
      <c r="G5428" s="180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0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6435</v>
      </c>
      <c r="M5428" s="178">
        <v>46045</v>
      </c>
      <c r="N5428" s="178"/>
      <c r="O5428" s="178"/>
      <c r="P5428" s="178" t="str">
        <f ca="1">IF(Proc[[#This Row],[DaysAgeing]]&gt;5,"yep","on track")</f>
        <v>on track</v>
      </c>
      <c r="Q5428" s="3">
        <f ca="1">IF(Proc[[#This Row],[DateClosed]]="",ABS(NETWORKDAYS(Proc[[#This Row],[DateOpened]],TODAY()))-1,ABS(NETWORKDAYS(Proc[[#This Row],[DateOpened]],Proc[[#This Row],[DateClosed]]))-1)</f>
        <v>0</v>
      </c>
      <c r="R5428" s="178" t="s">
        <v>7993</v>
      </c>
      <c r="S5428" s="150"/>
    </row>
    <row r="5429" spans="1:19" hidden="1">
      <c r="A5429" s="180" t="s">
        <v>7934</v>
      </c>
      <c r="B5429" s="150" t="str">
        <f>IFERROR(VLOOKUP(Proc[[#This Row],[App]],Table2[],3,0),"open")</f>
        <v>open</v>
      </c>
      <c r="C5429" s="180" t="s">
        <v>370</v>
      </c>
      <c r="D5429" t="s">
        <v>7951</v>
      </c>
      <c r="E5429" t="s">
        <v>4829</v>
      </c>
      <c r="F5429" s="150"/>
      <c r="G5429" s="180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0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6435</v>
      </c>
      <c r="M5429" s="178">
        <v>46045</v>
      </c>
      <c r="N5429" s="178"/>
      <c r="O5429" s="178"/>
      <c r="P5429" s="178" t="str">
        <f ca="1">IF(Proc[[#This Row],[DaysAgeing]]&gt;5,"yep","on track")</f>
        <v>on track</v>
      </c>
      <c r="Q5429" s="3">
        <f ca="1">IF(Proc[[#This Row],[DateClosed]]="",ABS(NETWORKDAYS(Proc[[#This Row],[DateOpened]],TODAY()))-1,ABS(NETWORKDAYS(Proc[[#This Row],[DateOpened]],Proc[[#This Row],[DateClosed]]))-1)</f>
        <v>0</v>
      </c>
      <c r="R5429" s="178" t="s">
        <v>7993</v>
      </c>
      <c r="S5429" s="150"/>
    </row>
    <row r="5430" spans="1:19" hidden="1">
      <c r="A5430" s="180" t="s">
        <v>7934</v>
      </c>
      <c r="B5430" s="150" t="str">
        <f>IFERROR(VLOOKUP(Proc[[#This Row],[App]],Table2[],3,0),"open")</f>
        <v>open</v>
      </c>
      <c r="C5430" s="180" t="s">
        <v>370</v>
      </c>
      <c r="D5430" t="s">
        <v>7952</v>
      </c>
      <c r="E5430" t="s">
        <v>4829</v>
      </c>
      <c r="F5430" s="150"/>
      <c r="G5430" s="180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0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6435</v>
      </c>
      <c r="M5430" s="178">
        <v>46045</v>
      </c>
      <c r="N5430" s="178"/>
      <c r="O5430" s="178"/>
      <c r="P5430" s="178" t="str">
        <f ca="1">IF(Proc[[#This Row],[DaysAgeing]]&gt;5,"yep","on track")</f>
        <v>on track</v>
      </c>
      <c r="Q5430" s="3">
        <f ca="1">IF(Proc[[#This Row],[DateClosed]]="",ABS(NETWORKDAYS(Proc[[#This Row],[DateOpened]],TODAY()))-1,ABS(NETWORKDAYS(Proc[[#This Row],[DateOpened]],Proc[[#This Row],[DateClosed]]))-1)</f>
        <v>0</v>
      </c>
      <c r="R5430" s="178" t="s">
        <v>7993</v>
      </c>
      <c r="S5430" s="150"/>
    </row>
    <row r="5431" spans="1:19" hidden="1">
      <c r="A5431" s="180" t="s">
        <v>7934</v>
      </c>
      <c r="B5431" s="150" t="str">
        <f>IFERROR(VLOOKUP(Proc[[#This Row],[App]],Table2[],3,0),"open")</f>
        <v>open</v>
      </c>
      <c r="C5431" s="180" t="s">
        <v>370</v>
      </c>
      <c r="D5431" t="s">
        <v>7953</v>
      </c>
      <c r="E5431" t="s">
        <v>4829</v>
      </c>
      <c r="F5431" s="150"/>
      <c r="G5431" s="180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0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6435</v>
      </c>
      <c r="M5431" s="178">
        <v>46045</v>
      </c>
      <c r="N5431" s="178"/>
      <c r="O5431" s="178"/>
      <c r="P5431" s="178" t="str">
        <f ca="1">IF(Proc[[#This Row],[DaysAgeing]]&gt;5,"yep","on track")</f>
        <v>on track</v>
      </c>
      <c r="Q5431" s="3">
        <f ca="1">IF(Proc[[#This Row],[DateClosed]]="",ABS(NETWORKDAYS(Proc[[#This Row],[DateOpened]],TODAY()))-1,ABS(NETWORKDAYS(Proc[[#This Row],[DateOpened]],Proc[[#This Row],[DateClosed]]))-1)</f>
        <v>0</v>
      </c>
      <c r="R5431" s="178" t="s">
        <v>7993</v>
      </c>
      <c r="S5431" s="150"/>
    </row>
    <row r="5432" spans="1:19" hidden="1">
      <c r="A5432" s="180" t="s">
        <v>7934</v>
      </c>
      <c r="B5432" s="150" t="str">
        <f>IFERROR(VLOOKUP(Proc[[#This Row],[App]],Table2[],3,0),"open")</f>
        <v>open</v>
      </c>
      <c r="C5432" s="180" t="s">
        <v>370</v>
      </c>
      <c r="D5432" t="s">
        <v>7954</v>
      </c>
      <c r="E5432" t="s">
        <v>4829</v>
      </c>
      <c r="F5432" s="150"/>
      <c r="G5432" s="180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0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6435</v>
      </c>
      <c r="M5432" s="178">
        <v>46045</v>
      </c>
      <c r="N5432" s="178"/>
      <c r="O5432" s="178"/>
      <c r="P5432" s="178" t="str">
        <f ca="1">IF(Proc[[#This Row],[DaysAgeing]]&gt;5,"yep","on track")</f>
        <v>on track</v>
      </c>
      <c r="Q5432" s="3">
        <f ca="1">IF(Proc[[#This Row],[DateClosed]]="",ABS(NETWORKDAYS(Proc[[#This Row],[DateOpened]],TODAY()))-1,ABS(NETWORKDAYS(Proc[[#This Row],[DateOpened]],Proc[[#This Row],[DateClosed]]))-1)</f>
        <v>0</v>
      </c>
      <c r="R5432" s="178" t="s">
        <v>7993</v>
      </c>
      <c r="S5432" s="150"/>
    </row>
    <row r="5433" spans="1:19" hidden="1">
      <c r="A5433" s="180" t="s">
        <v>7934</v>
      </c>
      <c r="B5433" s="150" t="str">
        <f>IFERROR(VLOOKUP(Proc[[#This Row],[App]],Table2[],3,0),"open")</f>
        <v>open</v>
      </c>
      <c r="C5433" s="180" t="s">
        <v>370</v>
      </c>
      <c r="D5433" t="s">
        <v>7955</v>
      </c>
      <c r="E5433" t="s">
        <v>4829</v>
      </c>
      <c r="F5433" s="150"/>
      <c r="G5433" s="180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0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6435</v>
      </c>
      <c r="M5433" s="178">
        <v>46045</v>
      </c>
      <c r="N5433" s="178"/>
      <c r="O5433" s="178"/>
      <c r="P5433" s="178" t="str">
        <f ca="1">IF(Proc[[#This Row],[DaysAgeing]]&gt;5,"yep","on track")</f>
        <v>on track</v>
      </c>
      <c r="Q5433" s="3">
        <f ca="1">IF(Proc[[#This Row],[DateClosed]]="",ABS(NETWORKDAYS(Proc[[#This Row],[DateOpened]],TODAY()))-1,ABS(NETWORKDAYS(Proc[[#This Row],[DateOpened]],Proc[[#This Row],[DateClosed]]))-1)</f>
        <v>0</v>
      </c>
      <c r="R5433" s="178" t="s">
        <v>7993</v>
      </c>
      <c r="S5433" s="150"/>
    </row>
    <row r="5434" spans="1:19" hidden="1">
      <c r="A5434" s="180" t="s">
        <v>7934</v>
      </c>
      <c r="B5434" s="150" t="str">
        <f>IFERROR(VLOOKUP(Proc[[#This Row],[App]],Table2[],3,0),"open")</f>
        <v>open</v>
      </c>
      <c r="C5434" s="180" t="s">
        <v>370</v>
      </c>
      <c r="D5434" t="s">
        <v>7956</v>
      </c>
      <c r="E5434" t="s">
        <v>4829</v>
      </c>
      <c r="F5434" s="150"/>
      <c r="G5434" s="180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0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6435</v>
      </c>
      <c r="M5434" s="178">
        <v>46045</v>
      </c>
      <c r="N5434" s="178"/>
      <c r="O5434" s="178"/>
      <c r="P5434" s="178" t="str">
        <f ca="1">IF(Proc[[#This Row],[DaysAgeing]]&gt;5,"yep","on track")</f>
        <v>on track</v>
      </c>
      <c r="Q5434" s="3">
        <f ca="1">IF(Proc[[#This Row],[DateClosed]]="",ABS(NETWORKDAYS(Proc[[#This Row],[DateOpened]],TODAY()))-1,ABS(NETWORKDAYS(Proc[[#This Row],[DateOpened]],Proc[[#This Row],[DateClosed]]))-1)</f>
        <v>0</v>
      </c>
      <c r="R5434" s="178" t="s">
        <v>7993</v>
      </c>
      <c r="S5434" s="150"/>
    </row>
    <row r="5435" spans="1:19" hidden="1">
      <c r="A5435" s="180" t="s">
        <v>7934</v>
      </c>
      <c r="B5435" s="150" t="str">
        <f>IFERROR(VLOOKUP(Proc[[#This Row],[App]],Table2[],3,0),"open")</f>
        <v>open</v>
      </c>
      <c r="C5435" s="180" t="s">
        <v>370</v>
      </c>
      <c r="D5435" t="s">
        <v>7957</v>
      </c>
      <c r="E5435" t="s">
        <v>4829</v>
      </c>
      <c r="F5435" s="150"/>
      <c r="G5435" s="180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0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6435</v>
      </c>
      <c r="M5435" s="178">
        <v>46045</v>
      </c>
      <c r="N5435" s="178"/>
      <c r="O5435" s="178"/>
      <c r="P5435" s="178" t="str">
        <f ca="1">IF(Proc[[#This Row],[DaysAgeing]]&gt;5,"yep","on track")</f>
        <v>on track</v>
      </c>
      <c r="Q5435" s="3">
        <f ca="1">IF(Proc[[#This Row],[DateClosed]]="",ABS(NETWORKDAYS(Proc[[#This Row],[DateOpened]],TODAY()))-1,ABS(NETWORKDAYS(Proc[[#This Row],[DateOpened]],Proc[[#This Row],[DateClosed]]))-1)</f>
        <v>0</v>
      </c>
      <c r="R5435" s="178" t="s">
        <v>7993</v>
      </c>
      <c r="S5435" s="150"/>
    </row>
    <row r="5436" spans="1:19" hidden="1">
      <c r="A5436" s="180" t="s">
        <v>7934</v>
      </c>
      <c r="B5436" s="150" t="str">
        <f>IFERROR(VLOOKUP(Proc[[#This Row],[App]],Table2[],3,0),"open")</f>
        <v>open</v>
      </c>
      <c r="C5436" s="180" t="s">
        <v>370</v>
      </c>
      <c r="D5436" t="s">
        <v>7958</v>
      </c>
      <c r="E5436" t="s">
        <v>4829</v>
      </c>
      <c r="F5436" s="150"/>
      <c r="G5436" s="180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0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6435</v>
      </c>
      <c r="M5436" s="178">
        <v>46045</v>
      </c>
      <c r="N5436" s="178"/>
      <c r="O5436" s="178"/>
      <c r="P5436" s="178" t="str">
        <f ca="1">IF(Proc[[#This Row],[DaysAgeing]]&gt;5,"yep","on track")</f>
        <v>on track</v>
      </c>
      <c r="Q5436" s="3">
        <f ca="1">IF(Proc[[#This Row],[DateClosed]]="",ABS(NETWORKDAYS(Proc[[#This Row],[DateOpened]],TODAY()))-1,ABS(NETWORKDAYS(Proc[[#This Row],[DateOpened]],Proc[[#This Row],[DateClosed]]))-1)</f>
        <v>0</v>
      </c>
      <c r="R5436" s="178" t="s">
        <v>7993</v>
      </c>
      <c r="S5436" s="150"/>
    </row>
    <row r="5437" spans="1:19" hidden="1">
      <c r="A5437" s="180" t="s">
        <v>7934</v>
      </c>
      <c r="B5437" s="150" t="str">
        <f>IFERROR(VLOOKUP(Proc[[#This Row],[App]],Table2[],3,0),"open")</f>
        <v>open</v>
      </c>
      <c r="C5437" s="180" t="s">
        <v>370</v>
      </c>
      <c r="D5437" t="s">
        <v>7959</v>
      </c>
      <c r="E5437" t="s">
        <v>4829</v>
      </c>
      <c r="F5437" s="150"/>
      <c r="G5437" s="180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0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6435</v>
      </c>
      <c r="M5437" s="178">
        <v>46045</v>
      </c>
      <c r="N5437" s="178"/>
      <c r="O5437" s="178"/>
      <c r="P5437" s="178" t="str">
        <f ca="1">IF(Proc[[#This Row],[DaysAgeing]]&gt;5,"yep","on track")</f>
        <v>on track</v>
      </c>
      <c r="Q5437" s="3">
        <f ca="1">IF(Proc[[#This Row],[DateClosed]]="",ABS(NETWORKDAYS(Proc[[#This Row],[DateOpened]],TODAY()))-1,ABS(NETWORKDAYS(Proc[[#This Row],[DateOpened]],Proc[[#This Row],[DateClosed]]))-1)</f>
        <v>0</v>
      </c>
      <c r="R5437" s="178" t="s">
        <v>7993</v>
      </c>
      <c r="S5437" s="150"/>
    </row>
    <row r="5438" spans="1:19" hidden="1">
      <c r="A5438" s="180" t="s">
        <v>7934</v>
      </c>
      <c r="B5438" s="150" t="str">
        <f>IFERROR(VLOOKUP(Proc[[#This Row],[App]],Table2[],3,0),"open")</f>
        <v>open</v>
      </c>
      <c r="C5438" s="180" t="s">
        <v>370</v>
      </c>
      <c r="D5438" t="s">
        <v>7960</v>
      </c>
      <c r="E5438" t="s">
        <v>4829</v>
      </c>
      <c r="F5438" s="150"/>
      <c r="G5438" s="180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0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6435</v>
      </c>
      <c r="M5438" s="178">
        <v>46045</v>
      </c>
      <c r="N5438" s="178"/>
      <c r="O5438" s="178"/>
      <c r="P5438" s="178" t="str">
        <f ca="1">IF(Proc[[#This Row],[DaysAgeing]]&gt;5,"yep","on track")</f>
        <v>on track</v>
      </c>
      <c r="Q5438" s="3">
        <f ca="1">IF(Proc[[#This Row],[DateClosed]]="",ABS(NETWORKDAYS(Proc[[#This Row],[DateOpened]],TODAY()))-1,ABS(NETWORKDAYS(Proc[[#This Row],[DateOpened]],Proc[[#This Row],[DateClosed]]))-1)</f>
        <v>0</v>
      </c>
      <c r="R5438" s="178" t="s">
        <v>7993</v>
      </c>
      <c r="S5438" s="150"/>
    </row>
    <row r="5439" spans="1:19" hidden="1">
      <c r="A5439" s="180" t="s">
        <v>7934</v>
      </c>
      <c r="B5439" s="150" t="str">
        <f>IFERROR(VLOOKUP(Proc[[#This Row],[App]],Table2[],3,0),"open")</f>
        <v>open</v>
      </c>
      <c r="C5439" s="180" t="s">
        <v>370</v>
      </c>
      <c r="D5439" t="s">
        <v>7961</v>
      </c>
      <c r="E5439" t="s">
        <v>4829</v>
      </c>
      <c r="F5439" s="150"/>
      <c r="G5439" s="180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0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6435</v>
      </c>
      <c r="M5439" s="178">
        <v>46045</v>
      </c>
      <c r="N5439" s="178"/>
      <c r="O5439" s="178"/>
      <c r="P5439" s="178" t="str">
        <f ca="1">IF(Proc[[#This Row],[DaysAgeing]]&gt;5,"yep","on track")</f>
        <v>on track</v>
      </c>
      <c r="Q5439" s="3">
        <f ca="1">IF(Proc[[#This Row],[DateClosed]]="",ABS(NETWORKDAYS(Proc[[#This Row],[DateOpened]],TODAY()))-1,ABS(NETWORKDAYS(Proc[[#This Row],[DateOpened]],Proc[[#This Row],[DateClosed]]))-1)</f>
        <v>0</v>
      </c>
      <c r="R5439" s="178" t="s">
        <v>7993</v>
      </c>
      <c r="S5439" s="150"/>
    </row>
    <row r="5440" spans="1:19" hidden="1">
      <c r="A5440" s="180" t="s">
        <v>7934</v>
      </c>
      <c r="B5440" s="150" t="str">
        <f>IFERROR(VLOOKUP(Proc[[#This Row],[App]],Table2[],3,0),"open")</f>
        <v>open</v>
      </c>
      <c r="C5440" s="180" t="s">
        <v>370</v>
      </c>
      <c r="D5440" t="s">
        <v>7962</v>
      </c>
      <c r="E5440" t="s">
        <v>4829</v>
      </c>
      <c r="F5440" s="150"/>
      <c r="G5440" s="180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0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6435</v>
      </c>
      <c r="M5440" s="178">
        <v>46045</v>
      </c>
      <c r="N5440" s="178"/>
      <c r="O5440" s="178"/>
      <c r="P5440" s="178" t="str">
        <f ca="1">IF(Proc[[#This Row],[DaysAgeing]]&gt;5,"yep","on track")</f>
        <v>on track</v>
      </c>
      <c r="Q5440" s="3">
        <f ca="1">IF(Proc[[#This Row],[DateClosed]]="",ABS(NETWORKDAYS(Proc[[#This Row],[DateOpened]],TODAY()))-1,ABS(NETWORKDAYS(Proc[[#This Row],[DateOpened]],Proc[[#This Row],[DateClosed]]))-1)</f>
        <v>0</v>
      </c>
      <c r="R5440" s="178" t="s">
        <v>7993</v>
      </c>
      <c r="S5440" s="150"/>
    </row>
    <row r="5441" spans="1:19" hidden="1">
      <c r="A5441" s="180" t="s">
        <v>7934</v>
      </c>
      <c r="B5441" s="150" t="str">
        <f>IFERROR(VLOOKUP(Proc[[#This Row],[App]],Table2[],3,0),"open")</f>
        <v>open</v>
      </c>
      <c r="C5441" s="180" t="s">
        <v>370</v>
      </c>
      <c r="D5441" t="s">
        <v>7963</v>
      </c>
      <c r="E5441" t="s">
        <v>4829</v>
      </c>
      <c r="F5441" s="150"/>
      <c r="G5441" s="180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0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6435</v>
      </c>
      <c r="M5441" s="178">
        <v>46045</v>
      </c>
      <c r="N5441" s="178"/>
      <c r="O5441" s="178"/>
      <c r="P5441" s="178" t="str">
        <f ca="1">IF(Proc[[#This Row],[DaysAgeing]]&gt;5,"yep","on track")</f>
        <v>on track</v>
      </c>
      <c r="Q5441" s="3">
        <f ca="1">IF(Proc[[#This Row],[DateClosed]]="",ABS(NETWORKDAYS(Proc[[#This Row],[DateOpened]],TODAY()))-1,ABS(NETWORKDAYS(Proc[[#This Row],[DateOpened]],Proc[[#This Row],[DateClosed]]))-1)</f>
        <v>0</v>
      </c>
      <c r="R5441" s="178" t="s">
        <v>7993</v>
      </c>
      <c r="S5441" s="150"/>
    </row>
    <row r="5442" spans="1:19" hidden="1">
      <c r="A5442" s="180" t="s">
        <v>7934</v>
      </c>
      <c r="B5442" s="150" t="str">
        <f>IFERROR(VLOOKUP(Proc[[#This Row],[App]],Table2[],3,0),"open")</f>
        <v>open</v>
      </c>
      <c r="C5442" s="180" t="s">
        <v>370</v>
      </c>
      <c r="D5442" t="s">
        <v>7964</v>
      </c>
      <c r="E5442" t="s">
        <v>4829</v>
      </c>
      <c r="F5442" s="150"/>
      <c r="G5442" s="180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0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6435</v>
      </c>
      <c r="M5442" s="178">
        <v>46045</v>
      </c>
      <c r="N5442" s="178"/>
      <c r="O5442" s="178"/>
      <c r="P5442" s="178" t="str">
        <f ca="1">IF(Proc[[#This Row],[DaysAgeing]]&gt;5,"yep","on track")</f>
        <v>on track</v>
      </c>
      <c r="Q5442" s="3">
        <f ca="1">IF(Proc[[#This Row],[DateClosed]]="",ABS(NETWORKDAYS(Proc[[#This Row],[DateOpened]],TODAY()))-1,ABS(NETWORKDAYS(Proc[[#This Row],[DateOpened]],Proc[[#This Row],[DateClosed]]))-1)</f>
        <v>0</v>
      </c>
      <c r="R5442" s="178" t="s">
        <v>7993</v>
      </c>
      <c r="S5442" s="150"/>
    </row>
    <row r="5443" spans="1:19" hidden="1">
      <c r="A5443" s="180" t="s">
        <v>7934</v>
      </c>
      <c r="B5443" s="150" t="str">
        <f>IFERROR(VLOOKUP(Proc[[#This Row],[App]],Table2[],3,0),"open")</f>
        <v>open</v>
      </c>
      <c r="C5443" s="180" t="s">
        <v>370</v>
      </c>
      <c r="D5443" t="s">
        <v>7965</v>
      </c>
      <c r="E5443" t="s">
        <v>4829</v>
      </c>
      <c r="F5443" s="150"/>
      <c r="G5443" s="180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0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6435</v>
      </c>
      <c r="M5443" s="178">
        <v>46045</v>
      </c>
      <c r="N5443" s="178"/>
      <c r="O5443" s="178"/>
      <c r="P5443" s="178" t="str">
        <f ca="1">IF(Proc[[#This Row],[DaysAgeing]]&gt;5,"yep","on track")</f>
        <v>on track</v>
      </c>
      <c r="Q5443" s="3">
        <f ca="1">IF(Proc[[#This Row],[DateClosed]]="",ABS(NETWORKDAYS(Proc[[#This Row],[DateOpened]],TODAY()))-1,ABS(NETWORKDAYS(Proc[[#This Row],[DateOpened]],Proc[[#This Row],[DateClosed]]))-1)</f>
        <v>0</v>
      </c>
      <c r="R5443" s="178" t="s">
        <v>7993</v>
      </c>
      <c r="S5443" s="150"/>
    </row>
    <row r="5444" spans="1:19" hidden="1">
      <c r="A5444" s="180" t="s">
        <v>7934</v>
      </c>
      <c r="B5444" s="150" t="str">
        <f>IFERROR(VLOOKUP(Proc[[#This Row],[App]],Table2[],3,0),"open")</f>
        <v>open</v>
      </c>
      <c r="C5444" s="180" t="s">
        <v>370</v>
      </c>
      <c r="D5444" t="s">
        <v>7966</v>
      </c>
      <c r="E5444" t="s">
        <v>4829</v>
      </c>
      <c r="F5444" s="150"/>
      <c r="G5444" s="180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0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6435</v>
      </c>
      <c r="M5444" s="178">
        <v>46045</v>
      </c>
      <c r="N5444" s="178"/>
      <c r="O5444" s="178"/>
      <c r="P5444" s="178" t="str">
        <f ca="1">IF(Proc[[#This Row],[DaysAgeing]]&gt;5,"yep","on track")</f>
        <v>on track</v>
      </c>
      <c r="Q5444" s="3">
        <f ca="1">IF(Proc[[#This Row],[DateClosed]]="",ABS(NETWORKDAYS(Proc[[#This Row],[DateOpened]],TODAY()))-1,ABS(NETWORKDAYS(Proc[[#This Row],[DateOpened]],Proc[[#This Row],[DateClosed]]))-1)</f>
        <v>0</v>
      </c>
      <c r="R5444" s="178" t="s">
        <v>7993</v>
      </c>
      <c r="S5444" s="150"/>
    </row>
    <row r="5445" spans="1:19" hidden="1">
      <c r="A5445" s="180" t="s">
        <v>7934</v>
      </c>
      <c r="B5445" s="150" t="str">
        <f>IFERROR(VLOOKUP(Proc[[#This Row],[App]],Table2[],3,0),"open")</f>
        <v>open</v>
      </c>
      <c r="C5445" s="180" t="s">
        <v>370</v>
      </c>
      <c r="D5445" t="s">
        <v>7967</v>
      </c>
      <c r="E5445" t="s">
        <v>4829</v>
      </c>
      <c r="F5445" s="150"/>
      <c r="G5445" s="180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0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6435</v>
      </c>
      <c r="M5445" s="178">
        <v>46045</v>
      </c>
      <c r="N5445" s="178"/>
      <c r="O5445" s="178"/>
      <c r="P5445" s="178" t="str">
        <f ca="1">IF(Proc[[#This Row],[DaysAgeing]]&gt;5,"yep","on track")</f>
        <v>on track</v>
      </c>
      <c r="Q5445" s="3">
        <f ca="1">IF(Proc[[#This Row],[DateClosed]]="",ABS(NETWORKDAYS(Proc[[#This Row],[DateOpened]],TODAY()))-1,ABS(NETWORKDAYS(Proc[[#This Row],[DateOpened]],Proc[[#This Row],[DateClosed]]))-1)</f>
        <v>0</v>
      </c>
      <c r="R5445" s="178" t="s">
        <v>7993</v>
      </c>
      <c r="S5445" s="150"/>
    </row>
    <row r="5446" spans="1:19" hidden="1">
      <c r="A5446" s="180" t="s">
        <v>7934</v>
      </c>
      <c r="B5446" s="150" t="str">
        <f>IFERROR(VLOOKUP(Proc[[#This Row],[App]],Table2[],3,0),"open")</f>
        <v>open</v>
      </c>
      <c r="C5446" s="180" t="s">
        <v>370</v>
      </c>
      <c r="D5446" t="s">
        <v>7968</v>
      </c>
      <c r="E5446" t="s">
        <v>4829</v>
      </c>
      <c r="F5446" s="150"/>
      <c r="G5446" s="180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0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6435</v>
      </c>
      <c r="M5446" s="178">
        <v>46045</v>
      </c>
      <c r="N5446" s="178"/>
      <c r="O5446" s="178"/>
      <c r="P5446" s="178" t="str">
        <f ca="1">IF(Proc[[#This Row],[DaysAgeing]]&gt;5,"yep","on track")</f>
        <v>on track</v>
      </c>
      <c r="Q5446" s="3">
        <f ca="1">IF(Proc[[#This Row],[DateClosed]]="",ABS(NETWORKDAYS(Proc[[#This Row],[DateOpened]],TODAY()))-1,ABS(NETWORKDAYS(Proc[[#This Row],[DateOpened]],Proc[[#This Row],[DateClosed]]))-1)</f>
        <v>0</v>
      </c>
      <c r="R5446" s="178" t="s">
        <v>7993</v>
      </c>
      <c r="S5446" s="150"/>
    </row>
    <row r="5447" spans="1:19" hidden="1">
      <c r="A5447" s="180" t="s">
        <v>7934</v>
      </c>
      <c r="B5447" s="150" t="str">
        <f>IFERROR(VLOOKUP(Proc[[#This Row],[App]],Table2[],3,0),"open")</f>
        <v>open</v>
      </c>
      <c r="C5447" s="180" t="s">
        <v>370</v>
      </c>
      <c r="D5447" t="s">
        <v>7969</v>
      </c>
      <c r="E5447" t="s">
        <v>4829</v>
      </c>
      <c r="F5447" s="150"/>
      <c r="G5447" s="180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0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6435</v>
      </c>
      <c r="M5447" s="178">
        <v>46045</v>
      </c>
      <c r="N5447" s="178"/>
      <c r="O5447" s="178"/>
      <c r="P5447" s="178" t="str">
        <f ca="1">IF(Proc[[#This Row],[DaysAgeing]]&gt;5,"yep","on track")</f>
        <v>on track</v>
      </c>
      <c r="Q5447" s="3">
        <f ca="1">IF(Proc[[#This Row],[DateClosed]]="",ABS(NETWORKDAYS(Proc[[#This Row],[DateOpened]],TODAY()))-1,ABS(NETWORKDAYS(Proc[[#This Row],[DateOpened]],Proc[[#This Row],[DateClosed]]))-1)</f>
        <v>0</v>
      </c>
      <c r="R5447" s="178" t="s">
        <v>7993</v>
      </c>
      <c r="S5447" s="150"/>
    </row>
    <row r="5448" spans="1:19" hidden="1">
      <c r="A5448" s="180" t="s">
        <v>7934</v>
      </c>
      <c r="B5448" s="150" t="str">
        <f>IFERROR(VLOOKUP(Proc[[#This Row],[App]],Table2[],3,0),"open")</f>
        <v>open</v>
      </c>
      <c r="C5448" s="180" t="s">
        <v>370</v>
      </c>
      <c r="D5448" t="s">
        <v>7970</v>
      </c>
      <c r="E5448" t="s">
        <v>4829</v>
      </c>
      <c r="F5448" s="150"/>
      <c r="G5448" s="180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0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6435</v>
      </c>
      <c r="M5448" s="178">
        <v>46045</v>
      </c>
      <c r="N5448" s="178"/>
      <c r="O5448" s="178"/>
      <c r="P5448" s="178" t="str">
        <f ca="1">IF(Proc[[#This Row],[DaysAgeing]]&gt;5,"yep","on track")</f>
        <v>on track</v>
      </c>
      <c r="Q5448" s="3">
        <f ca="1">IF(Proc[[#This Row],[DateClosed]]="",ABS(NETWORKDAYS(Proc[[#This Row],[DateOpened]],TODAY()))-1,ABS(NETWORKDAYS(Proc[[#This Row],[DateOpened]],Proc[[#This Row],[DateClosed]]))-1)</f>
        <v>0</v>
      </c>
      <c r="R5448" s="178" t="s">
        <v>7993</v>
      </c>
      <c r="S5448" s="150"/>
    </row>
    <row r="5449" spans="1:19" hidden="1">
      <c r="A5449" s="180" t="s">
        <v>7934</v>
      </c>
      <c r="B5449" s="150" t="str">
        <f>IFERROR(VLOOKUP(Proc[[#This Row],[App]],Table2[],3,0),"open")</f>
        <v>open</v>
      </c>
      <c r="C5449" s="180" t="s">
        <v>370</v>
      </c>
      <c r="D5449" t="s">
        <v>7971</v>
      </c>
      <c r="E5449" t="s">
        <v>4829</v>
      </c>
      <c r="F5449" s="150"/>
      <c r="G5449" s="180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0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6435</v>
      </c>
      <c r="M5449" s="178">
        <v>46045</v>
      </c>
      <c r="N5449" s="178"/>
      <c r="O5449" s="178"/>
      <c r="P5449" s="178" t="str">
        <f ca="1">IF(Proc[[#This Row],[DaysAgeing]]&gt;5,"yep","on track")</f>
        <v>on track</v>
      </c>
      <c r="Q5449" s="3">
        <f ca="1">IF(Proc[[#This Row],[DateClosed]]="",ABS(NETWORKDAYS(Proc[[#This Row],[DateOpened]],TODAY()))-1,ABS(NETWORKDAYS(Proc[[#This Row],[DateOpened]],Proc[[#This Row],[DateClosed]]))-1)</f>
        <v>0</v>
      </c>
      <c r="R5449" s="178" t="s">
        <v>7993</v>
      </c>
      <c r="S5449" s="150"/>
    </row>
    <row r="5450" spans="1:19" hidden="1">
      <c r="A5450" s="180" t="s">
        <v>7934</v>
      </c>
      <c r="B5450" s="150" t="str">
        <f>IFERROR(VLOOKUP(Proc[[#This Row],[App]],Table2[],3,0),"open")</f>
        <v>open</v>
      </c>
      <c r="C5450" s="180" t="s">
        <v>370</v>
      </c>
      <c r="D5450" t="s">
        <v>7972</v>
      </c>
      <c r="E5450" t="s">
        <v>4829</v>
      </c>
      <c r="F5450" s="150"/>
      <c r="G5450" s="180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0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6435</v>
      </c>
      <c r="M5450" s="178">
        <v>46045</v>
      </c>
      <c r="N5450" s="178"/>
      <c r="O5450" s="178"/>
      <c r="P5450" s="178" t="str">
        <f ca="1">IF(Proc[[#This Row],[DaysAgeing]]&gt;5,"yep","on track")</f>
        <v>on track</v>
      </c>
      <c r="Q5450" s="3">
        <f ca="1">IF(Proc[[#This Row],[DateClosed]]="",ABS(NETWORKDAYS(Proc[[#This Row],[DateOpened]],TODAY()))-1,ABS(NETWORKDAYS(Proc[[#This Row],[DateOpened]],Proc[[#This Row],[DateClosed]]))-1)</f>
        <v>0</v>
      </c>
      <c r="R5450" s="178" t="s">
        <v>7993</v>
      </c>
      <c r="S5450" s="150"/>
    </row>
    <row r="5451" spans="1:19" hidden="1">
      <c r="A5451" s="180" t="s">
        <v>7934</v>
      </c>
      <c r="B5451" s="150" t="str">
        <f>IFERROR(VLOOKUP(Proc[[#This Row],[App]],Table2[],3,0),"open")</f>
        <v>open</v>
      </c>
      <c r="C5451" s="180" t="s">
        <v>370</v>
      </c>
      <c r="D5451" t="s">
        <v>7973</v>
      </c>
      <c r="E5451" t="s">
        <v>4829</v>
      </c>
      <c r="F5451" s="150"/>
      <c r="G5451" s="180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0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6435</v>
      </c>
      <c r="M5451" s="178">
        <v>46045</v>
      </c>
      <c r="N5451" s="178"/>
      <c r="O5451" s="178"/>
      <c r="P5451" s="178" t="str">
        <f ca="1">IF(Proc[[#This Row],[DaysAgeing]]&gt;5,"yep","on track")</f>
        <v>on track</v>
      </c>
      <c r="Q5451" s="3">
        <f ca="1">IF(Proc[[#This Row],[DateClosed]]="",ABS(NETWORKDAYS(Proc[[#This Row],[DateOpened]],TODAY()))-1,ABS(NETWORKDAYS(Proc[[#This Row],[DateOpened]],Proc[[#This Row],[DateClosed]]))-1)</f>
        <v>0</v>
      </c>
      <c r="R5451" s="178" t="s">
        <v>7993</v>
      </c>
      <c r="S5451" s="150"/>
    </row>
    <row r="5452" spans="1:19" hidden="1">
      <c r="A5452" s="180" t="s">
        <v>7934</v>
      </c>
      <c r="B5452" s="150" t="str">
        <f>IFERROR(VLOOKUP(Proc[[#This Row],[App]],Table2[],3,0),"open")</f>
        <v>open</v>
      </c>
      <c r="C5452" s="180" t="s">
        <v>370</v>
      </c>
      <c r="D5452" t="s">
        <v>7974</v>
      </c>
      <c r="E5452" t="s">
        <v>4829</v>
      </c>
      <c r="F5452" s="150"/>
      <c r="G5452" s="180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0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6435</v>
      </c>
      <c r="M5452" s="178">
        <v>46045</v>
      </c>
      <c r="N5452" s="178"/>
      <c r="O5452" s="178"/>
      <c r="P5452" s="178" t="str">
        <f ca="1">IF(Proc[[#This Row],[DaysAgeing]]&gt;5,"yep","on track")</f>
        <v>on track</v>
      </c>
      <c r="Q5452" s="3">
        <f ca="1">IF(Proc[[#This Row],[DateClosed]]="",ABS(NETWORKDAYS(Proc[[#This Row],[DateOpened]],TODAY()))-1,ABS(NETWORKDAYS(Proc[[#This Row],[DateOpened]],Proc[[#This Row],[DateClosed]]))-1)</f>
        <v>0</v>
      </c>
      <c r="R5452" s="178" t="s">
        <v>7993</v>
      </c>
      <c r="S5452" s="150"/>
    </row>
    <row r="5453" spans="1:19" hidden="1">
      <c r="A5453" s="180" t="s">
        <v>7934</v>
      </c>
      <c r="B5453" s="150" t="str">
        <f>IFERROR(VLOOKUP(Proc[[#This Row],[App]],Table2[],3,0),"open")</f>
        <v>open</v>
      </c>
      <c r="C5453" s="180" t="s">
        <v>370</v>
      </c>
      <c r="D5453" t="s">
        <v>7975</v>
      </c>
      <c r="E5453" t="s">
        <v>4829</v>
      </c>
      <c r="F5453" s="150"/>
      <c r="G5453" s="180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0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6435</v>
      </c>
      <c r="M5453" s="178">
        <v>46045</v>
      </c>
      <c r="N5453" s="178"/>
      <c r="O5453" s="178"/>
      <c r="P5453" s="178" t="str">
        <f ca="1">IF(Proc[[#This Row],[DaysAgeing]]&gt;5,"yep","on track")</f>
        <v>on track</v>
      </c>
      <c r="Q5453" s="3">
        <f ca="1">IF(Proc[[#This Row],[DateClosed]]="",ABS(NETWORKDAYS(Proc[[#This Row],[DateOpened]],TODAY()))-1,ABS(NETWORKDAYS(Proc[[#This Row],[DateOpened]],Proc[[#This Row],[DateClosed]]))-1)</f>
        <v>0</v>
      </c>
      <c r="R5453" s="178" t="s">
        <v>7993</v>
      </c>
      <c r="S5453" s="150"/>
    </row>
    <row r="5454" spans="1:19" hidden="1">
      <c r="A5454" s="180" t="s">
        <v>7934</v>
      </c>
      <c r="B5454" s="150" t="str">
        <f>IFERROR(VLOOKUP(Proc[[#This Row],[App]],Table2[],3,0),"open")</f>
        <v>open</v>
      </c>
      <c r="C5454" s="180" t="s">
        <v>370</v>
      </c>
      <c r="D5454" t="s">
        <v>7976</v>
      </c>
      <c r="E5454" t="s">
        <v>4829</v>
      </c>
      <c r="F5454" s="150"/>
      <c r="G5454" s="180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0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6435</v>
      </c>
      <c r="M5454" s="178">
        <v>46045</v>
      </c>
      <c r="N5454" s="178"/>
      <c r="O5454" s="178"/>
      <c r="P5454" s="178" t="str">
        <f ca="1">IF(Proc[[#This Row],[DaysAgeing]]&gt;5,"yep","on track")</f>
        <v>on track</v>
      </c>
      <c r="Q5454" s="3">
        <f ca="1">IF(Proc[[#This Row],[DateClosed]]="",ABS(NETWORKDAYS(Proc[[#This Row],[DateOpened]],TODAY()))-1,ABS(NETWORKDAYS(Proc[[#This Row],[DateOpened]],Proc[[#This Row],[DateClosed]]))-1)</f>
        <v>0</v>
      </c>
      <c r="R5454" s="178" t="s">
        <v>7993</v>
      </c>
      <c r="S5454" s="150"/>
    </row>
    <row r="5455" spans="1:19" hidden="1">
      <c r="A5455" s="180" t="s">
        <v>7934</v>
      </c>
      <c r="B5455" s="150" t="str">
        <f>IFERROR(VLOOKUP(Proc[[#This Row],[App]],Table2[],3,0),"open")</f>
        <v>open</v>
      </c>
      <c r="C5455" s="180" t="s">
        <v>370</v>
      </c>
      <c r="D5455" t="s">
        <v>7977</v>
      </c>
      <c r="E5455" t="s">
        <v>4829</v>
      </c>
      <c r="F5455" s="150"/>
      <c r="G5455" s="180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0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6435</v>
      </c>
      <c r="M5455" s="178">
        <v>46045</v>
      </c>
      <c r="N5455" s="178"/>
      <c r="O5455" s="178"/>
      <c r="P5455" s="178" t="str">
        <f ca="1">IF(Proc[[#This Row],[DaysAgeing]]&gt;5,"yep","on track")</f>
        <v>on track</v>
      </c>
      <c r="Q5455" s="3">
        <f ca="1">IF(Proc[[#This Row],[DateClosed]]="",ABS(NETWORKDAYS(Proc[[#This Row],[DateOpened]],TODAY()))-1,ABS(NETWORKDAYS(Proc[[#This Row],[DateOpened]],Proc[[#This Row],[DateClosed]]))-1)</f>
        <v>0</v>
      </c>
      <c r="R5455" s="178" t="s">
        <v>7993</v>
      </c>
      <c r="S5455" s="150"/>
    </row>
    <row r="5456" spans="1:19" hidden="1">
      <c r="A5456" s="180" t="s">
        <v>7934</v>
      </c>
      <c r="B5456" s="150" t="str">
        <f>IFERROR(VLOOKUP(Proc[[#This Row],[App]],Table2[],3,0),"open")</f>
        <v>open</v>
      </c>
      <c r="C5456" s="180" t="s">
        <v>370</v>
      </c>
      <c r="D5456" t="s">
        <v>7978</v>
      </c>
      <c r="E5456" t="s">
        <v>4829</v>
      </c>
      <c r="F5456" s="150"/>
      <c r="G5456" s="180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0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6435</v>
      </c>
      <c r="M5456" s="178">
        <v>46045</v>
      </c>
      <c r="N5456" s="178"/>
      <c r="O5456" s="178"/>
      <c r="P5456" s="178" t="str">
        <f ca="1">IF(Proc[[#This Row],[DaysAgeing]]&gt;5,"yep","on track")</f>
        <v>on track</v>
      </c>
      <c r="Q5456" s="3">
        <f ca="1">IF(Proc[[#This Row],[DateClosed]]="",ABS(NETWORKDAYS(Proc[[#This Row],[DateOpened]],TODAY()))-1,ABS(NETWORKDAYS(Proc[[#This Row],[DateOpened]],Proc[[#This Row],[DateClosed]]))-1)</f>
        <v>0</v>
      </c>
      <c r="R5456" s="178" t="s">
        <v>7993</v>
      </c>
      <c r="S5456" s="150"/>
    </row>
    <row r="5457" spans="1:19" hidden="1">
      <c r="A5457" s="180" t="s">
        <v>7934</v>
      </c>
      <c r="B5457" s="150" t="str">
        <f>IFERROR(VLOOKUP(Proc[[#This Row],[App]],Table2[],3,0),"open")</f>
        <v>open</v>
      </c>
      <c r="C5457" s="180" t="s">
        <v>370</v>
      </c>
      <c r="D5457" t="s">
        <v>7979</v>
      </c>
      <c r="E5457" t="s">
        <v>4829</v>
      </c>
      <c r="F5457" s="150"/>
      <c r="G5457" s="180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0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6435</v>
      </c>
      <c r="M5457" s="178">
        <v>46045</v>
      </c>
      <c r="N5457" s="178"/>
      <c r="O5457" s="178"/>
      <c r="P5457" s="178" t="str">
        <f ca="1">IF(Proc[[#This Row],[DaysAgeing]]&gt;5,"yep","on track")</f>
        <v>on track</v>
      </c>
      <c r="Q5457" s="3">
        <f ca="1">IF(Proc[[#This Row],[DateClosed]]="",ABS(NETWORKDAYS(Proc[[#This Row],[DateOpened]],TODAY()))-1,ABS(NETWORKDAYS(Proc[[#This Row],[DateOpened]],Proc[[#This Row],[DateClosed]]))-1)</f>
        <v>0</v>
      </c>
      <c r="R5457" s="178" t="s">
        <v>7993</v>
      </c>
      <c r="S5457" s="150"/>
    </row>
    <row r="5458" spans="1:19" hidden="1">
      <c r="A5458" s="180" t="s">
        <v>7934</v>
      </c>
      <c r="B5458" s="150" t="str">
        <f>IFERROR(VLOOKUP(Proc[[#This Row],[App]],Table2[],3,0),"open")</f>
        <v>open</v>
      </c>
      <c r="C5458" s="180" t="s">
        <v>370</v>
      </c>
      <c r="D5458" t="s">
        <v>7980</v>
      </c>
      <c r="E5458" t="s">
        <v>4829</v>
      </c>
      <c r="F5458" s="150"/>
      <c r="G5458" s="180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0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6435</v>
      </c>
      <c r="M5458" s="178">
        <v>46045</v>
      </c>
      <c r="N5458" s="178"/>
      <c r="O5458" s="178"/>
      <c r="P5458" s="178" t="str">
        <f ca="1">IF(Proc[[#This Row],[DaysAgeing]]&gt;5,"yep","on track")</f>
        <v>on track</v>
      </c>
      <c r="Q5458" s="3">
        <f ca="1">IF(Proc[[#This Row],[DateClosed]]="",ABS(NETWORKDAYS(Proc[[#This Row],[DateOpened]],TODAY()))-1,ABS(NETWORKDAYS(Proc[[#This Row],[DateOpened]],Proc[[#This Row],[DateClosed]]))-1)</f>
        <v>0</v>
      </c>
      <c r="R5458" s="178" t="s">
        <v>7993</v>
      </c>
      <c r="S5458" s="150"/>
    </row>
    <row r="5459" spans="1:19" hidden="1">
      <c r="A5459" s="180" t="s">
        <v>7934</v>
      </c>
      <c r="B5459" s="150" t="str">
        <f>IFERROR(VLOOKUP(Proc[[#This Row],[App]],Table2[],3,0),"open")</f>
        <v>open</v>
      </c>
      <c r="C5459" s="180" t="s">
        <v>370</v>
      </c>
      <c r="D5459" t="s">
        <v>7981</v>
      </c>
      <c r="E5459" t="s">
        <v>4829</v>
      </c>
      <c r="F5459" s="150"/>
      <c r="G5459" s="180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0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6435</v>
      </c>
      <c r="M5459" s="178">
        <v>46045</v>
      </c>
      <c r="N5459" s="178"/>
      <c r="O5459" s="178"/>
      <c r="P5459" s="178" t="str">
        <f ca="1">IF(Proc[[#This Row],[DaysAgeing]]&gt;5,"yep","on track")</f>
        <v>on track</v>
      </c>
      <c r="Q5459" s="3">
        <f ca="1">IF(Proc[[#This Row],[DateClosed]]="",ABS(NETWORKDAYS(Proc[[#This Row],[DateOpened]],TODAY()))-1,ABS(NETWORKDAYS(Proc[[#This Row],[DateOpened]],Proc[[#This Row],[DateClosed]]))-1)</f>
        <v>0</v>
      </c>
      <c r="R5459" s="178" t="s">
        <v>7993</v>
      </c>
      <c r="S5459" s="150"/>
    </row>
    <row r="5460" spans="1:19" hidden="1">
      <c r="A5460" s="180" t="s">
        <v>7934</v>
      </c>
      <c r="B5460" s="150" t="str">
        <f>IFERROR(VLOOKUP(Proc[[#This Row],[App]],Table2[],3,0),"open")</f>
        <v>open</v>
      </c>
      <c r="C5460" s="180" t="s">
        <v>370</v>
      </c>
      <c r="D5460" t="s">
        <v>7982</v>
      </c>
      <c r="E5460" t="s">
        <v>4829</v>
      </c>
      <c r="F5460" s="150"/>
      <c r="G5460" s="180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0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6435</v>
      </c>
      <c r="M5460" s="178">
        <v>46045</v>
      </c>
      <c r="N5460" s="178"/>
      <c r="O5460" s="178"/>
      <c r="P5460" s="178" t="str">
        <f ca="1">IF(Proc[[#This Row],[DaysAgeing]]&gt;5,"yep","on track")</f>
        <v>on track</v>
      </c>
      <c r="Q5460" s="3">
        <f ca="1">IF(Proc[[#This Row],[DateClosed]]="",ABS(NETWORKDAYS(Proc[[#This Row],[DateOpened]],TODAY()))-1,ABS(NETWORKDAYS(Proc[[#This Row],[DateOpened]],Proc[[#This Row],[DateClosed]]))-1)</f>
        <v>0</v>
      </c>
      <c r="R5460" s="178" t="s">
        <v>7993</v>
      </c>
      <c r="S5460" s="150"/>
    </row>
    <row r="5461" spans="1:19" hidden="1">
      <c r="A5461" s="180" t="s">
        <v>7934</v>
      </c>
      <c r="B5461" s="150" t="str">
        <f>IFERROR(VLOOKUP(Proc[[#This Row],[App]],Table2[],3,0),"open")</f>
        <v>open</v>
      </c>
      <c r="C5461" s="180" t="s">
        <v>370</v>
      </c>
      <c r="D5461" t="s">
        <v>7983</v>
      </c>
      <c r="E5461" t="s">
        <v>4829</v>
      </c>
      <c r="F5461" s="150"/>
      <c r="G5461" s="180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0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6435</v>
      </c>
      <c r="M5461" s="178">
        <v>46045</v>
      </c>
      <c r="N5461" s="178"/>
      <c r="O5461" s="178"/>
      <c r="P5461" s="178" t="str">
        <f ca="1">IF(Proc[[#This Row],[DaysAgeing]]&gt;5,"yep","on track")</f>
        <v>on track</v>
      </c>
      <c r="Q5461" s="3">
        <f ca="1">IF(Proc[[#This Row],[DateClosed]]="",ABS(NETWORKDAYS(Proc[[#This Row],[DateOpened]],TODAY()))-1,ABS(NETWORKDAYS(Proc[[#This Row],[DateOpened]],Proc[[#This Row],[DateClosed]]))-1)</f>
        <v>0</v>
      </c>
      <c r="R5461" s="178" t="s">
        <v>7993</v>
      </c>
      <c r="S5461" s="150"/>
    </row>
    <row r="5462" spans="1:19" hidden="1">
      <c r="A5462" s="180" t="s">
        <v>7934</v>
      </c>
      <c r="B5462" s="150" t="str">
        <f>IFERROR(VLOOKUP(Proc[[#This Row],[App]],Table2[],3,0),"open")</f>
        <v>open</v>
      </c>
      <c r="C5462" s="180" t="s">
        <v>370</v>
      </c>
      <c r="D5462" t="s">
        <v>7984</v>
      </c>
      <c r="E5462" t="s">
        <v>4829</v>
      </c>
      <c r="F5462" s="150"/>
      <c r="G5462" s="180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0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6435</v>
      </c>
      <c r="M5462" s="178">
        <v>46045</v>
      </c>
      <c r="N5462" s="178"/>
      <c r="O5462" s="178"/>
      <c r="P5462" s="178" t="str">
        <f ca="1">IF(Proc[[#This Row],[DaysAgeing]]&gt;5,"yep","on track")</f>
        <v>on track</v>
      </c>
      <c r="Q5462" s="3">
        <f ca="1">IF(Proc[[#This Row],[DateClosed]]="",ABS(NETWORKDAYS(Proc[[#This Row],[DateOpened]],TODAY()))-1,ABS(NETWORKDAYS(Proc[[#This Row],[DateOpened]],Proc[[#This Row],[DateClosed]]))-1)</f>
        <v>0</v>
      </c>
      <c r="R5462" s="178" t="s">
        <v>7993</v>
      </c>
      <c r="S5462" s="150"/>
    </row>
    <row r="5463" spans="1:19" hidden="1">
      <c r="A5463" s="180" t="s">
        <v>7934</v>
      </c>
      <c r="B5463" s="150" t="str">
        <f>IFERROR(VLOOKUP(Proc[[#This Row],[App]],Table2[],3,0),"open")</f>
        <v>open</v>
      </c>
      <c r="C5463" s="180" t="s">
        <v>370</v>
      </c>
      <c r="D5463" t="s">
        <v>7985</v>
      </c>
      <c r="E5463" t="s">
        <v>4829</v>
      </c>
      <c r="F5463" s="150"/>
      <c r="G5463" s="180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0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6435</v>
      </c>
      <c r="M5463" s="178">
        <v>46045</v>
      </c>
      <c r="N5463" s="178"/>
      <c r="O5463" s="178"/>
      <c r="P5463" s="178" t="str">
        <f ca="1">IF(Proc[[#This Row],[DaysAgeing]]&gt;5,"yep","on track")</f>
        <v>on track</v>
      </c>
      <c r="Q5463" s="3">
        <f ca="1">IF(Proc[[#This Row],[DateClosed]]="",ABS(NETWORKDAYS(Proc[[#This Row],[DateOpened]],TODAY()))-1,ABS(NETWORKDAYS(Proc[[#This Row],[DateOpened]],Proc[[#This Row],[DateClosed]]))-1)</f>
        <v>0</v>
      </c>
      <c r="R5463" s="178" t="s">
        <v>7993</v>
      </c>
      <c r="S5463" s="150"/>
    </row>
    <row r="5464" spans="1:19" hidden="1">
      <c r="A5464" s="180" t="s">
        <v>7934</v>
      </c>
      <c r="B5464" s="150" t="str">
        <f>IFERROR(VLOOKUP(Proc[[#This Row],[App]],Table2[],3,0),"open")</f>
        <v>open</v>
      </c>
      <c r="C5464" s="180" t="s">
        <v>370</v>
      </c>
      <c r="D5464" t="s">
        <v>7986</v>
      </c>
      <c r="E5464" t="s">
        <v>4829</v>
      </c>
      <c r="F5464" s="150"/>
      <c r="G5464" s="180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0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6435</v>
      </c>
      <c r="M5464" s="178">
        <v>46045</v>
      </c>
      <c r="N5464" s="178"/>
      <c r="O5464" s="178"/>
      <c r="P5464" s="178" t="str">
        <f ca="1">IF(Proc[[#This Row],[DaysAgeing]]&gt;5,"yep","on track")</f>
        <v>on track</v>
      </c>
      <c r="Q5464" s="3">
        <f ca="1">IF(Proc[[#This Row],[DateClosed]]="",ABS(NETWORKDAYS(Proc[[#This Row],[DateOpened]],TODAY()))-1,ABS(NETWORKDAYS(Proc[[#This Row],[DateOpened]],Proc[[#This Row],[DateClosed]]))-1)</f>
        <v>0</v>
      </c>
      <c r="R5464" s="178" t="s">
        <v>7993</v>
      </c>
      <c r="S5464" s="150"/>
    </row>
    <row r="5465" spans="1:19" hidden="1">
      <c r="A5465" s="180" t="s">
        <v>7934</v>
      </c>
      <c r="B5465" s="150" t="str">
        <f>IFERROR(VLOOKUP(Proc[[#This Row],[App]],Table2[],3,0),"open")</f>
        <v>open</v>
      </c>
      <c r="C5465" s="180" t="s">
        <v>370</v>
      </c>
      <c r="D5465" t="s">
        <v>7987</v>
      </c>
      <c r="E5465" t="s">
        <v>4829</v>
      </c>
      <c r="F5465" s="150"/>
      <c r="G5465" s="180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0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6435</v>
      </c>
      <c r="M5465" s="178">
        <v>46045</v>
      </c>
      <c r="N5465" s="178"/>
      <c r="O5465" s="178"/>
      <c r="P5465" s="178" t="str">
        <f ca="1">IF(Proc[[#This Row],[DaysAgeing]]&gt;5,"yep","on track")</f>
        <v>on track</v>
      </c>
      <c r="Q5465" s="3">
        <f ca="1">IF(Proc[[#This Row],[DateClosed]]="",ABS(NETWORKDAYS(Proc[[#This Row],[DateOpened]],TODAY()))-1,ABS(NETWORKDAYS(Proc[[#This Row],[DateOpened]],Proc[[#This Row],[DateClosed]]))-1)</f>
        <v>0</v>
      </c>
      <c r="R5465" s="178" t="s">
        <v>7993</v>
      </c>
      <c r="S5465" s="150"/>
    </row>
    <row r="5466" spans="1:19" hidden="1">
      <c r="A5466" s="180" t="s">
        <v>7934</v>
      </c>
      <c r="B5466" s="150" t="str">
        <f>IFERROR(VLOOKUP(Proc[[#This Row],[App]],Table2[],3,0),"open")</f>
        <v>open</v>
      </c>
      <c r="C5466" s="180" t="s">
        <v>370</v>
      </c>
      <c r="D5466" t="s">
        <v>7988</v>
      </c>
      <c r="E5466" t="s">
        <v>4829</v>
      </c>
      <c r="F5466" s="150"/>
      <c r="G5466" s="180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0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6435</v>
      </c>
      <c r="M5466" s="178">
        <v>46045</v>
      </c>
      <c r="N5466" s="178"/>
      <c r="O5466" s="178"/>
      <c r="P5466" s="178" t="str">
        <f ca="1">IF(Proc[[#This Row],[DaysAgeing]]&gt;5,"yep","on track")</f>
        <v>on track</v>
      </c>
      <c r="Q5466" s="3">
        <f ca="1">IF(Proc[[#This Row],[DateClosed]]="",ABS(NETWORKDAYS(Proc[[#This Row],[DateOpened]],TODAY()))-1,ABS(NETWORKDAYS(Proc[[#This Row],[DateOpened]],Proc[[#This Row],[DateClosed]]))-1)</f>
        <v>0</v>
      </c>
      <c r="R5466" s="178" t="s">
        <v>7993</v>
      </c>
      <c r="S5466" s="150"/>
    </row>
    <row r="5467" spans="1:19" hidden="1">
      <c r="A5467" s="180" t="s">
        <v>7934</v>
      </c>
      <c r="B5467" s="150" t="str">
        <f>IFERROR(VLOOKUP(Proc[[#This Row],[App]],Table2[],3,0),"open")</f>
        <v>open</v>
      </c>
      <c r="C5467" s="180" t="s">
        <v>370</v>
      </c>
      <c r="D5467" t="s">
        <v>7989</v>
      </c>
      <c r="E5467" t="s">
        <v>4829</v>
      </c>
      <c r="F5467" s="150"/>
      <c r="G5467" s="180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0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6435</v>
      </c>
      <c r="M5467" s="178">
        <v>46045</v>
      </c>
      <c r="N5467" s="178"/>
      <c r="O5467" s="178"/>
      <c r="P5467" s="178" t="str">
        <f ca="1">IF(Proc[[#This Row],[DaysAgeing]]&gt;5,"yep","on track")</f>
        <v>on track</v>
      </c>
      <c r="Q5467" s="3">
        <f ca="1">IF(Proc[[#This Row],[DateClosed]]="",ABS(NETWORKDAYS(Proc[[#This Row],[DateOpened]],TODAY()))-1,ABS(NETWORKDAYS(Proc[[#This Row],[DateOpened]],Proc[[#This Row],[DateClosed]]))-1)</f>
        <v>0</v>
      </c>
      <c r="R5467" s="178" t="s">
        <v>7993</v>
      </c>
      <c r="S5467" s="150"/>
    </row>
    <row r="5468" spans="1:19" hidden="1">
      <c r="A5468" s="180" t="s">
        <v>7934</v>
      </c>
      <c r="B5468" s="150" t="str">
        <f>IFERROR(VLOOKUP(Proc[[#This Row],[App]],Table2[],3,0),"open")</f>
        <v>open</v>
      </c>
      <c r="C5468" s="180" t="s">
        <v>370</v>
      </c>
      <c r="D5468" t="s">
        <v>7990</v>
      </c>
      <c r="E5468" t="s">
        <v>4829</v>
      </c>
      <c r="F5468" s="150"/>
      <c r="G5468" s="180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0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6435</v>
      </c>
      <c r="M5468" s="178">
        <v>46045</v>
      </c>
      <c r="N5468" s="178"/>
      <c r="O5468" s="178"/>
      <c r="P5468" s="178" t="str">
        <f ca="1">IF(Proc[[#This Row],[DaysAgeing]]&gt;5,"yep","on track")</f>
        <v>on track</v>
      </c>
      <c r="Q5468" s="3">
        <f ca="1">IF(Proc[[#This Row],[DateClosed]]="",ABS(NETWORKDAYS(Proc[[#This Row],[DateOpened]],TODAY()))-1,ABS(NETWORKDAYS(Proc[[#This Row],[DateOpened]],Proc[[#This Row],[DateClosed]]))-1)</f>
        <v>0</v>
      </c>
      <c r="R5468" s="178" t="s">
        <v>7993</v>
      </c>
      <c r="S5468" s="150"/>
    </row>
    <row r="5469" spans="1:19" hidden="1">
      <c r="A5469" s="180" t="s">
        <v>7934</v>
      </c>
      <c r="B5469" s="150" t="str">
        <f>IFERROR(VLOOKUP(Proc[[#This Row],[App]],Table2[],3,0),"open")</f>
        <v>open</v>
      </c>
      <c r="C5469" s="180" t="s">
        <v>370</v>
      </c>
      <c r="D5469" t="s">
        <v>7991</v>
      </c>
      <c r="E5469" t="s">
        <v>4829</v>
      </c>
      <c r="F5469" s="150"/>
      <c r="G5469" s="180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0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6435</v>
      </c>
      <c r="M5469" s="178">
        <v>46045</v>
      </c>
      <c r="N5469" s="178"/>
      <c r="O5469" s="178"/>
      <c r="P5469" s="178" t="str">
        <f ca="1">IF(Proc[[#This Row],[DaysAgeing]]&gt;5,"yep","on track")</f>
        <v>on track</v>
      </c>
      <c r="Q5469" s="3">
        <f ca="1">IF(Proc[[#This Row],[DateClosed]]="",ABS(NETWORKDAYS(Proc[[#This Row],[DateOpened]],TODAY()))-1,ABS(NETWORKDAYS(Proc[[#This Row],[DateOpened]],Proc[[#This Row],[DateClosed]]))-1)</f>
        <v>0</v>
      </c>
      <c r="R5469" s="178" t="s">
        <v>7993</v>
      </c>
      <c r="S5469" s="150"/>
    </row>
    <row r="5470" spans="1:19" hidden="1">
      <c r="A5470" s="180" t="s">
        <v>7934</v>
      </c>
      <c r="B5470" s="150" t="str">
        <f>IFERROR(VLOOKUP(Proc[[#This Row],[App]],Table2[],3,0),"open")</f>
        <v>open</v>
      </c>
      <c r="C5470" s="180" t="s">
        <v>370</v>
      </c>
      <c r="D5470" t="s">
        <v>7992</v>
      </c>
      <c r="E5470" t="s">
        <v>4829</v>
      </c>
      <c r="F5470" s="150"/>
      <c r="G5470" s="180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0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6435</v>
      </c>
      <c r="M5470" s="178">
        <v>46045</v>
      </c>
      <c r="N5470" s="178"/>
      <c r="O5470" s="178"/>
      <c r="P5470" s="178" t="str">
        <f ca="1">IF(Proc[[#This Row],[DaysAgeing]]&gt;5,"yep","on track")</f>
        <v>on track</v>
      </c>
      <c r="Q5470" s="3">
        <f ca="1">IF(Proc[[#This Row],[DateClosed]]="",ABS(NETWORKDAYS(Proc[[#This Row],[DateOpened]],TODAY()))-1,ABS(NETWORKDAYS(Proc[[#This Row],[DateOpened]],Proc[[#This Row],[DateClosed]]))-1)</f>
        <v>0</v>
      </c>
      <c r="R5470" s="178" t="s">
        <v>7993</v>
      </c>
      <c r="S547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G2:G5470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D9863-7B2F-41A3-A039-1895B8858CF0}">
  <dimension ref="A1:F184"/>
  <sheetViews>
    <sheetView topLeftCell="A134" workbookViewId="0">
      <selection activeCell="A184" sqref="A184"/>
    </sheetView>
  </sheetViews>
  <sheetFormatPr defaultRowHeight="15"/>
  <cols>
    <col min="1" max="1" width="63.140625" bestFit="1" customWidth="1"/>
    <col min="2" max="4" width="27" bestFit="1" customWidth="1"/>
    <col min="5" max="5" width="13.7109375" bestFit="1" customWidth="1"/>
    <col min="6" max="6" width="11.140625" bestFit="1" customWidth="1"/>
  </cols>
  <sheetData>
    <row r="1" spans="1:3">
      <c r="A1" t="s">
        <v>7543</v>
      </c>
      <c r="B1" t="s">
        <v>7399</v>
      </c>
    </row>
    <row r="2" spans="1:3">
      <c r="A2" t="s">
        <v>7483</v>
      </c>
      <c r="B2" t="s">
        <v>1575</v>
      </c>
    </row>
    <row r="3" spans="1:3">
      <c r="A3" t="s">
        <v>7484</v>
      </c>
      <c r="B3" t="s">
        <v>7900</v>
      </c>
    </row>
    <row r="4" spans="1:3">
      <c r="A4" t="s">
        <v>7506</v>
      </c>
      <c r="B4" t="s">
        <v>2463</v>
      </c>
    </row>
    <row r="5" spans="1:3">
      <c r="A5" t="s">
        <v>7508</v>
      </c>
      <c r="B5" t="s">
        <v>7525</v>
      </c>
    </row>
    <row r="6" spans="1:3">
      <c r="A6" t="s">
        <v>7509</v>
      </c>
      <c r="B6" t="s">
        <v>7525</v>
      </c>
    </row>
    <row r="7" spans="1:3">
      <c r="A7" t="s">
        <v>7510</v>
      </c>
      <c r="B7" t="s">
        <v>7524</v>
      </c>
    </row>
    <row r="8" spans="1:3">
      <c r="A8" t="s">
        <v>7511</v>
      </c>
      <c r="B8" t="s">
        <v>7527</v>
      </c>
    </row>
    <row r="9" spans="1:3">
      <c r="A9" t="s">
        <v>7512</v>
      </c>
      <c r="B9" t="s">
        <v>7527</v>
      </c>
    </row>
    <row r="10" spans="1:3">
      <c r="A10" t="s">
        <v>7513</v>
      </c>
      <c r="B10" t="s">
        <v>7527</v>
      </c>
    </row>
    <row r="11" spans="1:3">
      <c r="A11" t="s">
        <v>7514</v>
      </c>
      <c r="B11" t="s">
        <v>7527</v>
      </c>
    </row>
    <row r="12" spans="1:3">
      <c r="A12" t="s">
        <v>7515</v>
      </c>
      <c r="B12" t="s">
        <v>7526</v>
      </c>
    </row>
    <row r="13" spans="1:3">
      <c r="A13" t="s">
        <v>7516</v>
      </c>
      <c r="B13" t="s">
        <v>7526</v>
      </c>
    </row>
    <row r="14" spans="1:3">
      <c r="A14" t="s">
        <v>7517</v>
      </c>
      <c r="B14" t="s">
        <v>7526</v>
      </c>
    </row>
    <row r="15" spans="1:3">
      <c r="A15" t="s">
        <v>7518</v>
      </c>
      <c r="B15" t="s">
        <v>7526</v>
      </c>
    </row>
    <row r="16" spans="1:3">
      <c r="A16" t="s">
        <v>6783</v>
      </c>
      <c r="B16" t="s">
        <v>7542</v>
      </c>
      <c r="C16" t="s">
        <v>7544</v>
      </c>
    </row>
    <row r="17" spans="1:2">
      <c r="A17" t="s">
        <v>2319</v>
      </c>
      <c r="B17" t="s">
        <v>5569</v>
      </c>
    </row>
    <row r="18" spans="1:2">
      <c r="A18" t="s">
        <v>7534</v>
      </c>
      <c r="B18" t="s">
        <v>2336</v>
      </c>
    </row>
    <row r="19" spans="1:2">
      <c r="A19" t="s">
        <v>7535</v>
      </c>
      <c r="B19" t="s">
        <v>2625</v>
      </c>
    </row>
    <row r="20" spans="1:2">
      <c r="A20" t="s">
        <v>7546</v>
      </c>
      <c r="B20" t="s">
        <v>7901</v>
      </c>
    </row>
    <row r="21" spans="1:2">
      <c r="A21" t="s">
        <v>7547</v>
      </c>
      <c r="B21" t="s">
        <v>7901</v>
      </c>
    </row>
    <row r="22" spans="1:2">
      <c r="A22" t="s">
        <v>7548</v>
      </c>
      <c r="B22" t="s">
        <v>7901</v>
      </c>
    </row>
    <row r="23" spans="1:2">
      <c r="A23" t="s">
        <v>7549</v>
      </c>
      <c r="B23" t="s">
        <v>7901</v>
      </c>
    </row>
    <row r="24" spans="1:2">
      <c r="A24" t="s">
        <v>7550</v>
      </c>
      <c r="B24" t="s">
        <v>7718</v>
      </c>
    </row>
    <row r="25" spans="1:2">
      <c r="A25" t="s">
        <v>7551</v>
      </c>
      <c r="B25" t="s">
        <v>7719</v>
      </c>
    </row>
    <row r="26" spans="1:2">
      <c r="A26" t="s">
        <v>7552</v>
      </c>
      <c r="B26" t="s">
        <v>7719</v>
      </c>
    </row>
    <row r="27" spans="1:2">
      <c r="A27" t="s">
        <v>7553</v>
      </c>
      <c r="B27" t="s">
        <v>7720</v>
      </c>
    </row>
    <row r="28" spans="1:2">
      <c r="A28" t="s">
        <v>7554</v>
      </c>
      <c r="B28" t="s">
        <v>7902</v>
      </c>
    </row>
    <row r="29" spans="1:2">
      <c r="A29" t="s">
        <v>7555</v>
      </c>
      <c r="B29" t="s">
        <v>7902</v>
      </c>
    </row>
    <row r="30" spans="1:2">
      <c r="A30" t="s">
        <v>7556</v>
      </c>
      <c r="B30" s="180" t="s">
        <v>7902</v>
      </c>
    </row>
    <row r="31" spans="1:2">
      <c r="A31" t="s">
        <v>7557</v>
      </c>
      <c r="B31" t="s">
        <v>7721</v>
      </c>
    </row>
    <row r="32" spans="1:2">
      <c r="A32" t="s">
        <v>7558</v>
      </c>
      <c r="B32" t="s">
        <v>7722</v>
      </c>
    </row>
    <row r="33" spans="1:2">
      <c r="A33" t="s">
        <v>7559</v>
      </c>
      <c r="B33" t="s">
        <v>7721</v>
      </c>
    </row>
    <row r="34" spans="1:2">
      <c r="A34" t="s">
        <v>7560</v>
      </c>
    </row>
    <row r="35" spans="1:2">
      <c r="A35" t="s">
        <v>7561</v>
      </c>
      <c r="B35" t="s">
        <v>7721</v>
      </c>
    </row>
    <row r="36" spans="1:2">
      <c r="A36" t="s">
        <v>7562</v>
      </c>
      <c r="B36" t="s">
        <v>7721</v>
      </c>
    </row>
    <row r="37" spans="1:2">
      <c r="A37" t="s">
        <v>7563</v>
      </c>
    </row>
    <row r="38" spans="1:2">
      <c r="A38" t="s">
        <v>7564</v>
      </c>
      <c r="B38" t="s">
        <v>7721</v>
      </c>
    </row>
    <row r="39" spans="1:2">
      <c r="A39" t="s">
        <v>7565</v>
      </c>
      <c r="B39" t="s">
        <v>7721</v>
      </c>
    </row>
    <row r="40" spans="1:2">
      <c r="A40" t="s">
        <v>7566</v>
      </c>
      <c r="B40" t="s">
        <v>7721</v>
      </c>
    </row>
    <row r="41" spans="1:2">
      <c r="A41" t="s">
        <v>7567</v>
      </c>
      <c r="B41" t="s">
        <v>7721</v>
      </c>
    </row>
    <row r="42" spans="1:2">
      <c r="A42" t="s">
        <v>7568</v>
      </c>
    </row>
    <row r="43" spans="1:2">
      <c r="A43" t="s">
        <v>7569</v>
      </c>
      <c r="B43" t="s">
        <v>7721</v>
      </c>
    </row>
    <row r="44" spans="1:2">
      <c r="A44" t="s">
        <v>7570</v>
      </c>
      <c r="B44" t="s">
        <v>7721</v>
      </c>
    </row>
    <row r="45" spans="1:2">
      <c r="A45" t="s">
        <v>7571</v>
      </c>
      <c r="B45" t="s">
        <v>7721</v>
      </c>
    </row>
    <row r="46" spans="1:2">
      <c r="A46" t="s">
        <v>7572</v>
      </c>
      <c r="B46" t="s">
        <v>7721</v>
      </c>
    </row>
    <row r="47" spans="1:2">
      <c r="A47" t="s">
        <v>7573</v>
      </c>
      <c r="B47" t="s">
        <v>7721</v>
      </c>
    </row>
    <row r="48" spans="1:2">
      <c r="A48" t="s">
        <v>7574</v>
      </c>
      <c r="B48" t="s">
        <v>7721</v>
      </c>
    </row>
    <row r="49" spans="1:6">
      <c r="A49" t="s">
        <v>7575</v>
      </c>
      <c r="B49" t="s">
        <v>7721</v>
      </c>
    </row>
    <row r="50" spans="1:6">
      <c r="A50" t="s">
        <v>7576</v>
      </c>
      <c r="B50" t="s">
        <v>7721</v>
      </c>
    </row>
    <row r="51" spans="1:6">
      <c r="A51" t="s">
        <v>7577</v>
      </c>
      <c r="B51" t="s">
        <v>7723</v>
      </c>
    </row>
    <row r="52" spans="1:6">
      <c r="A52" t="s">
        <v>7578</v>
      </c>
      <c r="B52" t="s">
        <v>7723</v>
      </c>
    </row>
    <row r="53" spans="1:6">
      <c r="A53" t="s">
        <v>7579</v>
      </c>
      <c r="B53" t="s">
        <v>7723</v>
      </c>
    </row>
    <row r="54" spans="1:6">
      <c r="A54" t="s">
        <v>7580</v>
      </c>
      <c r="B54" t="s">
        <v>7903</v>
      </c>
      <c r="C54" t="s">
        <v>7723</v>
      </c>
    </row>
    <row r="55" spans="1:6">
      <c r="A55" t="s">
        <v>7581</v>
      </c>
      <c r="B55" t="s">
        <v>7904</v>
      </c>
      <c r="C55" t="s">
        <v>7903</v>
      </c>
      <c r="D55" t="s">
        <v>7723</v>
      </c>
    </row>
    <row r="56" spans="1:6">
      <c r="A56" t="s">
        <v>7582</v>
      </c>
      <c r="B56" t="s">
        <v>7904</v>
      </c>
      <c r="C56" t="s">
        <v>7903</v>
      </c>
      <c r="D56" t="s">
        <v>7723</v>
      </c>
    </row>
    <row r="57" spans="1:6">
      <c r="A57" t="s">
        <v>7583</v>
      </c>
      <c r="B57" t="s">
        <v>7905</v>
      </c>
      <c r="C57" t="s">
        <v>7904</v>
      </c>
      <c r="D57" t="s">
        <v>7903</v>
      </c>
      <c r="E57" t="s">
        <v>7723</v>
      </c>
    </row>
    <row r="58" spans="1:6">
      <c r="A58" t="s">
        <v>7584</v>
      </c>
      <c r="B58" t="s">
        <v>7905</v>
      </c>
      <c r="C58" t="s">
        <v>7904</v>
      </c>
      <c r="D58" t="s">
        <v>7903</v>
      </c>
      <c r="E58" t="s">
        <v>7723</v>
      </c>
    </row>
    <row r="59" spans="1:6">
      <c r="A59" t="s">
        <v>7585</v>
      </c>
      <c r="B59" t="s">
        <v>7906</v>
      </c>
      <c r="C59" t="s">
        <v>7905</v>
      </c>
      <c r="D59" t="s">
        <v>7904</v>
      </c>
      <c r="E59" t="s">
        <v>7903</v>
      </c>
      <c r="F59" t="s">
        <v>7723</v>
      </c>
    </row>
    <row r="60" spans="1:6">
      <c r="A60" t="s">
        <v>7586</v>
      </c>
      <c r="B60" t="s">
        <v>7906</v>
      </c>
      <c r="C60" t="s">
        <v>7905</v>
      </c>
      <c r="D60" t="s">
        <v>7904</v>
      </c>
      <c r="E60" t="s">
        <v>7903</v>
      </c>
      <c r="F60" t="s">
        <v>7723</v>
      </c>
    </row>
    <row r="61" spans="1:6">
      <c r="A61" t="s">
        <v>7587</v>
      </c>
      <c r="B61" t="s">
        <v>7904</v>
      </c>
      <c r="C61" t="s">
        <v>7903</v>
      </c>
      <c r="D61" t="s">
        <v>7723</v>
      </c>
    </row>
    <row r="62" spans="1:6">
      <c r="A62" t="s">
        <v>7588</v>
      </c>
      <c r="B62" t="s">
        <v>7907</v>
      </c>
      <c r="C62" t="s">
        <v>7904</v>
      </c>
      <c r="D62" t="s">
        <v>7903</v>
      </c>
      <c r="E62" t="s">
        <v>7723</v>
      </c>
    </row>
    <row r="63" spans="1:6">
      <c r="A63" t="s">
        <v>7589</v>
      </c>
      <c r="B63" t="s">
        <v>7907</v>
      </c>
      <c r="C63" t="s">
        <v>7904</v>
      </c>
      <c r="D63" t="s">
        <v>7903</v>
      </c>
      <c r="E63" t="s">
        <v>7723</v>
      </c>
    </row>
    <row r="64" spans="1:6">
      <c r="A64" t="s">
        <v>7590</v>
      </c>
      <c r="B64" t="s">
        <v>7908</v>
      </c>
      <c r="C64" t="s">
        <v>7907</v>
      </c>
      <c r="D64" t="s">
        <v>7904</v>
      </c>
      <c r="E64" t="s">
        <v>7903</v>
      </c>
      <c r="F64" t="s">
        <v>7723</v>
      </c>
    </row>
    <row r="65" spans="1:6">
      <c r="A65" t="s">
        <v>7591</v>
      </c>
      <c r="B65" t="s">
        <v>7908</v>
      </c>
      <c r="C65" t="s">
        <v>7907</v>
      </c>
      <c r="D65" t="s">
        <v>7904</v>
      </c>
      <c r="E65" t="s">
        <v>7903</v>
      </c>
      <c r="F65" t="s">
        <v>7723</v>
      </c>
    </row>
    <row r="66" spans="1:6">
      <c r="A66" t="s">
        <v>7592</v>
      </c>
      <c r="B66" t="s">
        <v>7724</v>
      </c>
    </row>
    <row r="67" spans="1:6">
      <c r="A67" t="s">
        <v>7593</v>
      </c>
      <c r="B67" t="s">
        <v>7725</v>
      </c>
    </row>
    <row r="68" spans="1:6">
      <c r="A68" t="s">
        <v>7594</v>
      </c>
      <c r="B68" t="s">
        <v>7726</v>
      </c>
    </row>
    <row r="69" spans="1:6">
      <c r="A69" t="s">
        <v>7595</v>
      </c>
    </row>
    <row r="70" spans="1:6">
      <c r="A70" t="s">
        <v>7596</v>
      </c>
      <c r="B70" t="s">
        <v>7727</v>
      </c>
    </row>
    <row r="71" spans="1:6">
      <c r="A71" t="s">
        <v>7597</v>
      </c>
    </row>
    <row r="72" spans="1:6">
      <c r="A72" t="s">
        <v>7598</v>
      </c>
      <c r="B72" t="s">
        <v>7727</v>
      </c>
    </row>
    <row r="73" spans="1:6">
      <c r="A73" t="s">
        <v>7599</v>
      </c>
      <c r="B73" t="s">
        <v>7727</v>
      </c>
    </row>
    <row r="74" spans="1:6">
      <c r="A74" t="s">
        <v>7600</v>
      </c>
      <c r="B74" t="s">
        <v>7909</v>
      </c>
    </row>
    <row r="75" spans="1:6">
      <c r="A75" t="s">
        <v>7601</v>
      </c>
      <c r="B75" t="s">
        <v>7910</v>
      </c>
      <c r="C75" t="s">
        <v>7909</v>
      </c>
      <c r="D75" t="s">
        <v>7727</v>
      </c>
    </row>
    <row r="76" spans="1:6">
      <c r="A76" t="s">
        <v>7602</v>
      </c>
      <c r="B76" t="s">
        <v>7910</v>
      </c>
      <c r="C76" t="s">
        <v>7909</v>
      </c>
      <c r="D76" t="s">
        <v>7727</v>
      </c>
    </row>
    <row r="77" spans="1:6">
      <c r="A77" t="s">
        <v>7603</v>
      </c>
      <c r="B77" t="s">
        <v>7722</v>
      </c>
    </row>
    <row r="78" spans="1:6">
      <c r="A78" t="s">
        <v>7604</v>
      </c>
      <c r="B78" t="s">
        <v>7722</v>
      </c>
    </row>
    <row r="79" spans="1:6">
      <c r="A79" t="s">
        <v>7605</v>
      </c>
      <c r="B79" t="s">
        <v>7728</v>
      </c>
    </row>
    <row r="80" spans="1:6">
      <c r="A80" t="s">
        <v>7606</v>
      </c>
      <c r="B80" t="s">
        <v>7729</v>
      </c>
    </row>
    <row r="81" spans="1:2">
      <c r="A81" t="s">
        <v>7607</v>
      </c>
    </row>
    <row r="82" spans="1:2">
      <c r="A82" t="s">
        <v>7608</v>
      </c>
      <c r="B82" t="s">
        <v>7911</v>
      </c>
    </row>
    <row r="83" spans="1:2">
      <c r="A83" t="s">
        <v>7609</v>
      </c>
      <c r="B83" t="s">
        <v>7912</v>
      </c>
    </row>
    <row r="84" spans="1:2">
      <c r="A84" t="s">
        <v>7610</v>
      </c>
      <c r="B84" t="s">
        <v>7730</v>
      </c>
    </row>
    <row r="85" spans="1:2">
      <c r="A85" t="s">
        <v>7611</v>
      </c>
      <c r="B85" t="s">
        <v>7731</v>
      </c>
    </row>
    <row r="86" spans="1:2">
      <c r="A86" t="s">
        <v>7612</v>
      </c>
      <c r="B86" t="s">
        <v>7731</v>
      </c>
    </row>
    <row r="87" spans="1:2">
      <c r="A87" t="s">
        <v>7613</v>
      </c>
      <c r="B87" t="s">
        <v>7731</v>
      </c>
    </row>
    <row r="88" spans="1:2">
      <c r="A88" t="s">
        <v>1994</v>
      </c>
      <c r="B88" t="s">
        <v>7644</v>
      </c>
    </row>
    <row r="89" spans="1:2">
      <c r="A89" t="s">
        <v>1995</v>
      </c>
      <c r="B89" t="s">
        <v>7644</v>
      </c>
    </row>
    <row r="90" spans="1:2">
      <c r="A90" t="s">
        <v>7614</v>
      </c>
      <c r="B90" t="s">
        <v>6264</v>
      </c>
    </row>
    <row r="91" spans="1:2">
      <c r="A91" t="s">
        <v>7615</v>
      </c>
      <c r="B91" t="s">
        <v>7732</v>
      </c>
    </row>
    <row r="92" spans="1:2">
      <c r="A92" t="s">
        <v>7616</v>
      </c>
      <c r="B92" t="s">
        <v>7732</v>
      </c>
    </row>
    <row r="93" spans="1:2">
      <c r="A93" t="s">
        <v>7617</v>
      </c>
      <c r="B93" t="s">
        <v>7733</v>
      </c>
    </row>
    <row r="94" spans="1:2">
      <c r="A94" t="s">
        <v>7618</v>
      </c>
      <c r="B94" t="s">
        <v>7734</v>
      </c>
    </row>
    <row r="95" spans="1:2">
      <c r="A95" t="s">
        <v>7619</v>
      </c>
      <c r="B95" t="s">
        <v>7734</v>
      </c>
    </row>
    <row r="96" spans="1:2">
      <c r="A96" t="s">
        <v>7620</v>
      </c>
      <c r="B96" t="s">
        <v>7734</v>
      </c>
    </row>
    <row r="97" spans="1:2">
      <c r="A97" t="s">
        <v>7621</v>
      </c>
      <c r="B97" t="s">
        <v>7734</v>
      </c>
    </row>
    <row r="98" spans="1:2">
      <c r="A98" t="s">
        <v>7622</v>
      </c>
      <c r="B98" t="s">
        <v>7734</v>
      </c>
    </row>
    <row r="99" spans="1:2">
      <c r="A99" t="s">
        <v>7623</v>
      </c>
      <c r="B99" t="s">
        <v>7735</v>
      </c>
    </row>
    <row r="100" spans="1:2">
      <c r="A100" t="s">
        <v>7624</v>
      </c>
      <c r="B100" t="s">
        <v>7735</v>
      </c>
    </row>
    <row r="101" spans="1:2">
      <c r="A101" t="s">
        <v>7625</v>
      </c>
      <c r="B101" t="s">
        <v>7736</v>
      </c>
    </row>
    <row r="102" spans="1:2">
      <c r="A102" t="s">
        <v>7626</v>
      </c>
      <c r="B102" t="s">
        <v>7740</v>
      </c>
    </row>
    <row r="103" spans="1:2">
      <c r="A103" t="s">
        <v>7627</v>
      </c>
      <c r="B103" t="s">
        <v>7740</v>
      </c>
    </row>
    <row r="104" spans="1:2">
      <c r="A104" t="s">
        <v>7628</v>
      </c>
      <c r="B104" t="s">
        <v>7740</v>
      </c>
    </row>
    <row r="105" spans="1:2">
      <c r="A105" t="s">
        <v>7629</v>
      </c>
      <c r="B105" t="s">
        <v>7741</v>
      </c>
    </row>
    <row r="106" spans="1:2">
      <c r="A106" t="s">
        <v>7713</v>
      </c>
    </row>
    <row r="107" spans="1:2">
      <c r="A107" t="s">
        <v>7716</v>
      </c>
    </row>
    <row r="108" spans="1:2">
      <c r="A108" t="s">
        <v>7745</v>
      </c>
      <c r="B108" t="s">
        <v>7913</v>
      </c>
    </row>
    <row r="109" spans="1:2">
      <c r="A109" t="s">
        <v>7746</v>
      </c>
      <c r="B109" t="s">
        <v>7914</v>
      </c>
    </row>
    <row r="110" spans="1:2">
      <c r="A110" t="s">
        <v>7747</v>
      </c>
      <c r="B110" t="s">
        <v>7914</v>
      </c>
    </row>
    <row r="111" spans="1:2">
      <c r="A111" t="s">
        <v>7748</v>
      </c>
      <c r="B111" t="s">
        <v>7915</v>
      </c>
    </row>
    <row r="112" spans="1:2">
      <c r="A112" t="s">
        <v>7749</v>
      </c>
      <c r="B112" t="s">
        <v>7915</v>
      </c>
    </row>
    <row r="113" spans="1:2">
      <c r="A113" t="s">
        <v>7750</v>
      </c>
      <c r="B113" t="s">
        <v>7914</v>
      </c>
    </row>
    <row r="114" spans="1:2">
      <c r="A114" t="s">
        <v>7751</v>
      </c>
      <c r="B114" t="s">
        <v>7914</v>
      </c>
    </row>
    <row r="115" spans="1:2">
      <c r="A115" t="s">
        <v>7752</v>
      </c>
      <c r="B115" t="s">
        <v>7914</v>
      </c>
    </row>
    <row r="116" spans="1:2">
      <c r="A116" t="s">
        <v>7753</v>
      </c>
      <c r="B116" t="s">
        <v>7914</v>
      </c>
    </row>
    <row r="117" spans="1:2">
      <c r="A117" t="s">
        <v>7754</v>
      </c>
    </row>
    <row r="118" spans="1:2">
      <c r="A118" t="s">
        <v>7755</v>
      </c>
    </row>
    <row r="119" spans="1:2">
      <c r="A119" t="s">
        <v>7756</v>
      </c>
      <c r="B119" t="s">
        <v>7914</v>
      </c>
    </row>
    <row r="120" spans="1:2">
      <c r="A120" t="s">
        <v>7757</v>
      </c>
      <c r="B120" t="s">
        <v>7916</v>
      </c>
    </row>
    <row r="121" spans="1:2">
      <c r="A121" t="s">
        <v>7758</v>
      </c>
      <c r="B121" t="s">
        <v>7917</v>
      </c>
    </row>
    <row r="122" spans="1:2">
      <c r="A122" t="s">
        <v>7759</v>
      </c>
      <c r="B122" t="s">
        <v>7915</v>
      </c>
    </row>
    <row r="123" spans="1:2">
      <c r="A123" t="s">
        <v>7760</v>
      </c>
      <c r="B123" t="s">
        <v>7917</v>
      </c>
    </row>
    <row r="124" spans="1:2">
      <c r="A124" t="s">
        <v>7761</v>
      </c>
    </row>
    <row r="125" spans="1:2">
      <c r="A125" t="s">
        <v>7762</v>
      </c>
    </row>
    <row r="126" spans="1:2">
      <c r="A126" t="s">
        <v>7763</v>
      </c>
      <c r="B126" t="s">
        <v>7917</v>
      </c>
    </row>
    <row r="127" spans="1:2">
      <c r="A127" t="s">
        <v>7764</v>
      </c>
    </row>
    <row r="128" spans="1:2">
      <c r="A128" t="s">
        <v>7765</v>
      </c>
      <c r="B128" t="s">
        <v>7918</v>
      </c>
    </row>
    <row r="129" spans="1:1">
      <c r="A129" t="s">
        <v>7766</v>
      </c>
    </row>
    <row r="130" spans="1:1">
      <c r="A130" t="s">
        <v>7766</v>
      </c>
    </row>
    <row r="131" spans="1:1">
      <c r="A131" t="s">
        <v>7766</v>
      </c>
    </row>
    <row r="132" spans="1:1">
      <c r="A132" t="s">
        <v>7766</v>
      </c>
    </row>
    <row r="133" spans="1:1">
      <c r="A133" t="s">
        <v>7767</v>
      </c>
    </row>
    <row r="134" spans="1:1">
      <c r="A134" t="s">
        <v>7766</v>
      </c>
    </row>
    <row r="135" spans="1:1">
      <c r="A135" t="s">
        <v>7768</v>
      </c>
    </row>
    <row r="136" spans="1:1">
      <c r="A136" t="s">
        <v>7768</v>
      </c>
    </row>
    <row r="137" spans="1:1">
      <c r="A137" t="s">
        <v>7769</v>
      </c>
    </row>
    <row r="138" spans="1:1">
      <c r="A138" t="s">
        <v>7764</v>
      </c>
    </row>
    <row r="139" spans="1:1">
      <c r="A139" t="s">
        <v>7764</v>
      </c>
    </row>
    <row r="140" spans="1:1">
      <c r="A140" t="s">
        <v>7770</v>
      </c>
    </row>
    <row r="141" spans="1:1">
      <c r="A141" t="s">
        <v>7771</v>
      </c>
    </row>
    <row r="142" spans="1:1">
      <c r="A142" t="s">
        <v>7771</v>
      </c>
    </row>
    <row r="143" spans="1:1">
      <c r="A143" t="s">
        <v>7772</v>
      </c>
    </row>
    <row r="144" spans="1:1">
      <c r="A144" t="s">
        <v>7773</v>
      </c>
    </row>
    <row r="145" spans="1:2">
      <c r="A145" t="s">
        <v>7774</v>
      </c>
    </row>
    <row r="146" spans="1:2">
      <c r="A146" t="s">
        <v>7775</v>
      </c>
    </row>
    <row r="147" spans="1:2">
      <c r="A147" t="s">
        <v>7775</v>
      </c>
    </row>
    <row r="148" spans="1:2">
      <c r="A148" t="s">
        <v>7776</v>
      </c>
      <c r="B148" t="s">
        <v>7919</v>
      </c>
    </row>
    <row r="149" spans="1:2">
      <c r="A149" t="s">
        <v>7777</v>
      </c>
    </row>
    <row r="150" spans="1:2">
      <c r="A150" t="s">
        <v>7778</v>
      </c>
    </row>
    <row r="151" spans="1:2">
      <c r="A151" t="s">
        <v>7779</v>
      </c>
    </row>
    <row r="152" spans="1:2">
      <c r="A152" t="s">
        <v>7780</v>
      </c>
    </row>
    <row r="153" spans="1:2">
      <c r="A153" t="s">
        <v>7781</v>
      </c>
    </row>
    <row r="154" spans="1:2">
      <c r="A154" t="s">
        <v>7782</v>
      </c>
    </row>
    <row r="155" spans="1:2">
      <c r="A155" t="s">
        <v>7783</v>
      </c>
    </row>
    <row r="156" spans="1:2">
      <c r="A156" t="s">
        <v>7784</v>
      </c>
    </row>
    <row r="157" spans="1:2">
      <c r="A157" t="s">
        <v>7785</v>
      </c>
    </row>
    <row r="158" spans="1:2">
      <c r="A158" t="s">
        <v>7786</v>
      </c>
    </row>
    <row r="159" spans="1:2">
      <c r="A159" t="s">
        <v>7787</v>
      </c>
    </row>
    <row r="160" spans="1:2">
      <c r="A160" t="s">
        <v>7788</v>
      </c>
    </row>
    <row r="161" spans="1:2">
      <c r="A161" t="s">
        <v>7789</v>
      </c>
    </row>
    <row r="162" spans="1:2">
      <c r="A162" t="s">
        <v>7790</v>
      </c>
    </row>
    <row r="163" spans="1:2">
      <c r="A163" t="s">
        <v>7791</v>
      </c>
    </row>
    <row r="164" spans="1:2">
      <c r="A164" t="s">
        <v>7792</v>
      </c>
      <c r="B164" t="s">
        <v>7920</v>
      </c>
    </row>
    <row r="165" spans="1:2">
      <c r="A165" t="s">
        <v>7793</v>
      </c>
      <c r="B165" t="s">
        <v>7921</v>
      </c>
    </row>
    <row r="166" spans="1:2">
      <c r="A166" t="s">
        <v>7794</v>
      </c>
      <c r="B166" t="s">
        <v>7920</v>
      </c>
    </row>
    <row r="167" spans="1:2">
      <c r="A167" t="s">
        <v>7795</v>
      </c>
      <c r="B167" t="s">
        <v>7920</v>
      </c>
    </row>
    <row r="168" spans="1:2">
      <c r="A168" t="s">
        <v>7796</v>
      </c>
      <c r="B168" t="s">
        <v>7922</v>
      </c>
    </row>
    <row r="169" spans="1:2">
      <c r="A169" t="s">
        <v>7797</v>
      </c>
      <c r="B169" t="s">
        <v>7923</v>
      </c>
    </row>
    <row r="170" spans="1:2">
      <c r="A170" t="s">
        <v>7798</v>
      </c>
      <c r="B170" t="s">
        <v>7921</v>
      </c>
    </row>
    <row r="171" spans="1:2">
      <c r="A171" t="s">
        <v>7799</v>
      </c>
      <c r="B171" t="s">
        <v>7924</v>
      </c>
    </row>
    <row r="172" spans="1:2">
      <c r="A172" t="s">
        <v>7800</v>
      </c>
      <c r="B172" t="s">
        <v>7920</v>
      </c>
    </row>
    <row r="173" spans="1:2">
      <c r="A173" t="s">
        <v>7801</v>
      </c>
    </row>
    <row r="174" spans="1:2">
      <c r="A174" t="s">
        <v>7802</v>
      </c>
      <c r="B174" t="s">
        <v>7925</v>
      </c>
    </row>
    <row r="175" spans="1:2">
      <c r="A175" t="s">
        <v>7803</v>
      </c>
      <c r="B175" t="s">
        <v>2506</v>
      </c>
    </row>
    <row r="176" spans="1:2">
      <c r="A176" t="s">
        <v>7804</v>
      </c>
      <c r="B176" t="s">
        <v>424</v>
      </c>
    </row>
    <row r="177" spans="1:2">
      <c r="A177" t="s">
        <v>7805</v>
      </c>
      <c r="B177" t="s">
        <v>424</v>
      </c>
    </row>
    <row r="178" spans="1:2">
      <c r="A178" t="s">
        <v>7806</v>
      </c>
      <c r="B178" t="s">
        <v>5446</v>
      </c>
    </row>
    <row r="179" spans="1:2">
      <c r="A179" t="s">
        <v>7807</v>
      </c>
      <c r="B179" t="s">
        <v>2546</v>
      </c>
    </row>
    <row r="180" spans="1:2">
      <c r="A180" t="s">
        <v>7808</v>
      </c>
      <c r="B180" t="s">
        <v>7926</v>
      </c>
    </row>
    <row r="181" spans="1:2">
      <c r="A181" t="s">
        <v>7809</v>
      </c>
      <c r="B181" t="s">
        <v>7926</v>
      </c>
    </row>
    <row r="182" spans="1:2">
      <c r="A182" t="s">
        <v>7810</v>
      </c>
      <c r="B182" t="s">
        <v>7927</v>
      </c>
    </row>
    <row r="183" spans="1:2">
      <c r="A183" t="s">
        <v>7811</v>
      </c>
      <c r="B183" t="s">
        <v>7928</v>
      </c>
    </row>
    <row r="184" spans="1:2">
      <c r="A184" t="s">
        <v>7812</v>
      </c>
      <c r="B184" t="s">
        <v>7929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0AB06-B5A7-4084-81B6-D3D482F17650}">
  <dimension ref="A1:C78"/>
  <sheetViews>
    <sheetView topLeftCell="A28" workbookViewId="0">
      <selection sqref="A1:C7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7813</v>
      </c>
      <c r="C2" t="s">
        <v>7832</v>
      </c>
    </row>
    <row r="3" spans="1:3">
      <c r="A3" t="s">
        <v>7814</v>
      </c>
      <c r="C3" t="s">
        <v>7833</v>
      </c>
    </row>
    <row r="4" spans="1:3">
      <c r="A4" t="s">
        <v>7814</v>
      </c>
      <c r="C4" t="s">
        <v>7834</v>
      </c>
    </row>
    <row r="5" spans="1:3">
      <c r="A5" t="s">
        <v>7814</v>
      </c>
      <c r="C5" t="s">
        <v>7835</v>
      </c>
    </row>
    <row r="6" spans="1:3">
      <c r="A6" t="s">
        <v>7814</v>
      </c>
      <c r="C6" t="s">
        <v>7836</v>
      </c>
    </row>
    <row r="7" spans="1:3">
      <c r="A7" t="s">
        <v>7814</v>
      </c>
      <c r="C7" t="s">
        <v>7837</v>
      </c>
    </row>
    <row r="8" spans="1:3">
      <c r="A8" t="s">
        <v>7814</v>
      </c>
      <c r="C8" t="s">
        <v>7838</v>
      </c>
    </row>
    <row r="9" spans="1:3">
      <c r="A9" t="s">
        <v>7814</v>
      </c>
      <c r="C9" t="s">
        <v>7839</v>
      </c>
    </row>
    <row r="10" spans="1:3">
      <c r="A10" t="s">
        <v>7814</v>
      </c>
      <c r="C10" t="s">
        <v>7840</v>
      </c>
    </row>
    <row r="11" spans="1:3">
      <c r="A11" t="s">
        <v>7815</v>
      </c>
      <c r="C11" t="s">
        <v>7841</v>
      </c>
    </row>
    <row r="12" spans="1:3">
      <c r="A12" t="s">
        <v>7815</v>
      </c>
      <c r="C12" t="s">
        <v>7842</v>
      </c>
    </row>
    <row r="13" spans="1:3">
      <c r="A13" t="s">
        <v>7816</v>
      </c>
      <c r="C13" t="s">
        <v>7843</v>
      </c>
    </row>
    <row r="14" spans="1:3">
      <c r="A14" t="s">
        <v>7817</v>
      </c>
      <c r="C14" t="s">
        <v>7844</v>
      </c>
    </row>
    <row r="15" spans="1:3">
      <c r="A15" t="s">
        <v>7818</v>
      </c>
      <c r="C15" t="s">
        <v>7845</v>
      </c>
    </row>
    <row r="16" spans="1:3">
      <c r="A16" t="s">
        <v>7818</v>
      </c>
      <c r="C16" t="s">
        <v>7846</v>
      </c>
    </row>
    <row r="17" spans="1:3">
      <c r="A17" t="s">
        <v>7818</v>
      </c>
      <c r="C17" t="s">
        <v>7847</v>
      </c>
    </row>
    <row r="18" spans="1:3">
      <c r="A18" t="s">
        <v>7819</v>
      </c>
      <c r="C18" t="s">
        <v>7848</v>
      </c>
    </row>
    <row r="19" spans="1:3">
      <c r="A19" t="s">
        <v>7819</v>
      </c>
      <c r="C19" t="s">
        <v>7849</v>
      </c>
    </row>
    <row r="20" spans="1:3">
      <c r="A20" t="s">
        <v>7820</v>
      </c>
      <c r="C20" t="s">
        <v>7850</v>
      </c>
    </row>
    <row r="21" spans="1:3">
      <c r="A21" t="s">
        <v>7821</v>
      </c>
      <c r="C21" t="s">
        <v>7851</v>
      </c>
    </row>
    <row r="22" spans="1:3">
      <c r="A22" t="s">
        <v>7822</v>
      </c>
      <c r="C22" t="s">
        <v>7852</v>
      </c>
    </row>
    <row r="23" spans="1:3">
      <c r="A23" t="s">
        <v>7822</v>
      </c>
      <c r="C23" t="s">
        <v>7853</v>
      </c>
    </row>
    <row r="24" spans="1:3">
      <c r="A24" t="s">
        <v>7822</v>
      </c>
      <c r="C24" t="s">
        <v>7853</v>
      </c>
    </row>
    <row r="25" spans="1:3">
      <c r="A25" t="s">
        <v>7822</v>
      </c>
      <c r="C25" t="s">
        <v>7853</v>
      </c>
    </row>
    <row r="26" spans="1:3">
      <c r="A26" t="s">
        <v>7822</v>
      </c>
      <c r="C26" t="s">
        <v>7853</v>
      </c>
    </row>
    <row r="27" spans="1:3">
      <c r="A27" t="s">
        <v>7822</v>
      </c>
      <c r="C27" t="s">
        <v>7854</v>
      </c>
    </row>
    <row r="28" spans="1:3">
      <c r="A28" t="s">
        <v>7822</v>
      </c>
      <c r="C28" t="s">
        <v>7853</v>
      </c>
    </row>
    <row r="29" spans="1:3">
      <c r="A29" t="s">
        <v>7823</v>
      </c>
      <c r="C29" t="s">
        <v>7855</v>
      </c>
    </row>
    <row r="30" spans="1:3">
      <c r="A30" t="s">
        <v>7823</v>
      </c>
      <c r="C30" t="s">
        <v>7855</v>
      </c>
    </row>
    <row r="31" spans="1:3">
      <c r="A31" t="s">
        <v>7821</v>
      </c>
      <c r="C31" t="s">
        <v>7856</v>
      </c>
    </row>
    <row r="32" spans="1:3">
      <c r="A32" t="s">
        <v>7821</v>
      </c>
      <c r="C32" t="s">
        <v>7851</v>
      </c>
    </row>
    <row r="33" spans="1:3">
      <c r="A33" t="s">
        <v>7821</v>
      </c>
      <c r="C33" t="s">
        <v>7851</v>
      </c>
    </row>
    <row r="34" spans="1:3">
      <c r="A34" t="s">
        <v>7823</v>
      </c>
      <c r="C34" t="s">
        <v>7857</v>
      </c>
    </row>
    <row r="35" spans="1:3">
      <c r="A35" t="s">
        <v>7824</v>
      </c>
      <c r="C35" t="s">
        <v>7858</v>
      </c>
    </row>
    <row r="36" spans="1:3">
      <c r="A36" t="s">
        <v>7824</v>
      </c>
      <c r="C36" t="s">
        <v>7858</v>
      </c>
    </row>
    <row r="37" spans="1:3">
      <c r="A37" t="s">
        <v>7824</v>
      </c>
      <c r="C37" t="s">
        <v>7859</v>
      </c>
    </row>
    <row r="38" spans="1:3">
      <c r="A38" t="s">
        <v>7824</v>
      </c>
      <c r="C38" t="s">
        <v>7860</v>
      </c>
    </row>
    <row r="39" spans="1:3">
      <c r="A39" t="s">
        <v>7824</v>
      </c>
      <c r="C39" t="s">
        <v>7861</v>
      </c>
    </row>
    <row r="40" spans="1:3">
      <c r="A40" t="s">
        <v>7823</v>
      </c>
      <c r="C40" t="s">
        <v>7862</v>
      </c>
    </row>
    <row r="41" spans="1:3">
      <c r="A41" t="s">
        <v>7823</v>
      </c>
      <c r="C41" t="s">
        <v>7862</v>
      </c>
    </row>
    <row r="42" spans="1:3">
      <c r="A42" t="s">
        <v>7821</v>
      </c>
      <c r="C42" t="s">
        <v>7863</v>
      </c>
    </row>
    <row r="43" spans="1:3">
      <c r="A43" t="s">
        <v>7825</v>
      </c>
      <c r="C43" t="s">
        <v>7864</v>
      </c>
    </row>
    <row r="44" spans="1:3">
      <c r="A44" t="s">
        <v>7826</v>
      </c>
      <c r="C44" t="s">
        <v>7865</v>
      </c>
    </row>
    <row r="45" spans="1:3">
      <c r="A45" t="s">
        <v>7827</v>
      </c>
      <c r="C45" t="s">
        <v>7866</v>
      </c>
    </row>
    <row r="46" spans="1:3">
      <c r="A46" t="s">
        <v>7828</v>
      </c>
      <c r="C46" t="s">
        <v>7867</v>
      </c>
    </row>
    <row r="47" spans="1:3">
      <c r="A47" t="s">
        <v>7828</v>
      </c>
      <c r="C47" t="s">
        <v>7868</v>
      </c>
    </row>
    <row r="48" spans="1:3">
      <c r="A48" t="s">
        <v>7828</v>
      </c>
      <c r="C48" t="s">
        <v>7869</v>
      </c>
    </row>
    <row r="49" spans="1:3">
      <c r="A49" t="s">
        <v>7828</v>
      </c>
      <c r="C49" t="s">
        <v>7870</v>
      </c>
    </row>
    <row r="50" spans="1:3">
      <c r="A50" t="s">
        <v>7828</v>
      </c>
      <c r="C50" t="s">
        <v>7871</v>
      </c>
    </row>
    <row r="51" spans="1:3">
      <c r="A51" t="s">
        <v>7826</v>
      </c>
      <c r="C51" t="s">
        <v>7872</v>
      </c>
    </row>
    <row r="52" spans="1:3">
      <c r="A52" t="s">
        <v>7828</v>
      </c>
      <c r="C52" t="s">
        <v>7873</v>
      </c>
    </row>
    <row r="53" spans="1:3">
      <c r="A53" t="s">
        <v>7828</v>
      </c>
      <c r="C53" t="s">
        <v>7874</v>
      </c>
    </row>
    <row r="54" spans="1:3">
      <c r="A54" t="s">
        <v>7828</v>
      </c>
      <c r="C54" t="s">
        <v>7875</v>
      </c>
    </row>
    <row r="55" spans="1:3">
      <c r="A55" t="s">
        <v>7828</v>
      </c>
      <c r="C55" t="s">
        <v>7876</v>
      </c>
    </row>
    <row r="56" spans="1:3">
      <c r="A56" t="s">
        <v>7828</v>
      </c>
      <c r="C56" t="s">
        <v>7877</v>
      </c>
    </row>
    <row r="57" spans="1:3">
      <c r="A57" t="s">
        <v>7828</v>
      </c>
      <c r="C57" t="s">
        <v>7878</v>
      </c>
    </row>
    <row r="58" spans="1:3">
      <c r="A58" t="s">
        <v>7829</v>
      </c>
      <c r="C58" t="s">
        <v>7879</v>
      </c>
    </row>
    <row r="59" spans="1:3">
      <c r="A59" t="s">
        <v>7829</v>
      </c>
      <c r="C59" t="s">
        <v>7880</v>
      </c>
    </row>
    <row r="60" spans="1:3">
      <c r="A60" t="s">
        <v>7829</v>
      </c>
      <c r="C60" t="s">
        <v>7881</v>
      </c>
    </row>
    <row r="61" spans="1:3">
      <c r="A61" t="s">
        <v>7829</v>
      </c>
      <c r="C61" t="s">
        <v>7882</v>
      </c>
    </row>
    <row r="62" spans="1:3">
      <c r="A62" t="s">
        <v>7829</v>
      </c>
      <c r="C62" t="s">
        <v>7883</v>
      </c>
    </row>
    <row r="63" spans="1:3">
      <c r="A63" t="s">
        <v>7829</v>
      </c>
      <c r="C63" t="s">
        <v>7884</v>
      </c>
    </row>
    <row r="64" spans="1:3">
      <c r="A64" t="s">
        <v>7829</v>
      </c>
      <c r="C64" t="s">
        <v>7885</v>
      </c>
    </row>
    <row r="65" spans="1:3">
      <c r="A65" t="s">
        <v>7829</v>
      </c>
      <c r="C65" t="s">
        <v>7886</v>
      </c>
    </row>
    <row r="66" spans="1:3">
      <c r="A66" t="s">
        <v>7829</v>
      </c>
      <c r="C66" t="s">
        <v>7887</v>
      </c>
    </row>
    <row r="67" spans="1:3">
      <c r="A67" t="s">
        <v>7829</v>
      </c>
      <c r="C67" t="s">
        <v>7888</v>
      </c>
    </row>
    <row r="68" spans="1:3">
      <c r="A68" t="s">
        <v>7829</v>
      </c>
      <c r="C68" t="s">
        <v>7889</v>
      </c>
    </row>
    <row r="69" spans="1:3">
      <c r="A69" t="s">
        <v>7829</v>
      </c>
      <c r="C69" t="s">
        <v>7890</v>
      </c>
    </row>
    <row r="70" spans="1:3">
      <c r="A70" t="s">
        <v>7829</v>
      </c>
      <c r="C70" t="s">
        <v>7891</v>
      </c>
    </row>
    <row r="71" spans="1:3">
      <c r="A71" t="s">
        <v>7829</v>
      </c>
      <c r="C71" t="s">
        <v>7892</v>
      </c>
    </row>
    <row r="72" spans="1:3">
      <c r="A72" t="s">
        <v>7829</v>
      </c>
      <c r="C72" t="s">
        <v>7893</v>
      </c>
    </row>
    <row r="73" spans="1:3">
      <c r="A73" t="s">
        <v>7829</v>
      </c>
      <c r="C73" t="s">
        <v>7894</v>
      </c>
    </row>
    <row r="74" spans="1:3">
      <c r="A74" t="s">
        <v>7829</v>
      </c>
      <c r="C74" t="s">
        <v>7895</v>
      </c>
    </row>
    <row r="75" spans="1:3">
      <c r="A75" t="s">
        <v>7829</v>
      </c>
      <c r="C75" t="s">
        <v>7896</v>
      </c>
    </row>
    <row r="76" spans="1:3">
      <c r="A76" t="s">
        <v>7829</v>
      </c>
      <c r="C76" t="s">
        <v>7897</v>
      </c>
    </row>
    <row r="77" spans="1:3">
      <c r="A77" t="s">
        <v>7829</v>
      </c>
      <c r="C77" t="s">
        <v>7898</v>
      </c>
    </row>
    <row r="78" spans="1:3">
      <c r="A78" t="s">
        <v>7829</v>
      </c>
      <c r="C78" t="s">
        <v>7899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64A9-5C6B-43F7-A1C0-FBCD0F950260}">
  <dimension ref="A1:B75"/>
  <sheetViews>
    <sheetView workbookViewId="0"/>
  </sheetViews>
  <sheetFormatPr defaultRowHeight="15"/>
  <sheetData>
    <row r="1" spans="1:2">
      <c r="A1" t="s">
        <v>7543</v>
      </c>
      <c r="B1" t="s">
        <v>7399</v>
      </c>
    </row>
    <row r="2" spans="1:2">
      <c r="A2" t="s">
        <v>7478</v>
      </c>
      <c r="B2" t="s">
        <v>7350</v>
      </c>
    </row>
    <row r="3" spans="1:2">
      <c r="A3" t="s">
        <v>7483</v>
      </c>
      <c r="B3" t="s">
        <v>7539</v>
      </c>
    </row>
    <row r="4" spans="1:2">
      <c r="A4" t="s">
        <v>7484</v>
      </c>
      <c r="B4" t="s">
        <v>7523</v>
      </c>
    </row>
    <row r="5" spans="1:2">
      <c r="A5" t="s">
        <v>7506</v>
      </c>
      <c r="B5" t="s">
        <v>7540</v>
      </c>
    </row>
    <row r="6" spans="1:2">
      <c r="A6" t="s">
        <v>7508</v>
      </c>
      <c r="B6" t="s">
        <v>7525</v>
      </c>
    </row>
    <row r="7" spans="1:2">
      <c r="A7" t="s">
        <v>7509</v>
      </c>
      <c r="B7" t="s">
        <v>7525</v>
      </c>
    </row>
    <row r="8" spans="1:2">
      <c r="A8" t="s">
        <v>7510</v>
      </c>
      <c r="B8" t="s">
        <v>7524</v>
      </c>
    </row>
    <row r="9" spans="1:2">
      <c r="A9" t="s">
        <v>7511</v>
      </c>
      <c r="B9" t="s">
        <v>7527</v>
      </c>
    </row>
    <row r="10" spans="1:2">
      <c r="A10" t="s">
        <v>7512</v>
      </c>
      <c r="B10" t="s">
        <v>7527</v>
      </c>
    </row>
    <row r="11" spans="1:2">
      <c r="A11" t="s">
        <v>7513</v>
      </c>
      <c r="B11" t="s">
        <v>7527</v>
      </c>
    </row>
    <row r="12" spans="1:2">
      <c r="A12" t="s">
        <v>7514</v>
      </c>
      <c r="B12" t="s">
        <v>7527</v>
      </c>
    </row>
    <row r="13" spans="1:2">
      <c r="A13" t="s">
        <v>7515</v>
      </c>
      <c r="B13" t="s">
        <v>7526</v>
      </c>
    </row>
    <row r="14" spans="1:2">
      <c r="A14" t="s">
        <v>7516</v>
      </c>
      <c r="B14" t="s">
        <v>7526</v>
      </c>
    </row>
    <row r="15" spans="1:2">
      <c r="A15" t="s">
        <v>7517</v>
      </c>
      <c r="B15" t="s">
        <v>7526</v>
      </c>
    </row>
    <row r="16" spans="1:2">
      <c r="A16" t="s">
        <v>7518</v>
      </c>
      <c r="B16" t="s">
        <v>7526</v>
      </c>
    </row>
    <row r="17" spans="1:2">
      <c r="A17" t="s">
        <v>6783</v>
      </c>
      <c r="B17" t="s">
        <v>7542</v>
      </c>
    </row>
    <row r="18" spans="1:2">
      <c r="A18" t="s">
        <v>2319</v>
      </c>
      <c r="B18" t="s">
        <v>5569</v>
      </c>
    </row>
    <row r="19" spans="1:2">
      <c r="A19" t="s">
        <v>7534</v>
      </c>
      <c r="B19" t="s">
        <v>2336</v>
      </c>
    </row>
    <row r="20" spans="1:2">
      <c r="A20" t="s">
        <v>7535</v>
      </c>
      <c r="B20" t="s">
        <v>2625</v>
      </c>
    </row>
    <row r="21" spans="1:2">
      <c r="A21" t="s">
        <v>7550</v>
      </c>
      <c r="B21" t="s">
        <v>7718</v>
      </c>
    </row>
    <row r="22" spans="1:2">
      <c r="A22" t="s">
        <v>7551</v>
      </c>
      <c r="B22" t="s">
        <v>7719</v>
      </c>
    </row>
    <row r="23" spans="1:2">
      <c r="A23" t="s">
        <v>7552</v>
      </c>
      <c r="B23" t="s">
        <v>7719</v>
      </c>
    </row>
    <row r="24" spans="1:2">
      <c r="A24" t="s">
        <v>7553</v>
      </c>
      <c r="B24" t="s">
        <v>7720</v>
      </c>
    </row>
    <row r="25" spans="1:2">
      <c r="A25" t="s">
        <v>7557</v>
      </c>
      <c r="B25" t="s">
        <v>7721</v>
      </c>
    </row>
    <row r="26" spans="1:2">
      <c r="A26" t="s">
        <v>7558</v>
      </c>
      <c r="B26" t="s">
        <v>7722</v>
      </c>
    </row>
    <row r="27" spans="1:2">
      <c r="A27" t="s">
        <v>7559</v>
      </c>
      <c r="B27" t="s">
        <v>7721</v>
      </c>
    </row>
    <row r="28" spans="1:2">
      <c r="A28" t="s">
        <v>7560</v>
      </c>
      <c r="B28" t="s">
        <v>7721</v>
      </c>
    </row>
    <row r="29" spans="1:2">
      <c r="A29" t="s">
        <v>7561</v>
      </c>
      <c r="B29" t="s">
        <v>7721</v>
      </c>
    </row>
    <row r="30" spans="1:2">
      <c r="A30" t="s">
        <v>7562</v>
      </c>
      <c r="B30" t="s">
        <v>7721</v>
      </c>
    </row>
    <row r="31" spans="1:2">
      <c r="A31" t="s">
        <v>7563</v>
      </c>
      <c r="B31" t="s">
        <v>7721</v>
      </c>
    </row>
    <row r="32" spans="1:2">
      <c r="A32" t="s">
        <v>7564</v>
      </c>
      <c r="B32" t="s">
        <v>7721</v>
      </c>
    </row>
    <row r="33" spans="1:2">
      <c r="A33" t="s">
        <v>7565</v>
      </c>
      <c r="B33" t="s">
        <v>7721</v>
      </c>
    </row>
    <row r="34" spans="1:2">
      <c r="A34" t="s">
        <v>7566</v>
      </c>
      <c r="B34" t="s">
        <v>7721</v>
      </c>
    </row>
    <row r="35" spans="1:2">
      <c r="A35" t="s">
        <v>7567</v>
      </c>
      <c r="B35" t="s">
        <v>7721</v>
      </c>
    </row>
    <row r="36" spans="1:2">
      <c r="A36" t="s">
        <v>7568</v>
      </c>
      <c r="B36" t="s">
        <v>7721</v>
      </c>
    </row>
    <row r="37" spans="1:2">
      <c r="A37" t="s">
        <v>7569</v>
      </c>
      <c r="B37" t="s">
        <v>7721</v>
      </c>
    </row>
    <row r="38" spans="1:2">
      <c r="A38" t="s">
        <v>7570</v>
      </c>
      <c r="B38" t="s">
        <v>7721</v>
      </c>
    </row>
    <row r="39" spans="1:2">
      <c r="A39" t="s">
        <v>7571</v>
      </c>
      <c r="B39" t="s">
        <v>7721</v>
      </c>
    </row>
    <row r="40" spans="1:2">
      <c r="A40" t="s">
        <v>7572</v>
      </c>
      <c r="B40" t="s">
        <v>7721</v>
      </c>
    </row>
    <row r="41" spans="1:2">
      <c r="A41" t="s">
        <v>7577</v>
      </c>
      <c r="B41" t="s">
        <v>7723</v>
      </c>
    </row>
    <row r="42" spans="1:2">
      <c r="A42" t="s">
        <v>7592</v>
      </c>
      <c r="B42" t="s">
        <v>7724</v>
      </c>
    </row>
    <row r="43" spans="1:2">
      <c r="A43" t="s">
        <v>7593</v>
      </c>
      <c r="B43" t="s">
        <v>7725</v>
      </c>
    </row>
    <row r="44" spans="1:2">
      <c r="A44" t="s">
        <v>7594</v>
      </c>
      <c r="B44" t="s">
        <v>7726</v>
      </c>
    </row>
    <row r="45" spans="1:2">
      <c r="A45" t="s">
        <v>7595</v>
      </c>
      <c r="B45" t="s">
        <v>7727</v>
      </c>
    </row>
    <row r="46" spans="1:2">
      <c r="A46" t="s">
        <v>7596</v>
      </c>
      <c r="B46" t="s">
        <v>7727</v>
      </c>
    </row>
    <row r="47" spans="1:2">
      <c r="A47" t="s">
        <v>7597</v>
      </c>
      <c r="B47" t="s">
        <v>7727</v>
      </c>
    </row>
    <row r="48" spans="1:2">
      <c r="A48" t="s">
        <v>7603</v>
      </c>
      <c r="B48" t="s">
        <v>7722</v>
      </c>
    </row>
    <row r="49" spans="1:2">
      <c r="A49" t="s">
        <v>7604</v>
      </c>
      <c r="B49" t="s">
        <v>7722</v>
      </c>
    </row>
    <row r="50" spans="1:2">
      <c r="A50" t="s">
        <v>7605</v>
      </c>
      <c r="B50" t="s">
        <v>7728</v>
      </c>
    </row>
    <row r="51" spans="1:2">
      <c r="A51" t="s">
        <v>7606</v>
      </c>
      <c r="B51" t="s">
        <v>7729</v>
      </c>
    </row>
    <row r="52" spans="1:2">
      <c r="A52" t="s">
        <v>7607</v>
      </c>
      <c r="B52" t="s">
        <v>7729</v>
      </c>
    </row>
    <row r="53" spans="1:2">
      <c r="A53" t="s">
        <v>7610</v>
      </c>
      <c r="B53" t="s">
        <v>7730</v>
      </c>
    </row>
    <row r="54" spans="1:2">
      <c r="A54" t="s">
        <v>7611</v>
      </c>
      <c r="B54" t="s">
        <v>7731</v>
      </c>
    </row>
    <row r="55" spans="1:2">
      <c r="A55" t="s">
        <v>7612</v>
      </c>
      <c r="B55" t="s">
        <v>7731</v>
      </c>
    </row>
    <row r="56" spans="1:2">
      <c r="A56" t="s">
        <v>7613</v>
      </c>
      <c r="B56" t="s">
        <v>7731</v>
      </c>
    </row>
    <row r="57" spans="1:2">
      <c r="A57" t="s">
        <v>1994</v>
      </c>
      <c r="B57" t="s">
        <v>7644</v>
      </c>
    </row>
    <row r="58" spans="1:2">
      <c r="A58" t="s">
        <v>1995</v>
      </c>
      <c r="B58" t="s">
        <v>7644</v>
      </c>
    </row>
    <row r="59" spans="1:2">
      <c r="A59" t="s">
        <v>7614</v>
      </c>
      <c r="B59" t="s">
        <v>6264</v>
      </c>
    </row>
    <row r="60" spans="1:2">
      <c r="A60" t="s">
        <v>7615</v>
      </c>
      <c r="B60" t="s">
        <v>7732</v>
      </c>
    </row>
    <row r="61" spans="1:2">
      <c r="A61" t="s">
        <v>7616</v>
      </c>
      <c r="B61" t="s">
        <v>7732</v>
      </c>
    </row>
    <row r="62" spans="1:2">
      <c r="A62" t="s">
        <v>7617</v>
      </c>
      <c r="B62" t="s">
        <v>7733</v>
      </c>
    </row>
    <row r="63" spans="1:2">
      <c r="A63" t="s">
        <v>7618</v>
      </c>
      <c r="B63" t="s">
        <v>7734</v>
      </c>
    </row>
    <row r="64" spans="1:2">
      <c r="A64" t="s">
        <v>7619</v>
      </c>
      <c r="B64" t="s">
        <v>7734</v>
      </c>
    </row>
    <row r="65" spans="1:2">
      <c r="A65" t="s">
        <v>7620</v>
      </c>
      <c r="B65" t="s">
        <v>7734</v>
      </c>
    </row>
    <row r="66" spans="1:2">
      <c r="A66" t="s">
        <v>7621</v>
      </c>
      <c r="B66" t="s">
        <v>7734</v>
      </c>
    </row>
    <row r="67" spans="1:2">
      <c r="A67" t="s">
        <v>7623</v>
      </c>
      <c r="B67" t="s">
        <v>7735</v>
      </c>
    </row>
    <row r="68" spans="1:2">
      <c r="A68" t="s">
        <v>7624</v>
      </c>
      <c r="B68" t="s">
        <v>7735</v>
      </c>
    </row>
    <row r="69" spans="1:2">
      <c r="A69" t="s">
        <v>7625</v>
      </c>
      <c r="B69" t="s">
        <v>7736</v>
      </c>
    </row>
    <row r="70" spans="1:2">
      <c r="A70" t="s">
        <v>7626</v>
      </c>
      <c r="B70" t="s">
        <v>7740</v>
      </c>
    </row>
    <row r="71" spans="1:2">
      <c r="A71" t="s">
        <v>7627</v>
      </c>
      <c r="B71" t="s">
        <v>7740</v>
      </c>
    </row>
    <row r="72" spans="1:2">
      <c r="A72" t="s">
        <v>7628</v>
      </c>
      <c r="B72" t="s">
        <v>7740</v>
      </c>
    </row>
    <row r="73" spans="1:2">
      <c r="A73" t="s">
        <v>7629</v>
      </c>
      <c r="B73" t="s">
        <v>7741</v>
      </c>
    </row>
    <row r="74" spans="1:2">
      <c r="A74" t="s">
        <v>7713</v>
      </c>
      <c r="B74" t="s">
        <v>7737</v>
      </c>
    </row>
    <row r="75" spans="1:2">
      <c r="A75" t="s">
        <v>7716</v>
      </c>
      <c r="B75" t="s">
        <v>7738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KPI</vt:lpstr>
      <vt:lpstr>Sheet5</vt:lpstr>
      <vt:lpstr>Sheet7</vt:lpstr>
      <vt:lpstr>Report</vt:lpstr>
      <vt:lpstr>OK</vt:lpstr>
      <vt:lpstr>PROC</vt:lpstr>
      <vt:lpstr>Sheet9</vt:lpstr>
      <vt:lpstr>Sheet8</vt:lpstr>
      <vt:lpstr>Sheet6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2026-01-22T20:09:13Z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