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C1DECEB-F89E-42AF-B329-1263D81E8C8B}" xr6:coauthVersionLast="47" xr6:coauthVersionMax="47" xr10:uidLastSave="{00000000-0000-0000-0000-000000000000}"/>
  <bookViews>
    <workbookView xWindow="-28920" yWindow="-120" windowWidth="29040" windowHeight="157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4" l="1"/>
  <c r="B1" i="4"/>
  <c r="J5244" i="1"/>
  <c r="J5240" i="1"/>
  <c r="J5231" i="1"/>
  <c r="J5230" i="1"/>
  <c r="J5228" i="1"/>
  <c r="J5227" i="1"/>
  <c r="J5226" i="1"/>
  <c r="J5225" i="1"/>
  <c r="J5224" i="1"/>
  <c r="J5199" i="1"/>
  <c r="J5242" i="1"/>
  <c r="J5233" i="1"/>
  <c r="J5232" i="1"/>
  <c r="J5229" i="1"/>
  <c r="B5241" i="1"/>
  <c r="B5242" i="1"/>
  <c r="B5243" i="1"/>
  <c r="B5244" i="1"/>
  <c r="H5241" i="1"/>
  <c r="H5242" i="1"/>
  <c r="H5243" i="1"/>
  <c r="H5244" i="1"/>
  <c r="J5241" i="1"/>
  <c r="J5243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8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J5234" i="1"/>
  <c r="J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<sst xmlns="http://schemas.openxmlformats.org/spreadsheetml/2006/main" count="46381" uniqueCount="7543">
  <si>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</si>
  <si>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</si>
  <si>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</si>
  <si>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</si>
  <si>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</si>
  <si>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</si>
  <si>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</si>
  <si>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</si>
  <si>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</si>
  <si>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</si>
  <si>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</si>
  <si>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</si>
  <si>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</si>
  <si>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</si>
  <si>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</si>
  <si>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</si>
  <si>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</si>
  <si>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</si>
  <si>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</si>
  <si>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</si>
  <si>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</si>
  <si>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</si>
  <si>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</si>
  <si>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</si>
  <si>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</si>
  <si>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</si>
  <si>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</si>
  <si>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</si>
  <si>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</si>
  <si>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</si>
  <si>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</si>
  <si>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</si>
  <si>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</si>
  <si>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</si>
  <si>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</si>
  <si>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</si>
  <si>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</si>
  <si>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</si>
  <si>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</si>
  <si>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</si>
  <si>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</si>
  <si>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</si>
  <si>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</si>
  <si>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</si>
  <si>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</si>
  <si>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</si>
  <si>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</si>
  <si>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</si>
  <si>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</si>
  <si>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</si>
  <si>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</si>
  <si>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</si>
  <si>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</si>
  <si>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</si>
  <si>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</si>
  <si>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</si>
  <si>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</si>
  <si>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</si>
  <si>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</si>
  <si>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</si>
  <si>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</si>
  <si>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</si>
  <si>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</si>
  <si>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</si>
  <si>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</si>
  <si>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</si>
  <si>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</si>
  <si>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</si>
  <si>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</si>
  <si>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</si>
  <si>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</si>
  <si>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</si>
  <si>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</si>
  <si>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</si>
  <si>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</si>
  <si>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</si>
  <si>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</si>
  <si>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</si>
  <si>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</si>
  <si>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</si>
  <si>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</si>
  <si>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</si>
  <si>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</si>
  <si>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</si>
  <si>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</si>
  <si>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</si>
  <si>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</si>
  <si>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</si>
  <si>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</si>
  <si>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</si>
  <si>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</si>
  <si>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</si>
  <si>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</si>
  <si>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</si>
  <si>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</si>
  <si>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</si>
  <si>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</si>
  <si>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</si>
  <si>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</si>
  <si>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</si>
  <si>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</si>
  <si>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</si>
  <si>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</si>
  <si>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</si>
  <si>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</si>
  <si>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</si>
  <si>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</si>
  <si>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</si>
  <si>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</si>
  <si>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</si>
  <si>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</si>
  <si>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</si>
  <si>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</si>
  <si>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</si>
  <si>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</si>
  <si>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</si>
  <si>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</si>
  <si>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</si>
  <si>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</si>
  <si>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</si>
  <si>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</si>
  <si>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</si>
  <si>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</si>
  <si>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</si>
  <si>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</si>
  <si>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</si>
  <si>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</si>
  <si>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</si>
  <si>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</si>
  <si>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</si>
  <si>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</si>
  <si>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</si>
  <si>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</si>
  <si>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</si>
  <si>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</si>
  <si>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</si>
  <si>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</si>
  <si>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</si>
  <si>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</si>
  <si>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</si>
  <si>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</si>
  <si>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</si>
  <si>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</si>
  <si>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</si>
  <si>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</si>
  <si>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</si>
  <si>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</si>
  <si>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</si>
  <si>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</si>
  <si>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</si>
  <si>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</si>
  <si>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</si>
  <si>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</si>
  <si>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</si>
  <si>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</si>
  <si>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</si>
  <si>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</si>
  <si>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</si>
  <si>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</si>
  <si>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</si>
  <si>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</si>
  <si>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</si>
  <si>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</si>
  <si>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</si>
  <si>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</si>
  <si>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</si>
  <si>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</si>
  <si>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</si>
  <si>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</si>
  <si>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</si>
  <si>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</si>
  <si>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</si>
  <si>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</si>
  <si>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</si>
  <si>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</si>
  <si>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</si>
  <si>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</si>
  <si>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</si>
  <si>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</si>
  <si>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</si>
  <si>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</si>
  <si>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</si>
  <si>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</si>
  <si>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</si>
  <si>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</si>
  <si>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</si>
  <si>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</si>
  <si>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</si>
  <si>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</si>
  <si>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</si>
  <si>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</si>
  <si>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</si>
  <si>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</si>
  <si>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</si>
  <si>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</si>
  <si>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</si>
  <si>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</si>
  <si>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</si>
  <si>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</si>
  <si>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</si>
  <si>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</si>
  <si>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</si>
  <si>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</si>
  <si>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</si>
  <si>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</si>
  <si>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</si>
  <si>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</si>
  <si>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</si>
  <si>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</si>
  <si>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</si>
  <si>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</si>
  <si>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</si>
  <si>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</si>
  <si>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</si>
  <si>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</si>
  <si>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</si>
  <si>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</si>
  <si>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</si>
  <si>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</si>
  <si>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</si>
  <si>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</si>
  <si>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</si>
  <si>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</si>
  <si>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</si>
  <si>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</si>
  <si>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</si>
  <si>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</si>
  <si>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</si>
  <si>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</si>
  <si>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</si>
  <si>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</si>
  <si>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</si>
  <si>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</si>
  <si>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</si>
  <si>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</si>
  <si>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</si>
  <si>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</si>
  <si>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</si>
  <si>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</si>
  <si>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</si>
  <si>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</si>
  <si>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</si>
  <si>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</si>
  <si>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</si>
  <si>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</si>
  <si>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</si>
  <si>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</si>
  <si>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</si>
  <si>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</si>
  <si>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</si>
  <si>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</si>
  <si>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</si>
  <si>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</si>
  <si>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</si>
  <si>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</si>
  <si>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</si>
  <si>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</si>
  <si>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</si>
  <si>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</si>
  <si>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</si>
  <si>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</si>
  <si>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</si>
  <si>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</si>
  <si>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</si>
  <si>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</si>
  <si>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</si>
  <si>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</si>
  <si>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</si>
  <si>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</si>
  <si>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</si>
  <si>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</si>
  <si>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</si>
  <si>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</si>
  <si>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</si>
  <si>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</si>
  <si>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</si>
  <si>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</si>
  <si>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</si>
  <si>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</si>
  <si>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</si>
  <si>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</si>
  <si>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</si>
  <si>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</si>
  <si>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</si>
  <si>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</si>
  <si>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</si>
  <si>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</si>
  <si>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</si>
  <si>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</si>
  <si>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</si>
  <si>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</si>
  <si>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</si>
  <si>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</si>
  <si>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</si>
  <si>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</si>
  <si>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</si>
  <si>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</si>
  <si>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</si>
  <si>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</si>
  <si>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</si>
  <si>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</si>
  <si>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</si>
  <si>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</si>
  <si>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</si>
  <si>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</si>
  <si>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</si>
  <si>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</si>
  <si>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</si>
  <si>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</si>
  <si>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</si>
  <si>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</si>
  <si>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</si>
  <si>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</si>
  <si>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</si>
  <si>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</si>
  <si>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</si>
  <si>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</si>
  <si>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</si>
  <si>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</si>
  <si>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</si>
  <si>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</si>
  <si>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</si>
  <si>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</si>
  <si>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</si>
  <si>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</si>
  <si>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</si>
  <si>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</si>
  <si>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</si>
  <si>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</si>
  <si>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</si>
  <si>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</si>
  <si>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</si>
  <si>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</si>
  <si>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</si>
  <si>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</si>
  <si>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</si>
  <si>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</si>
  <si>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</si>
  <si>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</si>
  <si>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</si>
  <si>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</si>
  <si>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</si>
  <si>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</si>
  <si>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</si>
  <si>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</si>
  <si>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</si>
  <si>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</si>
  <si>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</si>
  <si>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</si>
  <si>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</si>
  <si>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</si>
  <si>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</si>
  <si>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</si>
  <si>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</si>
  <si>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</si>
  <si>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</si>
  <si>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</si>
  <si>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</si>
  <si>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</si>
  <si>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</si>
  <si>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</si>
  <si>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</si>
  <si>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</si>
  <si>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</si>
  <si>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</si>
  <si>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</si>
  <si>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</si>
  <si>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</si>
  <si>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</si>
  <si>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</si>
  <si>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</si>
  <si>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</si>
  <si>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</si>
  <si>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</si>
  <si>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</si>
  <si>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</si>
  <si>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</si>
  <si>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</si>
  <si>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</si>
  <si>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</si>
  <si>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</si>
  <si>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</si>
  <si>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</si>
  <si>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</si>
  <si>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</si>
  <si>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</si>
  <si>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</si>
  <si>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</si>
  <si>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</si>
  <si>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</si>
  <si>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</si>
  <si>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</si>
  <si>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</si>
  <si>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</si>
  <si>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</si>
  <si>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</si>
  <si>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</si>
  <si>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</si>
  <si>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</si>
  <si>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</si>
  <si>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</si>
  <si>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</si>
  <si>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</si>
  <si>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</si>
  <si>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</si>
  <si>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</si>
  <si>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</si>
  <si>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</si>
  <si>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</si>
  <si>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</si>
  <si>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</si>
  <si>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</si>
  <si>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</si>
  <si>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</si>
  <si>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</si>
  <si>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</si>
  <si>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</si>
  <si>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</si>
  <si>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</si>
  <si>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</si>
  <si>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</si>
  <si>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</si>
  <si>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</si>
  <si>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</si>
  <si>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</si>
  <si>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</si>
  <si>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</si>
  <si>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</si>
  <si>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</si>
  <si>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</si>
  <si>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</si>
  <si>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</si>
  <si>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</si>
  <si>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</si>
  <si>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</si>
  <si>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</si>
  <si>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</si>
  <si>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</si>
  <si>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</si>
  <si>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</si>
  <si>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</si>
  <si>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</si>
  <si>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</si>
  <si>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</si>
  <si>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</si>
  <si>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</si>
  <si>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</si>
  <si>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</si>
  <si>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</si>
  <si>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</si>
  <si>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</si>
  <si>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</si>
  <si>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</si>
  <si>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</si>
  <si>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</si>
  <si>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</si>
  <si>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</si>
  <si>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</si>
  <si>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</si>
  <si>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</si>
  <si>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</si>
  <si>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</si>
  <si>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</si>
  <si>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</si>
  <si>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</si>
  <si>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</si>
  <si>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</si>
  <si>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</si>
  <si>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</si>
  <si>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</si>
  <si>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</si>
  <si>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</si>
  <si>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</si>
  <si>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</si>
  <si>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</si>
  <si>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</si>
  <si>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</si>
  <si>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</si>
  <si>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</si>
  <si>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</si>
  <si>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</si>
  <si>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</si>
  <si>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</si>
  <si>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</si>
  <si>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</si>
  <si>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</si>
  <si>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</si>
  <si>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</si>
  <si>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</si>
  <si>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</si>
  <si>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</si>
  <si>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</si>
  <si>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</si>
  <si>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</si>
  <si>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</si>
  <si>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</si>
  <si>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</si>
  <si>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</si>
  <si>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</si>
  <si>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</si>
  <si>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</si>
  <si>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</si>
  <si>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</si>
  <si>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</si>
  <si>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</si>
  <si>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</si>
  <si>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</si>
  <si>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</si>
  <si>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</si>
  <si>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</si>
  <si>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</si>
  <si>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</si>
  <si>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</si>
  <si>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</si>
  <si>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</si>
  <si>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</si>
  <si>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</si>
  <si>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</si>
  <si>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</si>
  <si>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</si>
  <si>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</si>
  <si>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</si>
  <si>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</si>
  <si>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</si>
  <si>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</si>
  <si>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</si>
  <si>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</si>
  <si>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</si>
  <si>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</si>
  <si>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</si>
  <si>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</si>
  <si>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</si>
  <si>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</si>
  <si>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</si>
  <si>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</si>
  <si>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</si>
  <si>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</si>
  <si>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</si>
  <si>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</si>
  <si>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</si>
  <si>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</si>
  <si>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</si>
  <si>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</si>
  <si>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</si>
  <si>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</si>
  <si>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</si>
  <si>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</si>
  <si>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</si>
  <si>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</si>
  <si>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</si>
  <si>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</si>
  <si>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</si>
  <si>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</si>
  <si>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</si>
  <si>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</si>
  <si>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</si>
  <si>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</si>
  <si>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</si>
  <si>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</si>
  <si>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</si>
  <si>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</si>
  <si>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</si>
  <si>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</si>
  <si>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</si>
  <si>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</si>
  <si>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</si>
  <si>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</si>
  <si>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</si>
  <si>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</si>
  <si>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</si>
  <si>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</si>
  <si>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</si>
  <si>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</si>
  <si>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</si>
  <si>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</si>
  <si>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</si>
  <si>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</si>
  <si>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</si>
  <si>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</si>
  <si>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</si>
  <si>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</si>
  <si>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</si>
  <si>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</si>
  <si>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</si>
  <si>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</si>
  <si>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</si>
  <si>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</si>
  <si>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</si>
  <si>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</si>
  <si>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</si>
  <si>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</si>
  <si>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</si>
  <si>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</si>
  <si>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</si>
  <si>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</si>
  <si>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</si>
  <si>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</si>
  <si>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</si>
  <si>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</si>
  <si>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</si>
  <si>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</si>
  <si>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</si>
  <si>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</si>
  <si>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</si>
  <si>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</si>
  <si>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</si>
  <si>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</si>
  <si>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</si>
  <si>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</si>
  <si>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</si>
  <si>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</si>
  <si>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</si>
  <si>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</si>
  <si>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</si>
  <si>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</si>
  <si>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</si>
  <si>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</si>
  <si>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</si>
  <si>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</si>
  <si>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</si>
  <si>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</si>
  <si>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</si>
  <si>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</si>
  <si>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</si>
  <si>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</si>
  <si>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</si>
  <si>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</si>
  <si>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</si>
  <si>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</si>
  <si>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</si>
  <si>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</si>
  <si>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</si>
  <si>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</si>
  <si>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</si>
  <si>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</si>
  <si>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</si>
  <si>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</si>
  <si>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</si>
  <si>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</si>
  <si>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</si>
  <si>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</si>
  <si>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</si>
  <si>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</si>
  <si>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</si>
  <si>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</si>
  <si>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</si>
  <si>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</si>
  <si>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</si>
  <si>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</si>
  <si>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</si>
  <si>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</si>
  <si>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</si>
  <si>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</si>
  <si>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</si>
  <si>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</si>
  <si>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</si>
  <si>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</si>
  <si>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</si>
  <si>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</si>
  <si>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</si>
  <si>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</si>
  <si>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</si>
  <si>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</si>
  <si>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</si>
  <si>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</si>
  <si>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</si>
  <si>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</si>
  <si>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</si>
  <si>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</si>
  <si>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</si>
  <si>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</si>
  <si>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</si>
  <si>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</si>
  <si>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</si>
  <si>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</si>
  <si>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</si>
  <si>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</si>
  <si>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</si>
  <si>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</si>
  <si>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</si>
  <si>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</si>
  <si>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</si>
  <si>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</si>
  <si>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</si>
  <si>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</si>
  <si>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</si>
  <si>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</si>
  <si>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</si>
  <si>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</si>
  <si>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</si>
  <si>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</si>
  <si>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</si>
  <si>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</si>
  <si>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</si>
  <si>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</si>
  <si>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</si>
  <si>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</si>
  <si>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</si>
  <si>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</si>
  <si>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</si>
  <si>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</si>
  <si>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</si>
  <si>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</si>
  <si>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</si>
  <si>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</si>
  <si>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</si>
  <si>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</si>
  <si>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</si>
  <si>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</si>
  <si>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</si>
  <si>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</si>
  <si>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</si>
  <si>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</si>
  <si>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</si>
  <si>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</si>
  <si>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</si>
  <si>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</si>
  <si>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</si>
  <si>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</si>
  <si>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</si>
  <si>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</si>
  <si>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</si>
  <si>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</si>
  <si>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</si>
  <si>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</si>
  <si>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</si>
  <si>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</si>
  <si>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</si>
  <si>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</si>
  <si>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</si>
  <si>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</si>
  <si>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</si>
  <si>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</si>
  <si>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</si>
  <si>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</si>
  <si>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</si>
  <si>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</si>
  <si>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</si>
  <si>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</si>
  <si>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</si>
  <si>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</si>
  <si>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</si>
  <si>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</si>
  <si>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</si>
  <si>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</si>
  <si>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</si>
  <si>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</si>
  <si>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</si>
  <si>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</si>
  <si>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</si>
  <si>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</si>
  <si>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</si>
  <si>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</si>
  <si>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</si>
  <si>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</si>
  <si>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</si>
  <si>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</si>
  <si>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</si>
  <si>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</si>
  <si>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</si>
  <si>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</si>
  <si>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</si>
  <si>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</si>
  <si>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</si>
  <si>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</si>
  <si>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</si>
  <si>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</si>
  <si>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</si>
  <si>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</si>
  <si>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</si>
  <si>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</si>
  <si>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</si>
  <si>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</si>
  <si>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</si>
  <si>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</si>
  <si>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</si>
  <si>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</si>
  <si>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</si>
  <si>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</si>
  <si>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</si>
  <si>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</si>
  <si>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</si>
  <si>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</si>
  <si>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</si>
  <si>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</si>
  <si>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</si>
  <si>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</si>
  <si>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</si>
  <si>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</si>
  <si>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</si>
  <si>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</si>
  <si>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</si>
  <si>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</si>
  <si>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</si>
  <si>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</si>
  <si>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</si>
  <si>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</si>
  <si>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</si>
  <si>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</si>
  <si>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</si>
  <si>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</si>
  <si>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</si>
  <si>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</si>
  <si>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</si>
  <si>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</si>
  <si>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</si>
  <si>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</si>
  <si>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</si>
  <si>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</si>
  <si>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</si>
  <si>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</si>
  <si>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</si>
  <si>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</si>
  <si>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</si>
  <si>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</si>
  <si>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</si>
  <si>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</si>
  <si>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</si>
  <si>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</si>
  <si>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</si>
  <si>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</si>
  <si>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</si>
  <si>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</si>
  <si>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</si>
  <si>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</si>
  <si>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</si>
  <si>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</si>
  <si>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</si>
  <si>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</si>
  <si>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</si>
  <si>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</si>
  <si>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</si>
  <si>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</si>
  <si>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</si>
  <si>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</si>
  <si>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</si>
  <si>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</si>
  <si>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</si>
  <si>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</si>
  <si>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</si>
  <si>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</si>
  <si>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</si>
  <si>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</si>
  <si>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</si>
  <si>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</si>
  <si>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</si>
  <si>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</si>
  <si>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</si>
  <si>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</si>
  <si>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</si>
  <si>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</si>
  <si>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</si>
  <si>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</si>
  <si>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</si>
  <si>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</si>
  <si>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</si>
  <si>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</si>
  <si>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</si>
  <si>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</si>
  <si>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</si>
  <si>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</si>
  <si>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</si>
  <si>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</si>
  <si>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</si>
  <si>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</si>
  <si>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</si>
  <si>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</si>
  <si>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</si>
  <si>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</si>
  <si>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</si>
  <si>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</si>
  <si>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</si>
  <si>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</si>
  <si>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</si>
  <si>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</si>
  <si>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</si>
  <si>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</si>
  <si>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</si>
  <si>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</si>
  <si>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</si>
  <si>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</si>
  <si>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</si>
  <si>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</si>
  <si>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</si>
  <si>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</si>
  <si>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</si>
  <si>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</si>
  <si>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</si>
  <si>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</si>
  <si>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</si>
  <si>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</si>
  <si>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</si>
  <si>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</si>
  <si>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</si>
  <si>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</si>
  <si>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</si>
  <si>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</si>
  <si>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</si>
  <si>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</si>
  <si>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</si>
  <si>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</si>
  <si>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</si>
  <si>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</si>
  <si>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</si>
  <si>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</si>
  <si>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</si>
  <si>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</si>
  <si>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</si>
  <si>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</si>
  <si>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</si>
  <si>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</si>
  <si>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</si>
  <si>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</si>
  <si>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</si>
  <si>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</si>
  <si>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</si>
  <si>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</si>
  <si>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</si>
  <si>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</si>
  <si>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</si>
  <si>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</si>
  <si>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</si>
  <si>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</si>
  <si>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</si>
  <si>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</si>
  <si>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</si>
  <si>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</si>
  <si>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</si>
  <si>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</si>
  <si>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</si>
  <si>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</si>
  <si>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</si>
  <si>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</si>
  <si>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</si>
  <si>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</si>
  <si>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</si>
  <si>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</si>
  <si>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</si>
  <si>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</si>
  <si>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</si>
  <si>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</si>
  <si>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</si>
  <si>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</si>
  <si>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</si>
  <si>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</si>
  <si>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</si>
  <si>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</si>
  <si>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</si>
  <si>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</si>
  <si>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</si>
  <si>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</si>
  <si>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</si>
  <si>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</si>
  <si>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</si>
  <si>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</si>
  <si>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</si>
  <si>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</si>
  <si>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</si>
  <si>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</si>
  <si>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</si>
  <si>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</si>
  <si>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</si>
  <si>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</si>
  <si>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</si>
  <si>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</si>
  <si>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</si>
  <si>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</si>
  <si>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</si>
  <si>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</si>
  <si>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</si>
  <si>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</si>
  <si>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</si>
  <si>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</si>
  <si>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</si>
  <si>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</si>
  <si>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</si>
  <si>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</si>
  <si>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</si>
  <si>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</si>
  <si>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</si>
  <si>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</si>
  <si>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</si>
  <si>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</si>
  <si>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</si>
  <si>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</si>
  <si>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</si>
  <si>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</si>
  <si>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</si>
  <si>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</si>
  <si>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</si>
  <si>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</si>
  <si>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</si>
  <si>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</si>
  <si>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</si>
  <si>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</si>
  <si>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</si>
  <si>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</si>
  <si>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</si>
  <si>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</si>
  <si>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</si>
  <si>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</si>
  <si>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</si>
  <si>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</si>
  <si>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</si>
  <si>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</si>
  <si>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</si>
  <si>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</si>
  <si>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</si>
  <si>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</si>
  <si>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</si>
  <si>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</si>
  <si>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</si>
  <si>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</si>
  <si>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</si>
  <si>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</si>
  <si>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</si>
  <si>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</si>
  <si>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</si>
  <si>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</si>
  <si>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</si>
  <si>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</si>
  <si>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</si>
  <si>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</si>
  <si>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</si>
  <si>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</si>
  <si>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</si>
  <si>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</si>
  <si>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</si>
  <si>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</si>
  <si>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</si>
  <si>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</si>
  <si>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</si>
  <si>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</si>
  <si>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</si>
  <si>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</si>
  <si>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</si>
  <si>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</si>
  <si>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</si>
  <si>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</si>
  <si>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</si>
  <si>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</si>
  <si>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</si>
  <si>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</si>
  <si>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</si>
  <si>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</si>
  <si>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</si>
  <si>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</si>
  <si>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</si>
  <si>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</si>
  <si>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</si>
  <si>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</si>
  <si>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</si>
  <si>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</si>
  <si>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</si>
  <si>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</si>
  <si>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</si>
  <si>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</si>
  <si>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</si>
  <si>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</si>
  <si>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</si>
  <si>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</si>
  <si>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</si>
  <si>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</si>
  <si>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</si>
  <si>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</si>
  <si>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</si>
  <si>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</si>
  <si>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</si>
  <si>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</si>
  <si>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</si>
  <si>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</si>
  <si>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</si>
  <si>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</si>
  <si>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</si>
  <si>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</si>
  <si>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</si>
  <si>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</si>
  <si>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</si>
  <si>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</si>
  <si>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</si>
  <si>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</si>
  <si>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</si>
  <si>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</si>
  <si>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</si>
  <si>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</si>
  <si>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</si>
  <si>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</si>
  <si>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</si>
  <si>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</si>
  <si>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</si>
  <si>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</si>
  <si>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</si>
  <si>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</si>
  <si>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</si>
  <si>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</si>
  <si>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</si>
  <si>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</si>
  <si>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</si>
  <si>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</si>
  <si>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</si>
  <si>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</si>
  <si>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</si>
  <si>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</si>
  <si>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</si>
  <si>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</si>
  <si>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</si>
  <si>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</si>
  <si>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</si>
  <si>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</si>
  <si>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</si>
  <si>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</si>
  <si>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</si>
  <si>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</si>
  <si>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</si>
  <si>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</si>
  <si>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</si>
  <si>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</si>
  <si>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</si>
  <si>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</si>
  <si>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</si>
  <si>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</si>
  <si>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</si>
  <si>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</si>
  <si>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</si>
  <si>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</si>
  <si>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</si>
  <si>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</si>
  <si>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</si>
  <si>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</si>
  <si>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</si>
  <si>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</si>
  <si>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</si>
  <si>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</si>
  <si>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</si>
  <si>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</si>
  <si>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</si>
  <si>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</si>
  <si>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</si>
  <si>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</si>
  <si>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</si>
  <si>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</si>
  <si>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</si>
  <si>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</si>
  <si>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</si>
  <si>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</si>
  <si>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</si>
  <si>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</si>
  <si>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</si>
  <si>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</si>
  <si>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</si>
  <si>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</si>
  <si>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</si>
  <si>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</si>
  <si>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</si>
  <si>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</si>
  <si>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</si>
  <si>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</si>
  <si>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</si>
  <si>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</si>
  <si>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</si>
  <si>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</si>
  <si>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</si>
  <si>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</si>
  <si>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</si>
  <si>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</si>
  <si>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</si>
  <si>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</si>
  <si>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</si>
  <si>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</si>
  <si>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</si>
  <si>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</si>
  <si>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</si>
  <si>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</si>
  <si>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</si>
  <si>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</si>
  <si>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</si>
  <si>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</si>
  <si>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</si>
  <si>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</si>
  <si>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</si>
  <si>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</si>
  <si>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</si>
  <si>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</si>
  <si>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</si>
  <si>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</si>
  <si>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</si>
  <si>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</si>
  <si>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</si>
  <si>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</si>
  <si>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</si>
  <si>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</si>
  <si>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</si>
  <si>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</si>
  <si>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</si>
  <si>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</si>
  <si>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</si>
  <si>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</si>
  <si>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</si>
  <si>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</si>
  <si>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</si>
  <si>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</si>
  <si>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</si>
  <si>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</si>
  <si>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</si>
  <si>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</si>
  <si>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</si>
  <si>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</si>
  <si>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</si>
  <si>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</si>
  <si>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</si>
  <si>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</si>
  <si>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</si>
  <si>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</si>
  <si>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</si>
  <si>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</si>
  <si>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</si>
  <si>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</si>
  <si>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</si>
  <si>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</si>
  <si>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</si>
  <si>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</si>
  <si>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</si>
  <si>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</si>
  <si>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</si>
  <si>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</si>
  <si>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</si>
  <si>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</si>
  <si>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</si>
  <si>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</si>
  <si>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</si>
  <si>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</si>
  <si>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</si>
  <si>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</si>
  <si>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</si>
  <si>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</si>
  <si>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</si>
  <si>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</si>
  <si>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</si>
  <si>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</si>
  <si>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</si>
  <si>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</si>
  <si>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</si>
  <si>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</si>
  <si>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</si>
  <si>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</si>
  <si>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</si>
  <si>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</si>
  <si>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</si>
  <si>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</si>
  <si>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</si>
  <si>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</si>
  <si>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</si>
  <si>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</si>
  <si>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</si>
  <si>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</si>
  <si>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</si>
  <si>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</si>
  <si>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</si>
  <si>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</si>
  <si>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</si>
  <si>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</si>
  <si>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</si>
  <si>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</si>
  <si>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</si>
  <si>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</si>
  <si>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</si>
  <si>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</si>
  <si>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</si>
  <si>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</si>
  <si>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</si>
  <si>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</si>
  <si>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</si>
  <si>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</si>
  <si>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</si>
  <si>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</si>
  <si>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</si>
  <si>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</si>
  <si>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</si>
  <si>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</si>
  <si>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</si>
  <si>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</si>
  <si>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</si>
  <si>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</si>
  <si>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</si>
  <si>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</si>
  <si>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</si>
  <si>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</si>
  <si>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</si>
  <si>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</si>
  <si>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</si>
  <si>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</si>
  <si>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</si>
  <si>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</si>
  <si>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</si>
  <si>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</si>
  <si>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</si>
  <si>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</si>
  <si>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</si>
  <si>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</si>
  <si>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</si>
  <si>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</si>
  <si>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</si>
  <si>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</si>
  <si>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</si>
  <si>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</si>
  <si>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</si>
  <si>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</si>
  <si>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</si>
  <si>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</si>
  <si>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</si>
  <si>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</si>
  <si>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</si>
  <si>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</si>
  <si>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</si>
  <si>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</si>
  <si>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</si>
  <si>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</si>
  <si>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</si>
  <si>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</si>
  <si>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</si>
  <si>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</si>
  <si>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</si>
  <si>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</si>
  <si>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</si>
  <si>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</si>
  <si>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</si>
  <si>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</si>
  <si>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</si>
  <si>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</si>
  <si>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</si>
  <si>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</si>
  <si>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</si>
  <si>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</si>
  <si>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</si>
  <si>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</si>
  <si>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</si>
  <si>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</si>
  <si>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</si>
  <si>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</si>
  <si>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</si>
  <si>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</si>
  <si>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</si>
  <si>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</si>
  <si>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</si>
  <si>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</si>
  <si>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</si>
  <si>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</si>
  <si>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</si>
  <si>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</si>
  <si>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</si>
  <si>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</si>
  <si>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</si>
  <si>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</si>
  <si>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</si>
  <si>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</si>
  <si>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</si>
  <si>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</si>
  <si>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</si>
  <si>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</si>
  <si>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</si>
  <si>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</si>
  <si>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</si>
  <si>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</si>
  <si>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</si>
  <si>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</si>
  <si>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</si>
  <si>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</si>
  <si>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</si>
  <si>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</si>
  <si>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</si>
  <si>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</si>
  <si>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</si>
  <si>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</si>
  <si>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</si>
  <si>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</si>
  <si>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</si>
  <si>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</si>
  <si>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</si>
  <si>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</si>
  <si>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</si>
  <si>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</si>
  <si>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</si>
  <si>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</si>
  <si>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</si>
  <si>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</si>
  <si>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</si>
  <si>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</si>
  <si>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</si>
  <si>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</si>
  <si>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</si>
  <si>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</si>
  <si>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</si>
  <si>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</si>
  <si>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</si>
  <si>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</si>
  <si>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</si>
  <si>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</si>
  <si>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</si>
  <si>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</si>
  <si>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</si>
  <si>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</si>
  <si>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</si>
  <si>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</si>
  <si>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</si>
  <si>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</si>
  <si>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</si>
  <si>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</si>
  <si>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</si>
  <si>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</si>
  <si>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</si>
  <si>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</si>
  <si>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</si>
  <si>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</si>
  <si>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</si>
  <si>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</si>
  <si>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</si>
  <si>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</si>
  <si>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</si>
  <si>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</si>
  <si>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</si>
  <si>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</si>
  <si>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</si>
  <si>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</si>
  <si>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</si>
  <si>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</si>
  <si>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</si>
  <si>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</si>
  <si>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</si>
  <si>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</si>
  <si>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</si>
  <si>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</si>
  <si>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</si>
  <si>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</si>
  <si>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</si>
  <si>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</si>
  <si>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</si>
  <si>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</si>
  <si>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</si>
  <si>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</si>
  <si>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</si>
  <si>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</si>
  <si>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</si>
  <si>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</si>
  <si>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</si>
  <si>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</si>
  <si>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</si>
  <si>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</si>
  <si>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</si>
  <si>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</si>
  <si>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</si>
  <si>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</si>
  <si>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</si>
  <si>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</si>
  <si>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</si>
  <si>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</si>
  <si>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</si>
  <si>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</si>
  <si>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</si>
  <si>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</si>
  <si>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</si>
  <si>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</si>
  <si>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</si>
  <si>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</si>
  <si>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</si>
  <si>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</si>
  <si>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</si>
  <si>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</si>
  <si>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</si>
  <si>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</si>
  <si>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</si>
  <si>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</si>
  <si>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</si>
  <si>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</si>
  <si>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</si>
  <si>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</si>
  <si>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</si>
  <si>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</si>
  <si>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</si>
  <si>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</si>
  <si>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</si>
  <si>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</si>
  <si>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</si>
  <si>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</si>
  <si>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</si>
  <si>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</si>
  <si>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</si>
  <si>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</si>
  <si>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</si>
  <si>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</si>
  <si>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</si>
  <si>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</si>
  <si>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</si>
  <si>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</si>
  <si>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</si>
  <si>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</si>
  <si>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</si>
  <si>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</si>
  <si>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</si>
  <si>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</si>
  <si>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</si>
  <si>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</si>
  <si>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</si>
  <si>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</si>
  <si>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</si>
  <si>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</si>
  <si>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</si>
  <si>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</si>
  <si>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</si>
  <si>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</si>
  <si>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</si>
  <si>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</si>
  <si>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</si>
  <si>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</si>
  <si>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</si>
  <si>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</si>
  <si>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</si>
  <si>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</si>
  <si>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</si>
  <si>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</si>
  <si>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</si>
  <si>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</si>
  <si>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</si>
  <si>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</si>
  <si>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</si>
  <si>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</si>
  <si>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</si>
  <si>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</si>
  <si>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</si>
  <si>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</si>
  <si>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</si>
  <si>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</si>
  <si>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</si>
  <si>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</si>
  <si>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</si>
  <si>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</si>
  <si>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</si>
  <si>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</si>
  <si>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</si>
  <si>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</si>
  <si>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</si>
  <si>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</si>
  <si>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</si>
  <si>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</si>
  <si>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</si>
  <si>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</si>
  <si>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</si>
  <si>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</si>
  <si>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</si>
  <si>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</si>
  <si>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</si>
  <si>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</si>
  <si>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</si>
  <si>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</si>
  <si>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</si>
  <si>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</si>
  <si>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</si>
  <si>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</si>
  <si>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</si>
  <si>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</si>
  <si>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</si>
  <si>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</si>
  <si>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</si>
  <si>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</si>
  <si>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</si>
  <si>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</si>
  <si>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</si>
  <si>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</si>
  <si>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</si>
  <si>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</si>
  <si>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</si>
  <si>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</si>
  <si>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</si>
  <si>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</si>
  <si>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</si>
  <si>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</si>
  <si>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</si>
  <si>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</si>
  <si>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</si>
  <si>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</si>
  <si>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</si>
  <si>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</si>
  <si>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</si>
  <si>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</si>
  <si>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</si>
  <si>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</si>
  <si>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</si>
  <si>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</si>
  <si>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</si>
  <si>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</si>
  <si>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</si>
  <si>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</si>
  <si>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</si>
  <si>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</si>
  <si>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</si>
  <si>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</si>
  <si>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</si>
  <si>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</si>
  <si>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</si>
  <si>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</si>
  <si>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</si>
  <si>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</si>
  <si>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</si>
  <si>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</si>
  <si>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</si>
  <si>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</si>
  <si>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</si>
  <si>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</si>
  <si>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</si>
  <si>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</si>
  <si>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</si>
  <si>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</si>
  <si>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</si>
  <si>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</si>
  <si>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</si>
  <si>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</si>
  <si>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</si>
  <si>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</si>
  <si>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</si>
  <si>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</si>
  <si>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</si>
  <si>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</si>
  <si>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</si>
  <si>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</si>
  <si>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</si>
  <si>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</si>
  <si>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</si>
  <si>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</si>
  <si>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</si>
  <si>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</si>
  <si>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</si>
  <si>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</si>
  <si>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</si>
  <si>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</si>
  <si>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</si>
  <si>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</si>
  <si>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</si>
  <si>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</si>
  <si>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</si>
  <si>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</si>
  <si>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</si>
  <si>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</si>
  <si>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</si>
  <si>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</si>
  <si>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</si>
  <si>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</si>
  <si>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</si>
  <si>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</si>
  <si>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</si>
  <si>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</si>
  <si>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</si>
  <si>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</si>
  <si>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</si>
  <si>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</si>
  <si>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</si>
  <si>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</si>
  <si>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</si>
  <si>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</si>
  <si>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</si>
  <si>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</si>
  <si>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</si>
  <si>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</si>
  <si>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</si>
  <si>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</si>
  <si>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</si>
  <si>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</si>
  <si>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</si>
  <si>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</si>
  <si>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</si>
  <si>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</si>
  <si>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</si>
  <si>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</si>
  <si>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</si>
  <si>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</si>
  <si>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</si>
  <si>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</si>
  <si>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</si>
  <si>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</si>
  <si>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</si>
  <si>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</si>
  <si>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</si>
  <si>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</si>
  <si>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</si>
  <si>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</si>
  <si>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</si>
  <si>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</si>
  <si>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</si>
  <si>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</si>
  <si>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</si>
  <si>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</si>
  <si>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</si>
  <si>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</si>
  <si>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</si>
  <si>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</si>
  <si>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</si>
  <si>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</si>
  <si>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</si>
  <si>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</si>
  <si>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</si>
  <si>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</si>
  <si>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</si>
  <si>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</si>
  <si>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</si>
  <si>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</si>
  <si>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</si>
  <si>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</si>
  <si>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</si>
  <si>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</si>
  <si>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</si>
  <si>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</si>
  <si>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</si>
  <si>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</si>
  <si>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</si>
  <si>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</si>
  <si>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</si>
  <si>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</si>
  <si>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</si>
  <si>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</si>
  <si>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</si>
  <si>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</si>
  <si>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</si>
  <si>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</si>
  <si>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</si>
  <si>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</si>
  <si>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</si>
  <si>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</si>
  <si>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</si>
  <si>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</si>
  <si>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</si>
  <si>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</si>
  <si>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</si>
  <si>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</si>
  <si>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</si>
  <si>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</si>
  <si>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</si>
  <si>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</si>
  <si>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</si>
  <si>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</si>
  <si>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</si>
  <si>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</si>
  <si>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</si>
  <si>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</si>
  <si>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</si>
  <si>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</si>
  <si>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</si>
  <si>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</si>
  <si>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</si>
  <si>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</si>
  <si>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</si>
  <si>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</si>
  <si>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</si>
  <si>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</si>
  <si>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</si>
  <si>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</si>
  <si>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</si>
  <si>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</si>
  <si>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</si>
  <si>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</si>
  <si>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</si>
  <si>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</si>
  <si>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</si>
  <si>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</si>
  <si>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</si>
  <si>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</si>
  <si>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</si>
  <si>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</si>
  <si>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</si>
  <si>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</si>
  <si>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</si>
  <si>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</si>
  <si>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</si>
  <si>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</si>
  <si>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</si>
  <si>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</si>
  <si>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</si>
  <si>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</si>
  <si>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</si>
  <si>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</si>
  <si>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</si>
  <si>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</si>
  <si>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</si>
  <si>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</si>
  <si>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</si>
  <si>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</si>
  <si>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</si>
  <si>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</si>
  <si>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</si>
  <si>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</si>
  <si>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</si>
  <si>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</si>
  <si>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</si>
  <si>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</si>
  <si>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</si>
  <si>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</si>
  <si>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</si>
  <si>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</si>
  <si>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</si>
  <si>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</si>
  <si>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</si>
  <si>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</si>
  <si>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</si>
  <si>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</si>
  <si>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</si>
  <si>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</si>
  <si>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</si>
  <si>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</si>
  <si>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</si>
  <si>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</si>
  <si>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</si>
  <si>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</si>
  <si>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</si>
  <si>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</si>
  <si>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</si>
  <si>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</si>
  <si>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</si>
  <si>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</si>
  <si>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</si>
  <si>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</si>
  <si>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</si>
  <si>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</si>
  <si>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</si>
  <si>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</si>
  <si>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</si>
  <si>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</si>
  <si>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</si>
  <si>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</si>
  <si>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</si>
  <si>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</si>
  <si>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</si>
  <si>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</si>
  <si>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</si>
  <si>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</si>
  <si>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</si>
  <si>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</si>
  <si>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</si>
  <si>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</si>
  <si>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</si>
  <si>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</si>
  <si>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</si>
  <si>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</si>
  <si>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</si>
  <si>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</si>
  <si>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</si>
  <si>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</si>
  <si>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</si>
  <si>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</si>
  <si>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</si>
  <si>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</si>
  <si>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</si>
  <si>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</si>
  <si>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</si>
  <si>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</si>
  <si>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</si>
  <si>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</si>
  <si>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</si>
  <si>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</si>
  <si>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</si>
  <si>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</si>
  <si>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</si>
  <si>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</si>
  <si>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</si>
  <si>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</si>
  <si>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</si>
  <si>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</si>
  <si>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</si>
  <si>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</si>
  <si>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</si>
  <si>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</si>
  <si>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</si>
  <si>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</si>
  <si>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</si>
  <si>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</si>
  <si>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</si>
  <si>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</si>
  <si>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</si>
  <si>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</si>
  <si>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</si>
  <si>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</si>
  <si>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</si>
  <si>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</si>
  <si>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</si>
  <si>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</si>
  <si>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</si>
  <si>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</si>
  <si>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</si>
  <si>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</si>
  <si>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</si>
  <si>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</si>
  <si>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</si>
  <si>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</si>
  <si>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</si>
  <si>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</si>
  <si>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</si>
  <si>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</si>
  <si>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</si>
  <si>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</si>
  <si>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</si>
  <si>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</si>
  <si>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</si>
  <si>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</si>
  <si>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</si>
  <si>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</si>
  <si>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</si>
  <si>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</si>
  <si>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</si>
  <si>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</si>
  <si>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</si>
  <si>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</si>
  <si>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</si>
  <si>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</si>
  <si>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</si>
  <si>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</si>
  <si>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</si>
  <si>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</si>
  <si>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</si>
  <si>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</si>
  <si>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</si>
  <si>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</si>
  <si>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</si>
  <si>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</si>
  <si>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</si>
  <si>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</si>
  <si>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</si>
  <si>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</si>
  <si>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</si>
  <si>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</si>
  <si>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</si>
  <si>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</si>
  <si>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</si>
  <si>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</si>
  <si>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</si>
  <si>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</si>
  <si>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</si>
  <si>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</si>
  <si>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</si>
  <si>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</si>
  <si>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</si>
  <si>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</si>
  <si>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</si>
  <si>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</si>
  <si>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</si>
  <si>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</si>
  <si>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</si>
  <si>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</si>
  <si>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</si>
  <si>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</si>
  <si>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</si>
  <si>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</si>
  <si>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</si>
  <si>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</si>
  <si>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</si>
  <si>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</si>
  <si>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</si>
  <si>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</si>
  <si>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</si>
  <si>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</si>
  <si>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</si>
  <si>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</si>
  <si>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</si>
  <si>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</si>
  <si>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</si>
  <si>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</si>
  <si>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</si>
  <si>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</si>
  <si>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</si>
  <si>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</si>
  <si>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</si>
  <si>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</si>
  <si>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</si>
  <si>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</si>
  <si>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</si>
  <si>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</si>
  <si>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</si>
  <si>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</si>
  <si>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</si>
  <si>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</si>
  <si>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</si>
  <si>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</si>
  <si>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</si>
  <si>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</si>
  <si>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</si>
  <si>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</si>
  <si>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</si>
  <si>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</si>
  <si>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</si>
  <si>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</si>
  <si>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</si>
  <si>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</si>
  <si>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</si>
  <si>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</si>
  <si>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</si>
  <si>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</si>
  <si>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</si>
  <si>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</si>
  <si>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</si>
  <si>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</si>
  <si>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</si>
  <si>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</si>
  <si>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</si>
  <si>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</si>
  <si>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</si>
  <si>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</si>
  <si>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</si>
  <si>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</si>
  <si>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</si>
  <si>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</si>
  <si>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</si>
  <si>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</si>
  <si>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</si>
  <si>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</si>
  <si>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</si>
  <si>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</si>
  <si>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</si>
  <si>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</si>
  <si>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</si>
  <si>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</si>
  <si>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</si>
  <si>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</si>
  <si>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</si>
  <si>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</si>
  <si>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</si>
  <si>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</si>
  <si>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</si>
  <si>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</si>
  <si>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</si>
  <si>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</si>
  <si>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</si>
  <si>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</si>
  <si>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</si>
  <si>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</si>
  <si>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</si>
  <si>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</si>
  <si>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</si>
  <si>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</si>
  <si>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</si>
  <si>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</si>
  <si>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</si>
  <si>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</si>
  <si>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</si>
  <si>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</si>
  <si>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</si>
  <si>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</si>
  <si>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</si>
  <si>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</si>
  <si>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</si>
  <si>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</si>
  <si>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</si>
  <si>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</si>
  <si>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</si>
  <si>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</si>
  <si>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</si>
  <si>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</si>
  <si>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</si>
  <si>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</si>
  <si>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</si>
  <si>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</si>
  <si>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</si>
  <si>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</si>
  <si>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</si>
  <si>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</si>
  <si>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</si>
  <si>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</si>
  <si>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</si>
  <si>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</si>
  <si>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</si>
  <si>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</si>
  <si>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</si>
  <si>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</si>
  <si>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</si>
  <si>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</si>
  <si>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</si>
  <si>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</si>
  <si>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</si>
  <si>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</si>
  <si>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</si>
  <si>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</si>
  <si>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</si>
  <si>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</si>
  <si>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</si>
  <si>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</si>
  <si>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</si>
  <si>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</si>
  <si>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</si>
  <si>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</si>
  <si>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</si>
  <si>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</si>
  <si>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</si>
  <si>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</si>
  <si>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</si>
  <si>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</si>
  <si>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</si>
  <si>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</si>
  <si>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</si>
  <si>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</si>
  <si>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</si>
  <si>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</si>
  <si>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</si>
  <si>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</si>
  <si>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</si>
  <si>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</si>
  <si>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</si>
  <si>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</si>
  <si>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</si>
  <si>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</si>
  <si>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</si>
  <si>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</si>
  <si>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</si>
  <si>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</si>
  <si>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</si>
  <si>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</si>
  <si>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</si>
  <si>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</si>
  <si>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</si>
  <si>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</si>
  <si>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</si>
  <si>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</si>
  <si>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</si>
  <si>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</si>
  <si>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</si>
  <si>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</si>
  <si>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</si>
  <si>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</si>
  <si>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</si>
  <si>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</si>
  <si>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</si>
  <si>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</si>
  <si>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</si>
  <si>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</si>
  <si>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</si>
  <si>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</si>
  <si>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</si>
  <si>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</si>
  <si>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</si>
  <si>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</si>
  <si>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</si>
  <si>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</si>
  <si>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</si>
  <si>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</si>
  <si>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</si>
  <si>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</si>
  <si>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</si>
  <si>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</si>
  <si>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</si>
  <si>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</si>
  <si>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</si>
  <si>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</si>
  <si>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</si>
  <si>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</si>
  <si>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</si>
  <si>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</si>
  <si>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</si>
  <si>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</si>
  <si>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</si>
  <si>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</si>
  <si>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</si>
  <si>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</si>
  <si>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</si>
  <si>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</si>
  <si>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</si>
  <si>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</si>
  <si>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</si>
  <si>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</si>
  <si>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</si>
  <si>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</si>
  <si>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</si>
  <si>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</si>
  <si>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</si>
  <si>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</si>
  <si>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</si>
  <si>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</si>
  <si>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</si>
  <si>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</si>
  <si>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</si>
  <si>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</si>
  <si>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</si>
  <si>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</si>
  <si>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</si>
  <si>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</si>
  <si>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</si>
  <si>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</si>
  <si>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</si>
  <si>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</si>
  <si>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</si>
  <si>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</si>
  <si>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</si>
  <si>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</si>
  <si>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</si>
  <si>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</si>
  <si>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</si>
  <si>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</si>
  <si>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</si>
  <si>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</si>
  <si>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</si>
  <si>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</si>
  <si>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</si>
  <si>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</si>
  <si>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</si>
  <si>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</si>
  <si>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</si>
  <si>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</si>
  <si>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</si>
  <si>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</si>
  <si>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</si>
  <si>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</si>
  <si>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</si>
  <si>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</si>
  <si>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</si>
  <si>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</si>
  <si>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</si>
  <si>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</si>
  <si>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</si>
  <si>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</si>
  <si>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</si>
  <si>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</si>
  <si>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</si>
  <si>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</si>
  <si>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</si>
  <si>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</si>
  <si>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</si>
  <si>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</si>
  <si>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</si>
  <si>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</si>
  <si>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</si>
  <si>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</si>
  <si>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</si>
  <si>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</si>
  <si>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</si>
  <si>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</si>
  <si>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</si>
  <si>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</si>
  <si>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</si>
  <si>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</si>
  <si>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</si>
  <si>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</si>
  <si>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</si>
  <si>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</si>
  <si>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</si>
  <si>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</si>
  <si>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</si>
  <si>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</si>
  <si>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</si>
  <si>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</si>
  <si>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</si>
  <si>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</si>
  <si>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</si>
  <si>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</si>
  <si>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</si>
  <si>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</si>
  <si>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</si>
  <si>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</si>
  <si>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</si>
  <si>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</si>
  <si>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</si>
  <si>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</si>
  <si>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</si>
  <si>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</si>
  <si>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</si>
  <si>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</si>
  <si>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</si>
  <si>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</si>
  <si>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</si>
  <si>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</si>
  <si>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</si>
  <si>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</si>
  <si>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</si>
  <si>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</si>
  <si>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</si>
  <si>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</si>
  <si>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</si>
  <si>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</si>
  <si>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</si>
  <si>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</si>
  <si>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</si>
  <si>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</si>
  <si>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</si>
  <si>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</si>
  <si>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</si>
  <si>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</si>
  <si>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</si>
  <si>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</si>
  <si>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</si>
  <si>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</si>
  <si>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</si>
  <si>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</si>
  <si>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</si>
  <si>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</si>
  <si>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</si>
  <si>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</si>
  <si>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</si>
  <si>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</si>
  <si>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</si>
  <si>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</si>
  <si>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</si>
  <si>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</si>
  <si>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</si>
  <si>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</si>
  <si>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</si>
  <si>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</si>
  <si>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</si>
  <si>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</si>
  <si>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</si>
  <si>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</si>
  <si>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</si>
  <si>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</si>
  <si>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</si>
  <si>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</si>
  <si>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</si>
  <si>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</si>
  <si>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</si>
  <si>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</si>
  <si>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</si>
  <si>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</si>
  <si>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</si>
  <si>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</si>
  <si>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</si>
  <si>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</si>
  <si>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</si>
  <si>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</si>
  <si>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</si>
  <si>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</si>
  <si>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</si>
  <si>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</si>
  <si>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</si>
  <si>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</si>
  <si>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</si>
  <si>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</si>
  <si>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</si>
  <si>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</si>
  <si>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</si>
  <si>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</si>
  <si>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</si>
  <si>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</si>
  <si>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</si>
  <si>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</si>
  <si>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</si>
  <si>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</si>
  <si>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</si>
  <si>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</si>
  <si>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</si>
  <si>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</si>
  <si>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</si>
  <si>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</si>
  <si>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</si>
  <si>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</si>
  <si>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</si>
  <si>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</si>
  <si>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</si>
  <si>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</si>
  <si>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</si>
  <si>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</si>
  <si>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</si>
  <si>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</si>
  <si>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</si>
  <si>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</si>
  <si>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</si>
  <si>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</si>
  <si>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</si>
  <si>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</si>
  <si>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</si>
  <si>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</si>
  <si>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</si>
  <si>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</si>
  <si>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</si>
  <si>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</si>
  <si>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</si>
  <si>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</si>
  <si>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</si>
  <si>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</si>
  <si>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</si>
  <si>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</si>
  <si>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</si>
  <si>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</si>
  <si>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</si>
  <si>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</si>
  <si>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</si>
  <si>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</si>
  <si>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</si>
  <si>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</si>
  <si>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</si>
  <si>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</si>
  <si>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</si>
  <si>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</si>
  <si>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</si>
  <si>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</si>
  <si>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</si>
  <si>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</si>
  <si>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</si>
  <si>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</si>
  <si>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</si>
  <si>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</si>
  <si>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</si>
  <si>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</si>
  <si>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</si>
  <si>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</si>
  <si>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</si>
  <si>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</si>
  <si>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</si>
  <si>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</si>
  <si>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</si>
  <si>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</si>
  <si>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</si>
  <si>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</si>
  <si>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</si>
  <si>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</si>
  <si>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</si>
  <si>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</si>
  <si>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</si>
  <si>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</si>
  <si>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</si>
  <si>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</si>
  <si>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</si>
  <si>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</si>
  <si>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</si>
  <si>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</si>
  <si>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</si>
  <si>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</si>
  <si>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</si>
  <si>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</si>
  <si>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</si>
  <si>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</si>
  <si>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</si>
  <si>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</si>
  <si>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</si>
  <si>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</si>
  <si>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</si>
  <si>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</si>
  <si>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</si>
  <si>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</si>
  <si>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</si>
  <si>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</si>
  <si>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</si>
  <si>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</si>
  <si>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</si>
  <si>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</si>
  <si>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</si>
  <si>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</si>
  <si>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</si>
  <si>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</si>
  <si>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</si>
  <si>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</si>
  <si>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</si>
  <si>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</si>
  <si>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</si>
  <si>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</si>
  <si>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</si>
  <si>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</si>
  <si>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</si>
  <si>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</si>
  <si>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</si>
  <si>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</si>
  <si>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</si>
  <si>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</si>
  <si>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</si>
  <si>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</si>
  <si>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</si>
  <si>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</si>
  <si>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</si>
  <si>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</si>
  <si>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</si>
  <si>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</si>
  <si>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</si>
  <si>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</si>
  <si>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</si>
  <si>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</si>
  <si>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</si>
  <si>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</si>
  <si>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</si>
  <si>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</si>
  <si>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</si>
  <si>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</si>
  <si>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</si>
  <si>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</si>
  <si>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</si>
  <si>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</si>
  <si>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</si>
  <si>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</si>
  <si>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</si>
  <si>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</si>
  <si>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</si>
  <si>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</si>
  <si>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</si>
  <si>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</si>
  <si>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</si>
  <si>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</si>
  <si>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</si>
  <si>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</si>
  <si>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</si>
  <si>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</si>
  <si>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</si>
  <si>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</si>
  <si>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</si>
  <si>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</si>
  <si>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</si>
  <si>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</si>
  <si>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</si>
  <si>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</si>
  <si>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</si>
  <si>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</si>
  <si>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</si>
  <si>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</si>
  <si>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</si>
  <si>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</si>
  <si>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</si>
  <si>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</si>
  <si>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</si>
  <si>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</si>
  <si>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</si>
  <si>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</si>
  <si>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</si>
  <si>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</si>
  <si>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</si>
  <si>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</si>
  <si>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</si>
  <si>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</si>
  <si>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</si>
  <si>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</si>
  <si>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</si>
  <si>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</si>
  <si>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</si>
  <si>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</si>
  <si>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</si>
  <si>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</si>
  <si>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</si>
  <si>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</si>
  <si>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</si>
  <si>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</si>
  <si>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</si>
  <si>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</si>
  <si>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</si>
  <si>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</si>
  <si>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</si>
  <si>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</si>
  <si>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</si>
  <si>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</si>
  <si>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</si>
  <si>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</si>
  <si>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</si>
  <si>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</si>
  <si>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</si>
  <si>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</si>
  <si>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</si>
  <si>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</si>
  <si>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</si>
  <si>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</si>
  <si>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</si>
  <si>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</si>
  <si>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</si>
  <si>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</si>
  <si>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</si>
  <si>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</si>
  <si>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</si>
  <si>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</si>
  <si>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</si>
  <si>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</si>
  <si>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</si>
  <si>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</si>
  <si>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</si>
  <si>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</si>
  <si>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</si>
  <si>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</si>
  <si>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</si>
  <si>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</si>
  <si>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</si>
  <si>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</si>
  <si>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</si>
  <si>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</si>
  <si>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</si>
  <si>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</si>
  <si>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</si>
  <si>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</si>
  <si>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</si>
  <si>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</si>
  <si>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</si>
  <si>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</si>
  <si>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</si>
  <si>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</si>
  <si>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</si>
  <si>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</si>
  <si>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</si>
  <si>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</si>
  <si>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</si>
  <si>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</si>
  <si>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</si>
  <si>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</si>
  <si>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</si>
  <si>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</si>
  <si>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</si>
  <si>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</si>
  <si>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</si>
  <si>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</si>
  <si>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</si>
  <si>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</si>
  <si>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</si>
  <si>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</si>
  <si>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</si>
  <si>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</si>
  <si>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</si>
  <si>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</si>
  <si>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</si>
  <si>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</si>
  <si>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</si>
  <si>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</si>
  <si>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</si>
  <si>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</si>
  <si>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</si>
  <si>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</si>
  <si>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</si>
  <si>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</si>
  <si>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</si>
  <si>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</si>
  <si>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</si>
  <si>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</si>
  <si>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</si>
  <si>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</si>
  <si>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</si>
  <si>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</si>
  <si>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</si>
  <si>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</si>
  <si>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</si>
  <si>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</si>
  <si>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</si>
  <si>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</si>
  <si>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</si>
  <si>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</si>
  <si>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</si>
  <si>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</si>
  <si>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</si>
  <si>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</si>
  <si>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</si>
  <si>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</si>
  <si>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</si>
  <si>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</si>
  <si>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</si>
  <si>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</si>
  <si>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</si>
  <si>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</si>
  <si>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</si>
  <si>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</si>
  <si>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</si>
  <si>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</si>
  <si>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</si>
  <si>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</si>
  <si>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</si>
  <si>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</si>
  <si>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</si>
  <si>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</si>
  <si>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</si>
  <si>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</si>
  <si>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</si>
  <si>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</si>
  <si>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</si>
  <si>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</si>
  <si>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</si>
  <si>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</si>
  <si>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</si>
  <si>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</si>
  <si>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</si>
  <si>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</si>
  <si>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</si>
  <si>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</si>
  <si>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</si>
  <si>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</si>
  <si>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</si>
  <si>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</si>
  <si>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</si>
  <si>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</si>
  <si>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</si>
  <si>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</si>
  <si>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</si>
  <si>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</si>
  <si>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</si>
  <si>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</si>
  <si>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</si>
  <si>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</si>
  <si>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</si>
  <si>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</si>
  <si>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</si>
  <si>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</si>
  <si>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</si>
  <si>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</si>
  <si>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</si>
  <si>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</si>
  <si>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</si>
  <si>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</si>
  <si>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</si>
  <si>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</si>
  <si>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</si>
  <si>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</si>
  <si>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</si>
  <si>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</si>
  <si>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</si>
  <si>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</si>
  <si>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</si>
  <si>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</si>
  <si>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</si>
  <si>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</si>
  <si>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</si>
  <si>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</si>
  <si>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</si>
  <si>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</si>
  <si>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</si>
  <si>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</si>
  <si>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</si>
  <si>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</si>
  <si>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</si>
  <si>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</si>
  <si>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</si>
  <si>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</si>
  <si>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</si>
  <si>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</si>
  <si>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</si>
  <si>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</si>
  <si>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</si>
  <si>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</si>
  <si>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</si>
  <si>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</si>
  <si>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</si>
  <si>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</si>
  <si>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</si>
  <si>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</si>
  <si>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</si>
  <si>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</si>
  <si>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</si>
  <si>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</si>
  <si>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</si>
  <si>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</si>
  <si>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</si>
  <si>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</si>
  <si>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</si>
  <si>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</si>
  <si>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</si>
  <si>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</si>
  <si>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</si>
  <si>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</si>
  <si>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</si>
  <si>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</si>
  <si>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</si>
  <si>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</si>
  <si>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</si>
  <si>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</si>
  <si>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</si>
  <si>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</si>
  <si>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</si>
  <si>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</si>
  <si>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</si>
  <si>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</si>
  <si>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</si>
  <si>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</si>
  <si>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</si>
  <si>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</si>
  <si>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</si>
  <si>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</si>
  <si>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</si>
  <si>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</si>
  <si>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</si>
  <si>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</si>
  <si>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</si>
  <si>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</si>
  <si>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</si>
  <si>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</si>
  <si>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</si>
  <si>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</si>
  <si>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</si>
  <si>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</si>
  <si>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</si>
  <si>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</si>
  <si>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</si>
  <si>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</si>
  <si>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</si>
  <si>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</si>
  <si>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</si>
  <si>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</si>
  <si>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</si>
  <si>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</si>
  <si>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</si>
  <si>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</si>
  <si>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</si>
  <si>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</si>
  <si>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</si>
  <si>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</si>
  <si>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</si>
  <si>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</si>
  <si>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</si>
  <si>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</si>
  <si>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</si>
  <si>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</si>
  <si>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</si>
  <si>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</si>
  <si>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</si>
  <si>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</si>
  <si>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</si>
  <si>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</si>
  <si>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</si>
  <si>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</si>
  <si>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</si>
  <si>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</si>
  <si>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</si>
  <si>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</si>
  <si>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</si>
  <si>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</si>
  <si>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</si>
  <si>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</si>
  <si>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</si>
  <si>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</si>
  <si>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</si>
  <si>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</si>
  <si>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</si>
  <si>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</si>
  <si>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</si>
  <si>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</si>
  <si>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</si>
  <si>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</si>
  <si>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</si>
  <si>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</si>
  <si>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</si>
  <si>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</si>
  <si>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</si>
  <si>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</si>
  <si>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</si>
  <si>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</si>
  <si>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</si>
  <si>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</si>
  <si>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</si>
  <si>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</si>
  <si>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</si>
  <si>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</si>
  <si>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</si>
  <si>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</si>
  <si>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</si>
  <si>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</si>
  <si>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</si>
  <si>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</si>
  <si>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</si>
  <si>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</si>
  <si>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</si>
  <si>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</si>
  <si>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</si>
  <si>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</si>
  <si>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</si>
  <si>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</si>
  <si>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</si>
  <si>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</si>
  <si>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</si>
  <si>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</si>
  <si>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</si>
  <si>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</si>
  <si>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</si>
  <si>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</si>
  <si>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</si>
  <si>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</si>
  <si>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</si>
  <si>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</si>
  <si>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</si>
  <si>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</si>
  <si>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</si>
  <si>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</si>
  <si>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</si>
  <si>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</si>
  <si>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</si>
  <si>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</si>
  <si>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</si>
  <si>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</si>
  <si>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</si>
  <si>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</si>
  <si>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</si>
  <si>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</si>
  <si>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</si>
  <si>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</si>
  <si>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</si>
  <si>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</si>
  <si>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</si>
  <si>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</si>
  <si>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</si>
  <si>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</si>
  <si>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</si>
  <si>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</si>
  <si>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</si>
  <si>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</si>
  <si>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</si>
  <si>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</si>
  <si>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</si>
  <si>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</si>
  <si>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</si>
  <si>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</si>
  <si>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</si>
  <si>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</si>
  <si>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</si>
  <si>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</si>
  <si>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</si>
  <si>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</si>
  <si>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</si>
  <si>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</si>
  <si>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</si>
  <si>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</si>
  <si>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</si>
  <si>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</si>
  <si>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</si>
  <si>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</si>
  <si>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</si>
  <si>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</si>
  <si>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</si>
  <si>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</si>
  <si>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</si>
  <si>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</si>
  <si>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</si>
  <si>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</si>
  <si>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</si>
  <si>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</si>
  <si>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</si>
  <si>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</si>
  <si>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</si>
  <si>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</si>
  <si>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</si>
  <si>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</si>
  <si>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</si>
  <si>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</si>
  <si>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</si>
  <si>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</si>
  <si>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</si>
  <si>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</si>
  <si>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</si>
  <si>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</si>
  <si>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</si>
  <si>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</si>
  <si>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</si>
  <si>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</si>
  <si>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</si>
  <si>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</si>
  <si>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</si>
  <si>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</si>
  <si>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</si>
  <si>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</si>
  <si>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</si>
  <si>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</si>
  <si>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</si>
  <si>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</si>
  <si>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</si>
  <si>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</si>
  <si>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</si>
  <si>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</si>
  <si>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</si>
  <si>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</si>
  <si>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</si>
  <si>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</si>
  <si>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</si>
  <si>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</si>
  <si>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</si>
  <si>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</si>
  <si>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</si>
  <si>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</si>
  <si>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</si>
  <si>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</si>
  <si>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</si>
  <si>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</si>
  <si>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</si>
  <si>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</si>
  <si>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</si>
  <si>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</si>
  <si>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</si>
  <si>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</si>
  <si>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</si>
  <si>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</si>
  <si>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</si>
  <si>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</si>
  <si>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</si>
  <si>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</si>
  <si>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</si>
  <si>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</si>
  <si>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</si>
  <si>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</si>
  <si>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</si>
  <si>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</si>
  <si>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</si>
  <si>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</si>
  <si>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</si>
  <si>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</si>
  <si>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</si>
  <si>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</si>
  <si>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</si>
  <si>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</si>
  <si>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</si>
  <si>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</si>
  <si>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</si>
  <si>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</si>
  <si>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</si>
  <si>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</si>
  <si>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</si>
  <si>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</si>
  <si>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</si>
  <si>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</si>
  <si>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</si>
  <si>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</si>
  <si>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</si>
  <si>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</si>
  <si>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</si>
  <si>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</si>
  <si>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</si>
  <si>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</si>
  <si>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</si>
  <si>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</si>
  <si>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</si>
  <si>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</si>
  <si>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</si>
  <si>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</si>
  <si>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</si>
  <si>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</si>
  <si>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</si>
  <si>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</si>
  <si>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</si>
  <si>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</si>
  <si>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</si>
  <si>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</si>
  <si>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</si>
  <si>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</si>
  <si>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</si>
  <si>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</si>
  <si>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</si>
  <si>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</si>
  <si>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</si>
  <si>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</si>
  <si>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</si>
  <si>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</si>
  <si>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</si>
  <si>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</si>
  <si>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</si>
  <si>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</si>
  <si>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</si>
  <si>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</si>
  <si>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</si>
  <si>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</si>
  <si>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</si>
  <si>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</si>
  <si>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</si>
  <si>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</si>
  <si>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</si>
  <si>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</si>
  <si>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</si>
  <si>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</si>
  <si>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</si>
  <si>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</si>
  <si>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</si>
  <si>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</si>
  <si>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</si>
  <si>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</si>
  <si>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</si>
  <si>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</si>
  <si>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</si>
  <si>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</si>
  <si>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</si>
  <si>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</si>
  <si>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</si>
  <si>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</si>
  <si>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</si>
  <si>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</si>
  <si>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</si>
  <si>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</si>
  <si>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</si>
  <si>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</si>
  <si>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</si>
  <si>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</si>
  <si>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</si>
  <si>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</si>
  <si>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</si>
  <si>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</si>
  <si>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</si>
  <si>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</si>
  <si>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</si>
  <si>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</si>
  <si>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</si>
  <si>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</si>
  <si>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</si>
  <si>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</si>
  <si>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</si>
  <si>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</si>
  <si>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</si>
  <si>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</si>
  <si>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</si>
  <si>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</si>
  <si>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</si>
  <si>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</si>
  <si>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</si>
  <si>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</si>
  <si>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</si>
  <si>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</si>
  <si>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</si>
  <si>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</si>
  <si>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</si>
  <si>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</si>
  <si>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</si>
  <si>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</si>
  <si>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</si>
  <si>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</si>
  <si>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</si>
  <si>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</si>
  <si>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</si>
  <si>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</si>
  <si>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</si>
  <si>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</si>
  <si>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</si>
  <si>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</si>
  <si>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</si>
  <si>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</si>
  <si>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</si>
  <si>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</si>
  <si>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</si>
  <si>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</si>
  <si>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</si>
  <si>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</si>
  <si>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</si>
  <si>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</si>
  <si>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</si>
  <si>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</si>
  <si>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</si>
  <si>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</si>
  <si>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</si>
  <si>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</si>
  <si>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</si>
  <si>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</si>
  <si>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</si>
  <si>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</si>
  <si>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</si>
  <si>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</si>
  <si>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</si>
  <si>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</si>
  <si>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</si>
  <si>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</si>
  <si>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</si>
  <si>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</si>
  <si>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</si>
  <si>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</si>
  <si>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</si>
  <si>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</si>
  <si>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</si>
  <si>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</si>
  <si>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</si>
  <si>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</si>
  <si>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</si>
  <si>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</si>
  <si>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</si>
  <si>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</si>
  <si>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</si>
  <si>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</si>
  <si>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</si>
  <si>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</si>
  <si>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</si>
  <si>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</si>
  <si>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</si>
  <si>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</si>
  <si>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</si>
  <si>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</si>
  <si>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</si>
  <si>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</si>
  <si>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</si>
  <si>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</si>
  <si>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</si>
  <si>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</si>
  <si>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</si>
  <si>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</si>
  <si>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</si>
  <si>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</si>
  <si>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</si>
  <si>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</si>
  <si>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</si>
  <si>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</si>
  <si>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</si>
  <si>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</si>
  <si>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</si>
  <si>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</si>
  <si>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</si>
  <si>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</si>
  <si>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</si>
  <si>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</si>
  <si>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</si>
  <si>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</si>
  <si>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</si>
  <si>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</si>
  <si>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</si>
  <si>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</si>
  <si>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</si>
  <si>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</si>
  <si>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</si>
  <si>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</si>
  <si>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</si>
  <si>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</si>
  <si>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</si>
  <si>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</si>
  <si>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</si>
  <si>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</si>
  <si>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</si>
  <si>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</si>
  <si>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</si>
  <si>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</si>
  <si>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</si>
  <si>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</si>
  <si>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</si>
  <si>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</si>
  <si>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</si>
  <si>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</si>
  <si>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</si>
  <si>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</si>
  <si>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</si>
  <si>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</si>
  <si>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</si>
  <si>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</si>
  <si>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</si>
  <si>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</si>
  <si>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</si>
  <si>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</si>
  <si>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</si>
  <si>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</si>
  <si>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</si>
  <si>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</si>
  <si>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</si>
  <si>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</si>
  <si>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</si>
  <si>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</si>
  <si>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</si>
  <si>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</si>
  <si>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</si>
  <si>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</si>
  <si>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</si>
  <si>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</si>
  <si>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</si>
  <si>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</si>
  <si>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</si>
  <si>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</si>
  <si>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</si>
  <si>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</si>
  <si>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</si>
  <si>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</si>
  <si>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</si>
  <si>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</si>
  <si>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</si>
  <si>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</si>
  <si>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</si>
  <si>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</si>
  <si>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</si>
  <si>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</si>
  <si>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</si>
  <si>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</si>
  <si>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</si>
  <si>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</si>
  <si>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</si>
  <si>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</si>
  <si>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</si>
  <si>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</si>
  <si>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</si>
  <si>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</si>
  <si>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</si>
  <si>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</si>
  <si>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</si>
  <si>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</si>
  <si>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</si>
  <si>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</si>
  <si>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</si>
  <si>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</si>
  <si>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</si>
  <si>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</si>
  <si>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</si>
  <si>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</si>
  <si>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</si>
  <si>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</si>
  <si>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</si>
  <si>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</si>
  <si>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</si>
  <si>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</si>
  <si>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</si>
  <si>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</si>
  <si>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</si>
  <si>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</si>
  <si>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</si>
  <si>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</si>
  <si>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</si>
  <si>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</si>
  <si>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</si>
  <si>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</si>
  <si>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</si>
  <si>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</si>
  <si>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</si>
  <si>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</si>
  <si>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</si>
  <si>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</si>
  <si>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</si>
  <si>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</si>
  <si>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</si>
  <si>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</si>
  <si>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</si>
  <si>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</si>
  <si>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</si>
  <si>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</si>
  <si>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</si>
  <si>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</si>
  <si>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</si>
  <si>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</si>
  <si>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</si>
  <si>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</si>
  <si>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</si>
  <si>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</si>
  <si>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</si>
  <si>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</si>
  <si>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</si>
  <si>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</si>
  <si>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</si>
  <si>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</si>
  <si>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</si>
  <si>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</si>
  <si>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</si>
  <si>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</si>
  <si>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</si>
  <si>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</si>
  <si>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</si>
  <si>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</si>
  <si>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</si>
  <si>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</si>
  <si>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</si>
  <si>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</si>
  <si>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</si>
  <si>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</si>
  <si>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</si>
  <si>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</si>
  <si>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</si>
  <si>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</si>
  <si>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</si>
  <si>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</si>
  <si>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</si>
  <si>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</si>
  <si>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</si>
  <si>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</si>
  <si>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</si>
  <si>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</si>
  <si>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</si>
  <si>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</si>
  <si>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</si>
  <si>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</si>
  <si>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</si>
  <si>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</si>
  <si>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</si>
  <si>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</si>
  <si>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</si>
  <si>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</si>
  <si>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</si>
  <si>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</si>
  <si>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</si>
  <si>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</si>
  <si>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</si>
  <si>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</si>
  <si>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</si>
  <si>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</si>
  <si>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</si>
  <si>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</si>
  <si>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</si>
  <si>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</si>
  <si>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</si>
  <si>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</si>
  <si>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</si>
  <si>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</si>
  <si>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</si>
  <si>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</si>
  <si>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</si>
  <si>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</si>
  <si>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</si>
  <si>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</si>
  <si>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</si>
  <si>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</si>
  <si>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</si>
  <si>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</si>
  <si>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</si>
  <si>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</si>
  <si>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</si>
  <si>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</si>
  <si>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</si>
  <si>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</si>
  <si>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</si>
  <si>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</si>
  <si>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</si>
  <si>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</si>
  <si>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</si>
  <si>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</si>
  <si>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</si>
  <si>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</si>
  <si>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</si>
  <si>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</si>
  <si>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</si>
  <si>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</si>
  <si>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</si>
  <si>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</si>
  <si>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</si>
  <si>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</si>
  <si>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</si>
  <si>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</si>
  <si>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</si>
  <si>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</si>
  <si>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</si>
  <si>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</si>
  <si>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</si>
  <si>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</si>
  <si>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</si>
  <si>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</si>
  <si>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</si>
  <si>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</si>
  <si>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</si>
  <si>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</si>
  <si>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</si>
  <si>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</si>
  <si>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</si>
  <si>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</si>
  <si>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</si>
  <si>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</si>
  <si>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</si>
  <si>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</si>
  <si>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</si>
  <si>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</si>
  <si>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</si>
  <si>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</si>
  <si>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</si>
  <si>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</si>
  <si>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</si>
  <si>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</si>
  <si>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</si>
  <si>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</si>
  <si>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</si>
  <si>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</si>
  <si>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</si>
  <si>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</si>
  <si>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</si>
  <si>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</si>
  <si>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</si>
  <si>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</si>
  <si>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</si>
  <si>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</si>
  <si>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</si>
  <si>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</si>
  <si>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</si>
  <si>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</si>
  <si>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</si>
  <si>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</si>
  <si>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</si>
  <si>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</si>
  <si>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</si>
  <si>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</si>
  <si>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</si>
  <si>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</si>
  <si>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</si>
  <si>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</si>
  <si>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</si>
  <si>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</si>
  <si>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</si>
  <si>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</si>
  <si>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</si>
  <si>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</si>
  <si>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</si>
  <si>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</si>
  <si>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</si>
  <si>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</si>
  <si>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</si>
  <si>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</si>
  <si>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</si>
  <si>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</si>
  <si>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</si>
  <si>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</si>
  <si>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</si>
  <si>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</si>
  <si>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</si>
  <si>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</si>
  <si>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</si>
  <si>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</si>
  <si>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</si>
  <si>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</si>
  <si>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</si>
  <si>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</si>
  <si>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</si>
  <si>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</si>
  <si>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</si>
  <si>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</si>
  <si>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</si>
  <si>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</si>
  <si>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</si>
  <si>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</si>
  <si>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</si>
  <si>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</si>
  <si>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</si>
  <si>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</si>
  <si>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</si>
  <si>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</si>
  <si>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</si>
  <si>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</si>
  <si>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</si>
  <si>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</si>
  <si>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</si>
  <si>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</si>
  <si>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</si>
  <si>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</si>
  <si>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</si>
  <si>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</si>
  <si>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</si>
  <si>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</si>
  <si>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</si>
  <si>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</si>
  <si>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</si>
  <si>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</si>
  <si>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</si>
  <si>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</si>
  <si>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</si>
  <si>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</si>
  <si>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</si>
  <si>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</si>
  <si>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</si>
  <si>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</si>
  <si>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</si>
  <si>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</si>
  <si>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</si>
  <si>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</si>
  <si>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</si>
  <si>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</si>
  <si>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</si>
  <si>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</si>
  <si>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</si>
  <si>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</si>
  <si>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</si>
  <si>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</si>
  <si>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</si>
  <si>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</si>
  <si>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</si>
  <si>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</si>
  <si>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</si>
  <si>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</si>
  <si>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</si>
  <si>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</si>
  <si>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</si>
  <si>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</si>
  <si>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</si>
  <si>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</si>
  <si>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</si>
  <si>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</si>
  <si>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</si>
  <si>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</si>
  <si>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</si>
  <si>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</si>
  <si>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</si>
  <si>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</si>
  <si>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</si>
  <si>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</si>
  <si>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</si>
  <si>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</si>
  <si>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</si>
  <si>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</si>
  <si>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</si>
  <si>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</si>
  <si>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</si>
  <si>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</si>
  <si>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</si>
  <si>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</si>
  <si>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</si>
  <si>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</si>
  <si>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</si>
  <si>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</si>
  <si>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</si>
  <si>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</si>
  <si>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</si>
  <si>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</si>
  <si>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</si>
  <si>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</si>
  <si>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</si>
  <si>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</si>
  <si>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</si>
  <si>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</si>
  <si>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</si>
  <si>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</si>
  <si>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</si>
  <si>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</si>
  <si>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</si>
  <si>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</si>
  <si>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</si>
  <si>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</si>
  <si>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</si>
  <si>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</si>
  <si>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</si>
  <si>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</si>
  <si>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</si>
  <si>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</si>
  <si>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</si>
  <si>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</si>
  <si>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</si>
  <si>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</si>
  <si>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</si>
  <si>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</si>
  <si>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</si>
  <si>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</si>
  <si>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</si>
  <si>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</si>
  <si>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</si>
  <si>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</si>
  <si>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</si>
  <si>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</si>
  <si>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</si>
  <si>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</si>
  <si>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</si>
  <si>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</si>
  <si>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</si>
  <si>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</si>
  <si>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</si>
  <si>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</si>
  <si>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</si>
  <si>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</si>
  <si>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</si>
  <si>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</si>
  <si>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</si>
  <si>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</si>
  <si>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</si>
  <si>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</si>
  <si>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</si>
  <si>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</si>
  <si>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</si>
  <si>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</si>
  <si>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</si>
  <si>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</si>
  <si>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</si>
  <si>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</si>
  <si>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</si>
  <si>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</si>
  <si>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</si>
  <si>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</si>
  <si>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</si>
  <si>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</si>
  <si>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</si>
  <si>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</si>
  <si>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</si>
  <si>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</si>
  <si>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</si>
  <si>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</si>
  <si>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</si>
  <si>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</si>
  <si>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</si>
  <si>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</si>
  <si>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</si>
  <si>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</si>
  <si>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</si>
  <si>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</si>
  <si>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</si>
  <si>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</si>
  <si>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</si>
  <si>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</si>
  <si>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</si>
  <si>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</si>
  <si>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</si>
  <si>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</si>
  <si>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</si>
  <si>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</si>
  <si>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</si>
  <si>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</si>
  <si>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</si>
  <si>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</si>
  <si>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</si>
  <si>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</si>
  <si>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</si>
  <si>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</si>
  <si>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</si>
  <si>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</si>
  <si>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</si>
  <si>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</si>
  <si>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</si>
  <si>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</si>
  <si>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</si>
  <si>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</si>
  <si>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</si>
  <si>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</si>
  <si>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</si>
  <si>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</si>
  <si>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</si>
  <si>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</si>
  <si>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</si>
  <si>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</si>
  <si>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</si>
  <si>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</si>
  <si>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</si>
  <si>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</si>
  <si>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</si>
  <si>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</si>
  <si>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</si>
  <si>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</si>
  <si>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</si>
  <si>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</si>
  <si>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</si>
  <si>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</si>
  <si>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</si>
  <si>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</si>
  <si>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</si>
  <si>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</si>
  <si>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</si>
  <si>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</si>
  <si>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</si>
  <si>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</si>
  <si>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</si>
  <si>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</si>
  <si>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</si>
  <si>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</si>
  <si>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</si>
  <si>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</si>
  <si>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</si>
  <si>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</si>
  <si>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</si>
  <si>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</si>
  <si>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</si>
  <si>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</si>
  <si>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</si>
  <si>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</si>
  <si>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</si>
  <si>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</si>
  <si>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</si>
  <si>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</si>
  <si>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</si>
  <si>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</si>
  <si>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</si>
  <si>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</si>
  <si>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</si>
  <si>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</si>
  <si>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</si>
  <si>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</si>
  <si>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</si>
  <si>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</si>
  <si>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</si>
  <si>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</si>
  <si>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</si>
  <si>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</si>
  <si>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</si>
  <si>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</si>
  <si>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</si>
  <si>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</si>
  <si>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</si>
  <si>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</si>
  <si>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</si>
  <si>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</si>
  <si>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</si>
  <si>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</si>
  <si>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</si>
  <si>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</si>
  <si>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</si>
  <si>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</si>
  <si>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</si>
  <si>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</si>
  <si>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</si>
  <si>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</si>
  <si>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</si>
  <si>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</si>
  <si>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</si>
  <si>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</si>
  <si>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</si>
  <si>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</si>
  <si>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</si>
  <si>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</si>
  <si>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</si>
  <si>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</si>
  <si>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</si>
  <si>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</si>
  <si>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</si>
  <si>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</si>
  <si>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</si>
  <si>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</si>
  <si>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</si>
  <si>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</si>
  <si>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</si>
  <si>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</si>
  <si>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</si>
  <si>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</si>
  <si>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</si>
  <si>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</si>
  <si>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</si>
  <si>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</si>
  <si>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</si>
  <si>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</si>
  <si>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</si>
  <si>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</si>
  <si>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</si>
  <si>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</si>
  <si>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</si>
  <si>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</si>
  <si>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</si>
  <si>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</si>
  <si>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</si>
  <si>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</si>
  <si>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</si>
  <si>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</si>
  <si>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</si>
  <si>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</si>
  <si>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</si>
  <si>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</si>
  <si>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</si>
  <si>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</si>
  <si>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</si>
  <si>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</si>
  <si>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</si>
  <si>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</si>
  <si>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</si>
  <si>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</si>
  <si>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</si>
  <si>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</si>
  <si>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</si>
  <si>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</si>
  <si>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</si>
  <si>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</si>
  <si>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</si>
  <si>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</si>
  <si>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</si>
  <si>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</si>
  <si>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</si>
  <si>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</si>
  <si>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</si>
  <si>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</si>
  <si>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</si>
  <si>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</si>
  <si>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</si>
  <si>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</si>
  <si>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</si>
  <si>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</si>
  <si>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</si>
  <si>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</si>
  <si>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</si>
  <si>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</si>
  <si>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</si>
  <si>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</si>
  <si>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</si>
  <si>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</si>
  <si>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</si>
  <si>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</si>
  <si>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</si>
  <si>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</si>
  <si>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</si>
  <si>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</si>
  <si>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</si>
  <si>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</si>
  <si>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</si>
  <si>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</si>
  <si>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</si>
  <si>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</si>
  <si>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</si>
  <si>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</si>
  <si>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</si>
  <si>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</si>
  <si>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</si>
  <si>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</si>
  <si>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</si>
  <si>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</si>
  <si>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</si>
  <si>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</si>
  <si>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</si>
  <si>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</si>
  <si>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</si>
  <si>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</si>
  <si>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</si>
  <si>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</si>
  <si>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</si>
  <si>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</si>
  <si>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</si>
  <si>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</si>
  <si>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</si>
  <si>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</si>
  <si>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</si>
  <si>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</si>
  <si>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</si>
  <si>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</si>
  <si>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</si>
  <si>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</si>
  <si>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</si>
  <si>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</si>
  <si>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</si>
  <si>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</si>
  <si>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</si>
  <si>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</si>
  <si>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</si>
  <si>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</si>
  <si>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</si>
  <si>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</si>
  <si>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</si>
  <si>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</si>
  <si>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</si>
  <si>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</si>
  <si>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</si>
  <si>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</si>
  <si>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</si>
  <si>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</si>
  <si>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</si>
  <si>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</si>
  <si>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</si>
  <si>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</si>
  <si>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</si>
  <si>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</si>
  <si>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</si>
  <si>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</si>
  <si>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</si>
  <si>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</si>
  <si>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</si>
  <si>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</si>
  <si>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</si>
  <si>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</si>
  <si>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</si>
  <si>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</si>
  <si>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</si>
  <si>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</si>
  <si>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</si>
  <si>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</si>
  <si>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</si>
  <si>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</si>
  <si>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</si>
  <si>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</si>
  <si>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</si>
  <si>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</si>
  <si>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</si>
  <si>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</si>
  <si>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</si>
  <si>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</si>
  <si>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</si>
  <si>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</si>
  <si>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</si>
  <si>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</si>
  <si>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</si>
  <si>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</si>
  <si>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</si>
  <si>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</si>
  <si>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</si>
  <si>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</si>
  <si>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</si>
  <si>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</si>
  <si>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</si>
  <si>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</si>
  <si>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</si>
  <si>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</si>
  <si>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</si>
  <si>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</si>
  <si>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</si>
  <si>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</si>
  <si>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</si>
  <si>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</si>
  <si>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</si>
  <si>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</si>
  <si>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</si>
  <si>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</si>
  <si>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</si>
  <si>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</si>
  <si>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</si>
  <si>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</si>
  <si>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</si>
  <si>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</si>
  <si>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</si>
  <si>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</si>
  <si>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</si>
  <si>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</si>
  <si>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</si>
  <si>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</si>
  <si>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</si>
  <si>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</si>
  <si>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</si>
  <si>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</si>
  <si>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</si>
  <si>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</si>
  <si>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</si>
  <si>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</si>
  <si>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</si>
  <si>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</si>
  <si>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</si>
  <si>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</si>
  <si>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</si>
  <si>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</si>
  <si>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</si>
  <si>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</si>
  <si>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</si>
  <si>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</si>
  <si>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</si>
  <si>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</si>
  <si>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</si>
  <si>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</si>
  <si>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</si>
  <si>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</si>
  <si>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</si>
  <si>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</si>
  <si>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</si>
  <si>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</si>
  <si>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</si>
  <si>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</si>
  <si>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</si>
  <si>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</si>
  <si>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</si>
  <si>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</si>
  <si>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</si>
  <si>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</si>
  <si>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</si>
  <si>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</si>
  <si>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</si>
  <si>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</si>
  <si>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</si>
  <si>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</si>
  <si>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</si>
  <si>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</si>
  <si>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</si>
  <si>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</si>
  <si>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</si>
  <si>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</si>
  <si>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</si>
  <si>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</si>
  <si>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</si>
  <si>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</si>
  <si>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</si>
  <si>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</si>
  <si>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</si>
  <si>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</si>
  <si>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</si>
  <si>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</si>
  <si>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</si>
  <si>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</si>
  <si>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</si>
  <si>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</si>
  <si>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</si>
  <si>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</si>
  <si>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</si>
  <si>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</si>
  <si>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</si>
  <si>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</si>
  <si>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</si>
  <si>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</si>
  <si>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</si>
  <si>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</si>
  <si>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</si>
  <si>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</si>
  <si>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</si>
  <si>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</si>
  <si>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</si>
  <si>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</si>
  <si>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</si>
  <si>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</si>
  <si>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</si>
  <si>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</si>
  <si>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</si>
  <si>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</si>
  <si>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</si>
  <si>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</si>
  <si>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</si>
  <si>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</si>
  <si>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</si>
  <si>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</si>
  <si>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</si>
  <si>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</si>
  <si>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</si>
  <si>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</si>
  <si>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</si>
  <si>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</si>
  <si>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</si>
  <si>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</si>
  <si>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</si>
  <si>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</si>
  <si>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</si>
  <si>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</si>
  <si>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</si>
  <si>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</si>
  <si>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</si>
  <si>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</si>
  <si>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</si>
  <si>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</si>
  <si>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</si>
  <si>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</si>
  <si>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</si>
  <si>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</si>
  <si>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</si>
  <si>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</si>
  <si>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</si>
  <si>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</si>
  <si>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</si>
  <si>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</si>
  <si>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</si>
  <si>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</si>
  <si>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</si>
  <si>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</si>
  <si>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</si>
  <si>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</si>
  <si>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</si>
  <si>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</si>
  <si>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</si>
  <si>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</si>
  <si>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</si>
  <si>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</si>
  <si>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</si>
  <si>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</si>
  <si>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</si>
  <si>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</si>
  <si>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</si>
  <si>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</si>
  <si>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</si>
  <si>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</si>
  <si>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</si>
  <si>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</si>
  <si>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</si>
  <si>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</si>
  <si>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</si>
  <si>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</si>
  <si>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</si>
  <si>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</si>
  <si>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</si>
  <si>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</si>
  <si>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</si>
  <si>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</si>
  <si>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</si>
  <si>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</si>
  <si>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</si>
  <si>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</si>
  <si>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</si>
  <si>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</si>
  <si>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</si>
  <si>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</si>
  <si>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</si>
  <si>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</si>
  <si>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</si>
  <si>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</si>
  <si>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</si>
  <si>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</si>
  <si>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</si>
  <si>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</si>
  <si>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</si>
  <si>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</si>
  <si>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</si>
  <si>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</si>
  <si>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</si>
  <si>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</si>
  <si>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</si>
  <si>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</si>
  <si>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</si>
  <si>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</si>
  <si>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</si>
  <si>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</si>
  <si>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</si>
  <si>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</si>
  <si>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</si>
  <si>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</si>
  <si>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</si>
  <si>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</si>
  <si>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</si>
  <si>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</si>
  <si>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</si>
  <si>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</si>
  <si>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</si>
  <si>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</si>
  <si>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</si>
  <si>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</si>
  <si>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</si>
  <si>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</si>
  <si>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</si>
  <si>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</si>
  <si>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</si>
  <si>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</si>
  <si>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</si>
  <si>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</si>
  <si>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</si>
  <si>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</si>
  <si>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</si>
  <si>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</si>
  <si>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</si>
  <si>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</si>
  <si>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</si>
  <si>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</si>
  <si>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</si>
  <si>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</si>
  <si>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</si>
  <si>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</si>
  <si>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</si>
  <si>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</si>
  <si>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</si>
  <si>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</si>
  <si>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</si>
  <si>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</si>
  <si>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</si>
  <si>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</si>
  <si>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</si>
  <si>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</si>
  <si>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</si>
  <si>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</si>
  <si>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</si>
  <si>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</si>
  <si>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</si>
  <si>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</si>
  <si>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</si>
  <si>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</si>
  <si>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</si>
  <si>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</si>
  <si>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</si>
  <si>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</si>
  <si>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</si>
  <si>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</si>
  <si>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</si>
  <si>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</si>
  <si>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</si>
  <si>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</si>
  <si>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</si>
  <si>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</si>
  <si>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</si>
  <si>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</si>
  <si>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</si>
  <si>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</si>
  <si>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</si>
  <si>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</si>
  <si>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</si>
  <si>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</si>
  <si>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</si>
  <si>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</si>
  <si>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</si>
  <si>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</si>
  <si>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</si>
  <si>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</si>
  <si>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</si>
  <si>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</si>
  <si>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</si>
  <si>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</si>
  <si>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</si>
  <si>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</si>
  <si>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</si>
  <si>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</si>
  <si>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</si>
  <si>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</si>
  <si>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</si>
  <si>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</si>
  <si>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</si>
  <si>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</si>
  <si>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</si>
  <si>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</si>
  <si>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</si>
  <si>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</si>
  <si>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</si>
  <si>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</si>
  <si>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</si>
  <si>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</si>
  <si>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</si>
  <si>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</si>
  <si>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</si>
  <si>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</si>
  <si>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</si>
  <si>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</si>
  <si>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</si>
  <si>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</si>
  <si>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</si>
  <si>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</si>
  <si>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</si>
  <si>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</si>
  <si>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</si>
  <si>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</si>
  <si>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</si>
  <si>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</si>
  <si>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</si>
  <si>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</si>
  <si>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</si>
  <si>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</si>
  <si>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</si>
  <si>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</si>
  <si>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</si>
  <si>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</si>
  <si>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</si>
  <si>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</si>
  <si>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</si>
  <si>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</si>
  <si>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</si>
  <si>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</si>
  <si>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</si>
  <si>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</si>
  <si>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</si>
  <si>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</si>
  <si>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</si>
  <si>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</si>
  <si>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</si>
  <si>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</si>
  <si>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</si>
  <si>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</si>
  <si>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</si>
  <si>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</si>
  <si>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</si>
  <si>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</si>
  <si>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</si>
  <si>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</si>
  <si>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</si>
  <si>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</si>
  <si>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</si>
  <si>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</si>
  <si>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</si>
  <si>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</si>
  <si>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</si>
  <si>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</si>
  <si>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</si>
  <si>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</si>
  <si>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</si>
  <si>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</si>
  <si>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</si>
  <si>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</si>
  <si>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</si>
  <si>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</si>
  <si>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</si>
  <si>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</si>
  <si>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</si>
  <si>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</si>
  <si>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</si>
  <si>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</si>
  <si>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</si>
  <si>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</si>
  <si>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</si>
  <si>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</si>
  <si>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</si>
  <si>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</si>
  <si>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</si>
  <si>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</si>
  <si>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</si>
  <si>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</si>
  <si>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</si>
  <si>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</si>
  <si>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</si>
  <si>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</si>
  <si>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</si>
  <si>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</si>
  <si>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</si>
  <si>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</si>
  <si>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</si>
  <si>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</si>
  <si>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</si>
  <si>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</si>
  <si>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</si>
  <si>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</si>
  <si>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</si>
  <si>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</si>
  <si>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</si>
  <si>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</si>
  <si>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</si>
  <si>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</si>
  <si>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</si>
  <si>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</si>
  <si>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</si>
  <si>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</si>
  <si>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</si>
  <si>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</si>
  <si>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</si>
  <si>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</si>
  <si>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</si>
  <si>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</si>
  <si>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</si>
  <si>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</si>
  <si>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</si>
  <si>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</si>
  <si>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</si>
  <si>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</si>
  <si>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</si>
  <si>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</si>
  <si>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</si>
  <si>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</si>
  <si>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</si>
  <si>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</si>
  <si>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</si>
  <si>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</si>
  <si>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</si>
  <si>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</si>
  <si>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</si>
  <si>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</si>
  <si>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</si>
  <si>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</si>
  <si>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</si>
  <si>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</si>
  <si>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</si>
  <si>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</si>
  <si>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</si>
  <si>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</si>
  <si>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</si>
  <si>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</si>
  <si>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</si>
  <si>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</si>
  <si>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</si>
  <si>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</si>
  <si>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</si>
  <si>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</si>
  <si>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</si>
  <si>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</si>
  <si>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</si>
  <si>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</si>
  <si>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</si>
  <si>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</si>
  <si>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</si>
  <si>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</si>
  <si>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</si>
  <si>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</si>
  <si>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</si>
  <si>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</si>
  <si>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</si>
  <si>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</si>
  <si>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</si>
  <si>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</si>
  <si>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</si>
  <si>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</si>
  <si>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</si>
  <si>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</si>
  <si>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</si>
  <si>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</si>
  <si>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</si>
  <si>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</si>
  <si>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</si>
  <si>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</si>
  <si>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</si>
  <si>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</si>
  <si>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</si>
  <si>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</si>
  <si>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</si>
  <si>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</si>
  <si>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</si>
  <si>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</si>
  <si>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</si>
  <si>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</si>
  <si>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</si>
  <si>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</si>
  <si>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</si>
  <si>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</si>
  <si>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</si>
  <si>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</si>
  <si>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</si>
  <si>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</si>
  <si>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</si>
  <si>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</si>
  <si>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</si>
  <si>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</si>
  <si>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</si>
  <si>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</si>
  <si>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</si>
  <si>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</si>
  <si>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</si>
  <si>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</si>
  <si>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</si>
  <si>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</si>
  <si>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</si>
  <si>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</si>
  <si>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</si>
  <si>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</si>
  <si>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</si>
  <si>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</si>
  <si>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</si>
  <si>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</si>
  <si>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</si>
  <si>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</si>
  <si>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</si>
  <si>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</si>
  <si>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</si>
  <si>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</si>
  <si>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</si>
  <si>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</si>
  <si>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</si>
  <si>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</si>
  <si>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</si>
  <si>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</si>
  <si>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</si>
  <si>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</si>
  <si>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</si>
  <si>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</si>
  <si>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</si>
  <si>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</si>
  <si>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</si>
  <si>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</si>
  <si>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</si>
  <si>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</si>
  <si>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</si>
  <si>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</si>
  <si>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</si>
  <si>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</si>
  <si>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</si>
  <si>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</si>
  <si>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</si>
  <si>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</si>
  <si>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</si>
  <si>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</si>
  <si>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</si>
  <si>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</si>
  <si>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</si>
  <si>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</si>
  <si>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</si>
  <si>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</si>
  <si>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</si>
  <si>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</si>
  <si>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</si>
  <si>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</si>
  <si>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</si>
  <si>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</si>
  <si>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</si>
  <si>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</si>
  <si>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</si>
  <si>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</si>
  <si>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</si>
  <si>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</si>
  <si>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</si>
  <si>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</si>
  <si>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</si>
  <si>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</si>
  <si>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</si>
  <si>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</si>
  <si>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</si>
  <si>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</si>
  <si>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</si>
  <si>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</si>
  <si>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</si>
  <si>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</si>
  <si>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</si>
  <si>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</si>
  <si>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</si>
  <si>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</si>
  <si>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</si>
  <si>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</si>
  <si>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</si>
  <si>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</si>
  <si>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</si>
  <si>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</si>
  <si>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</si>
  <si>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</si>
  <si>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</si>
  <si>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</si>
  <si>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</si>
  <si>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</si>
  <si>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</si>
  <si>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</si>
  <si>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</si>
  <si>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</si>
  <si>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</si>
  <si>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</si>
  <si>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</si>
  <si>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</si>
  <si>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</si>
  <si>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</si>
  <si>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</si>
  <si>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</si>
  <si>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</si>
  <si>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</si>
  <si>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</si>
  <si>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</si>
  <si>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</si>
  <si>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</si>
  <si>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</si>
  <si>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</si>
  <si>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</si>
  <si>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</si>
  <si>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</si>
  <si>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</si>
  <si>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</si>
  <si>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</si>
  <si>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</si>
  <si>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</si>
  <si>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</si>
  <si>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</si>
  <si>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</si>
  <si>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</si>
  <si>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</si>
  <si>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</si>
  <si>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</si>
  <si>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</si>
  <si>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</si>
  <si>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</si>
  <si>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</si>
  <si>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</si>
  <si>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</si>
  <si>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</si>
  <si>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</si>
  <si>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</si>
  <si>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</si>
  <si>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</si>
  <si>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</si>
  <si>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</si>
  <si>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</si>
  <si>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</si>
  <si>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</si>
  <si>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</si>
  <si>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</si>
  <si>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</si>
  <si>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</si>
  <si>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</si>
  <si>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</si>
  <si>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</si>
  <si>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</si>
  <si>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</si>
  <si>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</si>
  <si>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</si>
  <si>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</si>
  <si>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</si>
  <si>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</si>
  <si>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</si>
  <si>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</si>
  <si>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</si>
  <si>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</si>
  <si>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</si>
  <si>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</si>
  <si>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</si>
  <si>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</si>
  <si>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</si>
  <si>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</si>
  <si>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</si>
  <si>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</si>
  <si>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</si>
  <si>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</si>
  <si>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</si>
  <si>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</si>
  <si>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</si>
  <si>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</si>
  <si>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</si>
  <si>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</si>
  <si>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</si>
  <si>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</si>
  <si>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</si>
  <si>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</si>
  <si>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</si>
  <si>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</si>
  <si>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</si>
  <si>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</si>
  <si>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</si>
  <si>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</si>
  <si>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</si>
  <si>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</si>
  <si>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</si>
  <si>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</si>
  <si>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</si>
  <si>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</si>
  <si>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</si>
  <si>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</si>
  <si>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</si>
  <si>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</si>
  <si>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</si>
  <si>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</si>
  <si>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</si>
  <si>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</si>
  <si>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</si>
  <si>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</si>
  <si>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</si>
  <si>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</si>
  <si>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</si>
  <si>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</si>
  <si>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</si>
  <si>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</si>
  <si>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</si>
  <si>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</si>
  <si>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</si>
  <si>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</si>
  <si>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</si>
  <si>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</si>
  <si>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</si>
  <si>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</si>
  <si>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</si>
  <si>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</si>
  <si>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</si>
  <si>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</si>
  <si>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</si>
  <si>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</si>
  <si>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</si>
  <si>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</si>
  <si>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</si>
  <si>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</si>
  <si>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</si>
  <si>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</si>
  <si>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</si>
  <si>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</si>
  <si>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</si>
  <si>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</si>
  <si>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</si>
  <si>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</si>
  <si>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</si>
  <si>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</si>
  <si>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</si>
  <si>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</si>
  <si>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</si>
  <si>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</si>
  <si>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</si>
  <si>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</si>
  <si>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</si>
  <si>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</si>
  <si>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</si>
  <si>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</si>
  <si>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</si>
  <si>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</si>
  <si>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</si>
  <si>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</si>
  <si>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</si>
  <si>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</si>
  <si>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</si>
  <si>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</si>
  <si>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</si>
  <si>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</si>
  <si>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</si>
  <si>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</si>
  <si>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</si>
  <si>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</si>
  <si>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</si>
  <si>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</si>
  <si>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</si>
  <si>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</si>
  <si>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</si>
  <si>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</si>
  <si>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</si>
  <si>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</si>
  <si>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</si>
  <si>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</si>
  <si>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</si>
  <si>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</si>
  <si>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</si>
  <si>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</si>
  <si>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</si>
  <si>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</si>
  <si>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</si>
  <si>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</si>
  <si>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</si>
  <si>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</si>
  <si>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</si>
  <si>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</si>
  <si>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</si>
  <si>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</si>
  <si>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</si>
  <si>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</si>
  <si>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</si>
  <si>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</si>
  <si>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</si>
  <si>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</si>
  <si>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</si>
  <si>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</si>
  <si>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</si>
  <si>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</si>
  <si>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</si>
  <si>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</si>
  <si>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</si>
  <si>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</si>
  <si>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</si>
  <si>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</si>
  <si>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</si>
  <si>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</si>
  <si>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</si>
  <si>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</si>
  <si>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</si>
  <si>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</si>
  <si>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</si>
  <si>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</si>
  <si>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</si>
  <si>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</si>
  <si>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</si>
  <si>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</si>
  <si>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</si>
  <si>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</si>
  <si>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</si>
  <si>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</si>
  <si>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</si>
  <si>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</si>
  <si>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</si>
  <si>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</si>
  <si>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</si>
  <si>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</si>
  <si>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</si>
  <si>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</si>
  <si>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</si>
  <si>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</si>
  <si>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</si>
  <si>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</si>
  <si>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</si>
  <si>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</si>
  <si>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</si>
  <si>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</si>
  <si>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</si>
  <si>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</si>
  <si>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</si>
  <si>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</si>
  <si>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</si>
  <si>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</si>
  <si>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</si>
  <si>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</si>
  <si>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</si>
  <si>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</si>
  <si>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</si>
  <si>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</si>
  <si>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</si>
  <si>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</si>
  <si>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</si>
  <si>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</si>
  <si>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</si>
  <si>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</si>
  <si>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</si>
  <si>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</si>
  <si>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</si>
  <si>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</si>
  <si>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</si>
  <si>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</si>
  <si>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</si>
  <si>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</si>
  <si>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</si>
  <si>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</si>
  <si>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</si>
  <si>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</si>
  <si>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</si>
  <si>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</si>
  <si>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</si>
  <si>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</si>
  <si>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</si>
  <si>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</si>
  <si>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</si>
  <si>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</si>
  <si>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</si>
  <si>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</si>
  <si>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</si>
  <si>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</si>
  <si>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</si>
  <si>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</si>
  <si>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</si>
  <si>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</si>
  <si>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</si>
  <si>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</si>
  <si>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</si>
  <si>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</si>
  <si>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</si>
  <si>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</si>
  <si>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</si>
  <si>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</si>
  <si>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</si>
  <si>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</si>
  <si>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</si>
  <si>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</si>
  <si>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</si>
  <si>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</si>
  <si>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</si>
  <si>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</si>
  <si>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</si>
  <si>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</si>
  <si>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</si>
  <si>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</si>
  <si>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</si>
  <si>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</si>
  <si>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</si>
  <si>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</si>
  <si>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</si>
  <si>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</si>
  <si>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</si>
  <si>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</si>
  <si>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</si>
  <si>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</si>
  <si>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</si>
  <si>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</si>
  <si>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</si>
  <si>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</si>
  <si>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</si>
  <si>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</si>
  <si>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</si>
  <si>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</si>
  <si>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</si>
  <si>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</si>
  <si>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</si>
  <si>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</si>
  <si>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</si>
  <si>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</si>
  <si>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</si>
  <si>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</si>
  <si>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</si>
  <si>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</si>
  <si>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</si>
  <si>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</si>
  <si>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</si>
  <si>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</si>
  <si>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</si>
  <si>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</si>
  <si>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</si>
  <si>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</si>
  <si>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</si>
  <si>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</si>
  <si>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</si>
  <si>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</si>
  <si>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</si>
  <si>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</si>
  <si>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</si>
  <si>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</si>
  <si>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</si>
  <si>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</si>
  <si>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</si>
  <si>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</si>
  <si>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</si>
  <si>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</si>
  <si>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</si>
  <si>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</si>
  <si>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</si>
  <si>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</si>
  <si>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</si>
  <si>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</si>
  <si>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</si>
  <si>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</si>
  <si>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</si>
  <si>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</si>
  <si>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</si>
  <si>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</si>
  <si>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</si>
  <si>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</si>
  <si>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</si>
  <si>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</si>
  <si>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</si>
  <si>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</si>
  <si>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</si>
  <si>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</si>
  <si>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</si>
  <si>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</si>
  <si>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</si>
  <si>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</si>
  <si>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</si>
  <si>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</si>
  <si>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</si>
  <si>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</si>
  <si>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</si>
  <si>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</si>
  <si>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</si>
  <si>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</si>
  <si>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</si>
  <si>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</si>
  <si>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</si>
  <si>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</si>
  <si>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</si>
  <si>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</si>
  <si>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</si>
  <si>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</si>
  <si>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</si>
  <si>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</si>
  <si>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</si>
  <si>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</si>
  <si>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</si>
  <si>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</si>
  <si>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</si>
  <si>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</si>
  <si>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</si>
  <si>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</si>
  <si>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</si>
  <si>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</si>
  <si>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</si>
  <si>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</si>
  <si>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</si>
  <si>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</si>
  <si>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</si>
  <si>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</si>
  <si>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</si>
  <si>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</si>
  <si>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</si>
  <si>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</si>
  <si>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</si>
  <si>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</si>
  <si>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</si>
  <si>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</si>
  <si>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</si>
  <si>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</si>
  <si>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</si>
  <si>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</si>
  <si>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</si>
  <si>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</si>
  <si>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</si>
  <si>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</si>
  <si>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</si>
  <si>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</si>
  <si>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</si>
  <si>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</si>
  <si>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</si>
  <si>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</si>
  <si>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</si>
  <si>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</si>
  <si>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</si>
  <si>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</si>
  <si>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</si>
  <si>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</si>
  <si>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</si>
  <si>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</si>
  <si>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</si>
  <si>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</si>
  <si>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</si>
  <si>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</si>
  <si>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</si>
  <si>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</si>
  <si>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</si>
  <si>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</si>
  <si>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</si>
  <si>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</si>
  <si>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</si>
  <si>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</si>
  <si>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</si>
  <si>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</si>
  <si>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</si>
  <si>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</si>
  <si>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</si>
  <si>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</si>
  <si>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</si>
  <si>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</si>
  <si>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</si>
  <si>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</si>
  <si>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</si>
  <si>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</si>
  <si>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</si>
  <si>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</si>
  <si>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</si>
  <si>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</si>
  <si>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</si>
  <si>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</si>
  <si>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</si>
  <si>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</si>
  <si>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</si>
  <si>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</si>
  <si>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</si>
  <si>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</si>
  <si>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</si>
  <si>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</si>
  <si>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</si>
  <si>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</si>
  <si>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</si>
  <si>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</si>
  <si>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</si>
  <si>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</si>
  <si>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</si>
  <si>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</si>
  <si>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</si>
  <si>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</si>
  <si>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</si>
  <si>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</si>
  <si>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</si>
  <si>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</si>
  <si>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</si>
  <si>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</si>
  <si>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</si>
  <si>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</si>
  <si>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</si>
  <si>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</si>
  <si>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</si>
  <si>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</si>
  <si>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</si>
  <si>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</si>
  <si>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</si>
  <si>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</si>
  <si>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</si>
  <si>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</si>
  <si>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</si>
  <si>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</si>
  <si>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</si>
  <si>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</si>
  <si>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</si>
  <si>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</si>
  <si>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</si>
  <si>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</si>
  <si>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</si>
  <si>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</si>
  <si>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</si>
  <si>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</si>
  <si>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</si>
  <si>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</si>
  <si>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</si>
  <si>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</si>
  <si>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</si>
  <si>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</si>
  <si>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</si>
  <si>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</si>
  <si>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</si>
  <si>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</si>
  <si>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</si>
  <si>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</si>
  <si>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</si>
  <si>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</si>
  <si>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</si>
  <si>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</si>
  <si>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</si>
  <si>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</si>
  <si>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</si>
  <si>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</si>
  <si>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</si>
  <si>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</si>
  <si>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</si>
  <si>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</si>
  <si>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</si>
  <si>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</si>
  <si>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</si>
  <si>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</si>
  <si>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</si>
  <si>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</si>
  <si>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</si>
  <si>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</si>
  <si>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</si>
  <si>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</si>
  <si>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</si>
  <si>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</si>
  <si>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</si>
  <si>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</si>
  <si>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</si>
  <si>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</si>
  <si>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</si>
  <si>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</si>
  <si>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</si>
  <si>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</si>
  <si>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</si>
  <si>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</si>
  <si>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</si>
  <si>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</si>
  <si>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</si>
  <si>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</si>
  <si>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</si>
  <si>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</si>
  <si>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</si>
  <si>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</si>
  <si>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</si>
  <si>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</si>
  <si>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</si>
  <si>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</si>
  <si>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</si>
  <si>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</si>
  <si>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</si>
  <si>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</si>
  <si>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</si>
  <si>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</si>
  <si>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</si>
  <si>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</si>
  <si>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</si>
  <si>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</si>
  <si>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</si>
  <si>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</si>
  <si>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</si>
  <si>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</si>
  <si>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</si>
  <si>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</si>
  <si>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</si>
  <si>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</si>
  <si>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</si>
  <si>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</si>
  <si>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</si>
  <si>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</si>
  <si>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</si>
  <si>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</si>
  <si>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</si>
  <si>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</si>
  <si>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</si>
  <si>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</si>
  <si>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</si>
  <si>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</si>
  <si>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</si>
  <si>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</si>
  <si>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</si>
  <si>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</si>
  <si>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</si>
  <si>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</si>
  <si>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</si>
  <si>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</si>
  <si>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</si>
  <si>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</si>
  <si>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</si>
  <si>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</si>
  <si>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</si>
  <si>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</si>
  <si>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</si>
  <si>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</si>
  <si>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</si>
  <si>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</si>
  <si>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</si>
  <si>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</si>
  <si>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</si>
  <si>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</si>
  <si>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</si>
  <si>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</si>
  <si>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</si>
  <si>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</si>
  <si>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</si>
  <si>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</si>
  <si>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</si>
  <si>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</si>
  <si>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</si>
  <si>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</si>
  <si>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</si>
  <si>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</si>
  <si>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</si>
  <si>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</si>
  <si>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</si>
  <si>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</si>
  <si>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</si>
  <si>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</si>
  <si>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</si>
  <si>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</si>
  <si>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</si>
  <si>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</si>
  <si>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</si>
  <si>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</si>
  <si>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</si>
  <si>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</si>
  <si>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</si>
  <si>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</si>
  <si>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</si>
  <si>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</si>
  <si>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</si>
  <si>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</si>
  <si>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</si>
  <si>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</si>
  <si>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</si>
  <si>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</si>
  <si>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</si>
  <si>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</si>
  <si>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</si>
  <si>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</si>
  <si>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</si>
  <si>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</si>
  <si>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</si>
  <si>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</si>
  <si>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</si>
  <si>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</si>
  <si>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</si>
  <si>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</si>
  <si>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</si>
  <si>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</si>
  <si>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</si>
  <si>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</si>
  <si>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</si>
  <si>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</si>
  <si>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</si>
  <si>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</si>
  <si>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</si>
  <si>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</si>
  <si>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</si>
  <si>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</si>
  <si>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</si>
  <si>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</si>
  <si>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</si>
  <si>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</si>
  <si>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</si>
  <si>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</si>
  <si>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</si>
  <si>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</si>
  <si>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</si>
  <si>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</si>
  <si>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</si>
  <si>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</si>
  <si>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</si>
  <si>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</si>
  <si>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</si>
  <si>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</si>
  <si>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</si>
  <si>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</si>
  <si>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</si>
  <si>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</si>
  <si>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</si>
  <si>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</si>
  <si>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</si>
  <si>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</si>
  <si>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</si>
  <si>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</si>
  <si>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</si>
  <si>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</si>
  <si>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</si>
  <si>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</si>
  <si>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</si>
  <si>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</si>
  <si>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</si>
  <si>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</si>
  <si>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</si>
  <si>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</si>
  <si>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</si>
  <si>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</si>
  <si>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</si>
  <si>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</si>
  <si>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</si>
  <si>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</si>
  <si>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</si>
  <si>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</si>
  <si>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</si>
  <si>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</si>
  <si>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</si>
  <si>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</si>
  <si>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</si>
  <si>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</si>
  <si>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</si>
  <si>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</si>
  <si>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</si>
  <si>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</si>
  <si>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</si>
  <si>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</si>
  <si>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</si>
  <si>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</si>
  <si>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</si>
  <si>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</si>
  <si>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</si>
  <si>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</si>
  <si>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</si>
  <si>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</si>
  <si>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</si>
  <si>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</si>
  <si>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</si>
  <si>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</si>
  <si>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</si>
  <si>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</si>
  <si>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</si>
  <si>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</si>
  <si>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</si>
  <si>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</si>
  <si>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</si>
  <si>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</si>
  <si>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</si>
  <si>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</si>
  <si>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</si>
  <si>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</si>
  <si>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</si>
  <si>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</si>
  <si>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</si>
  <si>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</si>
  <si>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</si>
  <si>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</si>
  <si>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</si>
  <si>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</si>
  <si>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</si>
  <si>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</si>
  <si>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</si>
  <si>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</si>
  <si>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</si>
  <si>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</si>
  <si>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</si>
  <si>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</si>
  <si>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</si>
  <si>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</si>
  <si>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</si>
  <si>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</si>
  <si>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</si>
  <si>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</si>
  <si>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</si>
  <si>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</si>
  <si>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</si>
  <si>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</si>
  <si>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</si>
  <si>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</si>
  <si>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</si>
  <si>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</si>
  <si>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</si>
  <si>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</si>
  <si>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</si>
  <si>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</si>
  <si>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</si>
  <si>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</si>
  <si>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</si>
  <si>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</si>
  <si>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</si>
  <si>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</si>
  <si>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</si>
  <si>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</si>
  <si>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</si>
  <si>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</si>
  <si>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</si>
  <si>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</si>
  <si>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</si>
  <si>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</si>
  <si>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</si>
  <si>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</si>
  <si>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</si>
  <si>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</si>
  <si>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</si>
  <si>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</si>
  <si>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</si>
  <si>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</si>
  <si>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</si>
  <si>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</si>
  <si>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</si>
  <si>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</si>
  <si>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</si>
  <si>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</si>
  <si>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</si>
  <si>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</si>
  <si>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</si>
  <si>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</si>
  <si>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</si>
  <si>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</si>
  <si>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</si>
  <si>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</si>
  <si>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</si>
  <si>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</si>
  <si>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</si>
  <si>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</si>
  <si>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</si>
  <si>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</si>
  <si>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</si>
  <si>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</si>
  <si>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</si>
  <si>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</si>
  <si>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</si>
  <si>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</si>
  <si>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</si>
  <si>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</si>
  <si>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</si>
  <si>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</si>
  <si>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</si>
  <si>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</si>
  <si>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</si>
  <si>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</si>
  <si>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</si>
  <si>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</si>
  <si>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</si>
  <si>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</si>
  <si>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</si>
  <si>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</si>
  <si>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</si>
  <si>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</si>
  <si>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</si>
  <si>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</si>
  <si>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</si>
  <si>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</si>
  <si>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</si>
  <si>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</si>
  <si>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</si>
  <si>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</si>
  <si>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</si>
  <si>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</si>
  <si>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</si>
  <si>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</si>
  <si>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</si>
  <si>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</si>
  <si>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</si>
  <si>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</si>
  <si>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</si>
  <si>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</si>
  <si>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</si>
  <si>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</si>
  <si>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</si>
  <si>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</si>
  <si>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</si>
  <si>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</si>
  <si>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</si>
  <si>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</si>
  <si>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</si>
  <si>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</si>
  <si>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</si>
  <si>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</si>
  <si>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</si>
  <si>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</si>
  <si>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</si>
  <si>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</si>
  <si>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</si>
  <si>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</si>
  <si>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</si>
  <si>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</si>
  <si>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</si>
  <si>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</si>
  <si>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</si>
  <si>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</si>
  <si>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</si>
  <si>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</si>
  <si>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</si>
  <si>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</si>
  <si>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</si>
  <si>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</si>
  <si>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</si>
  <si>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</si>
  <si>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</si>
  <si>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</si>
  <si>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</si>
  <si>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</si>
  <si>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</si>
  <si>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</si>
  <si>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</si>
  <si>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</si>
  <si>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</si>
  <si>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</si>
  <si>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</si>
  <si>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</si>
  <si>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</si>
  <si>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</si>
  <si>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</si>
  <si>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</si>
  <si>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</si>
  <si>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</si>
  <si>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</si>
  <si>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</si>
  <si>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</si>
  <si>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</si>
  <si>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</si>
  <si>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</si>
  <si>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</si>
  <si>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</si>
  <si>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</si>
  <si>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</si>
  <si>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</si>
  <si>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</si>
  <si>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</si>
  <si>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</si>
  <si>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</si>
  <si>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</si>
  <si>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</si>
  <si>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</si>
  <si>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</si>
  <si>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</si>
  <si>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</si>
  <si>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</si>
  <si>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</si>
  <si>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</si>
  <si>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</si>
  <si>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</si>
  <si>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</si>
  <si>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</si>
  <si>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</si>
  <si>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</si>
  <si>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</si>
  <si>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</si>
  <si>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</si>
  <si>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</si>
  <si>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</si>
  <si>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</si>
  <si>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</si>
  <si>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</si>
  <si>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</si>
  <si>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</si>
  <si>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</si>
  <si>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</si>
  <si>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</si>
  <si>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</si>
  <si>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</si>
  <si>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</si>
  <si>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</si>
  <si>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</si>
  <si>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</si>
  <si>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</si>
  <si>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</si>
  <si>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</si>
  <si>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</si>
  <si>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</si>
  <si>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</si>
  <si>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</si>
  <si>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</si>
  <si>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</si>
  <si>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</si>
  <si>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</si>
  <si>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</si>
  <si>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</si>
  <si>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</si>
  <si>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</si>
  <si>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</si>
  <si>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</si>
  <si>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</si>
  <si>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</si>
  <si>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</si>
  <si>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</si>
  <si>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</si>
  <si>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</si>
  <si>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</si>
  <si>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</si>
  <si>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</si>
  <si>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</si>
  <si>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</si>
  <si>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</si>
  <si>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</si>
  <si>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</si>
  <si>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</si>
  <si>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</si>
  <si>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</si>
  <si>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</si>
  <si>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</si>
  <si>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</si>
  <si>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</si>
  <si>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</si>
  <si>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</si>
  <si>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</si>
  <si>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</si>
  <si>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</si>
  <si>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</si>
  <si>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</si>
  <si>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</si>
  <si>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</si>
  <si>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</si>
  <si>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</si>
  <si>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</si>
  <si>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</si>
  <si>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</si>
  <si>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</si>
  <si>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</si>
  <si>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</si>
  <si>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</si>
  <si>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</si>
  <si>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</si>
  <si>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</si>
  <si>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</si>
  <si>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</si>
  <si>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</si>
  <si>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</si>
  <si>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</si>
  <si>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</si>
  <si>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</si>
  <si>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</si>
  <si>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</si>
  <si>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</si>
  <si>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</si>
  <si>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</si>
  <si>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</si>
  <si>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</si>
  <si>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</si>
  <si>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</si>
  <si>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</si>
  <si>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</si>
  <si>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</si>
  <si>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</si>
  <si>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</si>
  <si>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</si>
  <si>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</si>
  <si>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</si>
  <si>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</si>
  <si>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</si>
  <si>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</si>
  <si>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</si>
  <si>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</si>
  <si>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</si>
  <si>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</si>
  <si>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</si>
  <si>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</si>
  <si>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</si>
  <si>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</si>
  <si>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</si>
  <si>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</si>
  <si>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</si>
  <si>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</si>
  <si>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</si>
  <si>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</si>
  <si>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</si>
  <si>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</si>
  <si>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</si>
  <si>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</si>
  <si>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</si>
  <si>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</si>
  <si>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</si>
  <si>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</si>
  <si>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</si>
  <si>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</si>
  <si>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</si>
  <si>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</si>
  <si>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</si>
  <si>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</si>
  <si>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</si>
  <si>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</si>
  <si>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</si>
  <si>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</si>
  <si>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</si>
  <si>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</si>
  <si>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</si>
  <si>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</si>
  <si>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</si>
  <si>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</si>
  <si>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</si>
  <si>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</si>
  <si>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</si>
  <si>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</si>
  <si>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</si>
  <si>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</si>
  <si>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</si>
  <si>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</si>
  <si>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</si>
  <si>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</si>
  <si>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</si>
  <si>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</si>
  <si>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</si>
  <si>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</si>
  <si>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</si>
  <si>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</si>
  <si>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</si>
  <si>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</si>
  <si>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</si>
  <si>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</si>
  <si>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</si>
  <si>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</si>
  <si>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</si>
  <si>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</si>
  <si>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</si>
  <si>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</si>
  <si>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</si>
  <si>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</si>
  <si>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</si>
  <si>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</si>
  <si>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</si>
  <si>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</si>
  <si>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</si>
  <si>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</si>
  <si>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</si>
  <si>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</si>
  <si>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</si>
  <si>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</si>
  <si>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</si>
  <si>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</si>
  <si>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</si>
  <si>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</si>
  <si>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</si>
  <si>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</si>
  <si>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</si>
  <si>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</si>
  <si>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</si>
  <si>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</si>
  <si>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</si>
  <si>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</si>
  <si>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</si>
  <si>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</si>
  <si>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</si>
  <si>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</si>
  <si>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</si>
  <si>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</si>
  <si>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</si>
  <si>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</si>
  <si>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</si>
  <si>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</si>
  <si>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</si>
  <si>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</si>
  <si>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</si>
  <si>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</si>
  <si>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</si>
  <si>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</si>
  <si>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</si>
  <si>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</si>
  <si>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</si>
  <si>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</si>
  <si>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</si>
  <si>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</si>
  <si>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</si>
  <si>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</si>
  <si>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</si>
  <si>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</si>
  <si>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</si>
  <si>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</si>
  <si>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</si>
  <si>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</si>
  <si>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</si>
  <si>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</si>
  <si>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</si>
  <si>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</si>
  <si>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</si>
  <si>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</si>
  <si>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</si>
  <si>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</si>
  <si>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</si>
  <si>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</si>
  <si>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</si>
  <si>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</si>
  <si>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</si>
  <si>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</si>
  <si>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</si>
  <si>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</si>
  <si>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</si>
  <si>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</si>
  <si>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</si>
  <si>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</si>
  <si>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</si>
  <si>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</si>
  <si>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</si>
  <si>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</si>
  <si>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</si>
  <si>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</si>
  <si>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</si>
  <si>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</si>
  <si>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</si>
  <si>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</si>
  <si>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</si>
  <si>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</si>
  <si>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</si>
  <si>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</si>
  <si>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</si>
  <si>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</si>
  <si>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</si>
  <si>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</si>
  <si>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</si>
  <si>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</si>
  <si>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</si>
  <si>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</si>
  <si>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</si>
  <si>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</si>
  <si>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</si>
  <si>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</si>
  <si>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</si>
  <si>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</si>
  <si>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</si>
  <si>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</si>
  <si>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</si>
  <si>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</si>
  <si>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</si>
  <si>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</si>
  <si>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</si>
  <si>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</si>
  <si>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</si>
  <si>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</si>
  <si>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</si>
  <si>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</si>
  <si>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</si>
  <si>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</si>
  <si>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</si>
  <si>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</si>
  <si>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</si>
  <si>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</si>
  <si>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</si>
  <si>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</si>
  <si>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</si>
  <si>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</si>
  <si>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</si>
  <si>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</si>
  <si>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</si>
  <si>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</si>
  <si>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</si>
  <si>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</si>
  <si>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</si>
  <si>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</si>
  <si>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</si>
  <si>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</si>
  <si>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</si>
  <si>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</si>
  <si>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</si>
  <si>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</si>
  <si>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</si>
  <si>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</si>
  <si>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</si>
  <si>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</si>
  <si>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</si>
  <si>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</si>
  <si>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</si>
  <si>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</si>
  <si>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</si>
  <si>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</si>
  <si>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</si>
  <si>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</si>
  <si>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</si>
  <si>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</si>
  <si>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</si>
  <si>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</si>
  <si>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</si>
  <si>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</si>
  <si>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</si>
  <si>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</si>
  <si>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</si>
  <si>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</si>
  <si>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</si>
  <si>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</si>
  <si>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</si>
  <si>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</si>
  <si>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</si>
  <si>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</si>
  <si>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</si>
  <si>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</si>
  <si>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</si>
  <si>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</si>
  <si>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</si>
  <si>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</si>
  <si>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</si>
  <si>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</si>
  <si>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</si>
  <si>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</si>
  <si>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</si>
  <si>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</si>
  <si>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</si>
  <si>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</si>
  <si>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</si>
  <si>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</si>
  <si>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</si>
  <si>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</si>
  <si>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</si>
  <si>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</si>
  <si>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</si>
  <si>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</si>
  <si>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</si>
  <si>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</si>
  <si>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</si>
  <si>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</si>
  <si>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</si>
  <si>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</si>
  <si>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</si>
  <si>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</si>
  <si>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</si>
  <si>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</si>
  <si>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</si>
  <si>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</si>
  <si>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</si>
  <si>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</si>
  <si>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</si>
  <si>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</si>
  <si>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</si>
  <si>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</si>
  <si>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</si>
  <si>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</si>
  <si>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</si>
  <si>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</si>
  <si>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</si>
  <si>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</si>
  <si>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</si>
  <si>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</si>
  <si>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</si>
  <si>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</si>
  <si>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</si>
  <si>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</si>
  <si>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</si>
  <si>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</si>
  <si>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</si>
  <si>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</si>
  <si>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</si>
  <si>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</si>
  <si>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</si>
  <si>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</si>
  <si>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</si>
  <si>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</si>
  <si>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</si>
  <si>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</si>
  <si>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</si>
  <si>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</si>
  <si>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</si>
  <si>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</si>
  <si>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</si>
  <si>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</si>
  <si>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</si>
  <si>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</si>
  <si>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</si>
  <si>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</si>
  <si>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</si>
  <si>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</si>
  <si>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</si>
  <si>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</si>
  <si>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</si>
  <si>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</si>
  <si>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</si>
  <si>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</si>
  <si>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</si>
  <si>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</si>
  <si>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</si>
  <si>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</si>
  <si>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</si>
  <si>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</si>
  <si>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</si>
  <si>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</si>
  <si>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</si>
  <si>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</si>
  <si>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</si>
  <si>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</si>
  <si>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</si>
  <si>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</si>
  <si>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</si>
  <si>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</si>
  <si>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</si>
  <si>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</si>
  <si>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</si>
  <si>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</si>
  <si>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</si>
  <si>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</si>
  <si>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</si>
  <si>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</si>
  <si>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</si>
  <si>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</si>
  <si>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</si>
  <si>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</si>
  <si>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</si>
  <si>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</si>
  <si>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</si>
  <si>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</si>
  <si>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</si>
  <si>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</si>
  <si>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</si>
  <si>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</si>
  <si>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</si>
  <si>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</si>
  <si>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</si>
  <si>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</si>
  <si>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</si>
  <si>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</si>
  <si>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</si>
  <si>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</si>
  <si>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</si>
  <si>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</si>
  <si>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</si>
  <si>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</si>
  <si>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</si>
  <si>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</si>
  <si>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</si>
  <si>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</si>
  <si>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</si>
  <si>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</si>
  <si>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</si>
  <si>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</si>
  <si>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</si>
  <si>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</si>
  <si>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</si>
  <si>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</si>
  <si>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</si>
  <si>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</si>
  <si>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</si>
  <si>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</si>
  <si>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</si>
  <si>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</si>
  <si>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</si>
  <si>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</si>
  <si>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</si>
  <si>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</si>
  <si>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</si>
  <si>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</si>
  <si>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</si>
  <si>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</si>
  <si>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</si>
  <si>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</si>
  <si>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</si>
  <si>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</si>
  <si>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</si>
  <si>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</si>
  <si>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</si>
  <si>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</si>
  <si>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</si>
  <si>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</si>
  <si>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</si>
  <si>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</si>
  <si>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</si>
  <si>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</si>
  <si>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</si>
  <si>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</si>
  <si>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</si>
  <si>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</si>
  <si>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</si>
  <si>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</si>
  <si>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</si>
  <si>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</si>
  <si>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</si>
  <si>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</si>
  <si>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</si>
  <si>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</si>
  <si>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</si>
  <si>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</si>
  <si>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</si>
  <si>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</si>
  <si>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</si>
  <si>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</si>
  <si>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</si>
  <si>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</si>
  <si>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</si>
  <si>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</si>
  <si>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</si>
  <si>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</si>
  <si>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</si>
  <si>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</si>
  <si>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</si>
  <si>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</si>
  <si>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</si>
  <si>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</si>
  <si>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</si>
  <si>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</si>
  <si>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</si>
  <si>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</si>
  <si>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</si>
  <si>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</si>
  <si>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</si>
  <si>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</si>
  <si>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</si>
  <si>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</si>
  <si>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</si>
  <si>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</si>
  <si>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</si>
  <si>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</si>
  <si>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</si>
  <si>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</si>
  <si>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</si>
  <si>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</si>
  <si>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</si>
  <si>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</si>
  <si>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</si>
  <si>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</si>
  <si>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</si>
  <si>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</si>
  <si>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</si>
  <si>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</si>
  <si>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</si>
  <si>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</si>
  <si>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</si>
  <si>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</si>
  <si>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</si>
  <si>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</si>
  <si>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</si>
  <si>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</si>
  <si>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</si>
  <si>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</si>
  <si>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</si>
  <si>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</si>
  <si>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</si>
  <si>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</si>
  <si>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</si>
  <si>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</si>
  <si>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</si>
  <si>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</si>
  <si>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</si>
  <si>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</si>
  <si>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</si>
  <si>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</si>
  <si>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</si>
  <si>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</si>
  <si>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</si>
  <si>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</si>
  <si>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</si>
  <si>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</si>
  <si>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</si>
  <si>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</si>
  <si>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</si>
  <si>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</si>
  <si>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</si>
  <si>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</si>
  <si>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</si>
  <si>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</si>
  <si>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</si>
  <si>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</si>
  <si>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</si>
  <si>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</si>
  <si>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</si>
  <si>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</si>
  <si>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</si>
  <si>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</si>
  <si>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</si>
  <si>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</si>
  <si>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</si>
  <si>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</si>
  <si>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</si>
  <si>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</si>
  <si>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</si>
  <si>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</si>
  <si>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</si>
  <si>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</si>
  <si>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</si>
  <si>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</si>
  <si>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</si>
  <si>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</si>
  <si>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</si>
  <si>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</si>
  <si>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</si>
  <si>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</si>
  <si>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</si>
  <si>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</si>
  <si>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</si>
  <si>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</si>
  <si>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</si>
  <si>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</si>
  <si>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</si>
  <si>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</si>
  <si>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</si>
  <si>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</si>
  <si>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</si>
  <si>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</si>
  <si>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</si>
  <si>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</si>
  <si>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</si>
  <si>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</si>
  <si>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</si>
  <si>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</si>
  <si>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</si>
  <si>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</si>
  <si>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</si>
  <si>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</si>
  <si>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</si>
  <si>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</si>
  <si>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</si>
  <si>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</si>
  <si>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</si>
  <si>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</si>
  <si>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</si>
  <si>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</si>
  <si>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</si>
  <si>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</si>
  <si>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</si>
  <si>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</si>
  <si>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</si>
  <si>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</si>
  <si>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</si>
  <si>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</si>
  <si>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</si>
  <si>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</si>
  <si>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</si>
  <si>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</si>
  <si>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</si>
  <si>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</si>
  <si>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</si>
  <si>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</si>
  <si>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</si>
  <si>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</si>
  <si>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</si>
  <si>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</si>
  <si>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</si>
  <si>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</si>
  <si>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</si>
  <si>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</si>
  <si>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</si>
  <si>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</si>
  <si>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</si>
  <si>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</si>
  <si>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</si>
  <si>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</si>
  <si>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</si>
  <si>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</si>
  <si>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</si>
  <si>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</si>
  <si>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</si>
  <si>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</si>
  <si>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</si>
  <si>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</si>
  <si>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</si>
  <si>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</si>
  <si>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</si>
  <si>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</si>
  <si>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</si>
  <si>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</si>
  <si>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</si>
  <si>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</si>
  <si>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</si>
  <si>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</si>
  <si>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</si>
  <si>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</si>
  <si>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</si>
  <si>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</si>
  <si>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</si>
  <si>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</si>
  <si>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</si>
  <si>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</si>
  <si>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</si>
  <si>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</si>
  <si>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</si>
  <si>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</si>
  <si>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</si>
  <si>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</si>
  <si>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</si>
  <si>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</si>
  <si>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</si>
  <si>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</si>
  <si>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</si>
  <si>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</si>
  <si>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</si>
  <si>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</si>
  <si>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</si>
  <si>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</si>
  <si>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</si>
  <si>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</si>
  <si>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</si>
  <si>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</si>
  <si>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</si>
  <si>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</si>
  <si>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</si>
  <si>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</si>
  <si>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</si>
  <si>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</si>
  <si>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</si>
  <si>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</si>
  <si>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</si>
  <si>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</si>
  <si>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</si>
  <si>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</si>
  <si>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</si>
  <si>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</si>
  <si>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</si>
  <si>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</si>
  <si>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</si>
  <si>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</si>
  <si>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</si>
  <si>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</si>
  <si>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</si>
  <si>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</si>
  <si>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</si>
  <si>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</si>
  <si>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</si>
  <si>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</si>
  <si>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</si>
  <si>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</si>
  <si>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</si>
  <si>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</si>
  <si>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</si>
  <si>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</si>
  <si>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</si>
  <si>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</si>
  <si>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</si>
  <si>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</si>
  <si>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</si>
  <si>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</si>
  <si>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</si>
  <si>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</si>
  <si>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</si>
  <si>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</si>
  <si>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</si>
  <si>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</si>
  <si>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</si>
  <si>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</si>
  <si>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</si>
  <si>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</si>
  <si>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</si>
  <si>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</si>
  <si>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</si>
  <si>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</si>
  <si>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</si>
  <si>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</si>
  <si>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</si>
  <si>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</si>
  <si>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</si>
  <si>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</si>
  <si>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</si>
  <si>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</si>
  <si>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</si>
  <si>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</si>
  <si>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</si>
  <si>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</si>
  <si>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</si>
  <si>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</si>
  <si>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</si>
  <si>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</si>
  <si>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</si>
  <si>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</si>
  <si>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</si>
  <si>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</si>
  <si>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</si>
  <si>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</si>
  <si>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</si>
  <si>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</si>
  <si>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</si>
  <si>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</si>
  <si>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</si>
  <si>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</si>
  <si>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</si>
  <si>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</si>
  <si>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</si>
  <si>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</si>
  <si>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</si>
  <si>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</si>
  <si>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</si>
  <si>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</si>
  <si>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</si>
  <si>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</si>
  <si>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</si>
  <si>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</si>
  <si>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</si>
  <si>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</si>
  <si>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</si>
  <si>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</si>
  <si>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</si>
  <si>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</si>
  <si>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</si>
  <si>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</si>
  <si>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</si>
  <si>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</si>
  <si>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</si>
  <si>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</si>
  <si>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</si>
  <si>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</si>
  <si>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</si>
  <si>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</si>
  <si>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</si>
  <si>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</si>
  <si>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</si>
  <si>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</si>
  <si>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</si>
  <si>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</si>
  <si>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</si>
  <si>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</si>
  <si>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</si>
  <si>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</si>
  <si>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</si>
  <si>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</si>
  <si>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</si>
  <si>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</si>
  <si>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</si>
  <si>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</si>
  <si>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</si>
  <si>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</si>
  <si>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</si>
  <si>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</si>
  <si>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</si>
  <si>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</si>
  <si>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</si>
  <si>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</si>
  <si>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</si>
  <si>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</si>
  <si>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</si>
  <si>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</si>
  <si>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</si>
  <si>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</si>
  <si>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</si>
  <si>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</si>
  <si>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</si>
  <si>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</si>
  <si>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</si>
  <si>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</si>
  <si>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</si>
  <si>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</si>
  <si>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</si>
  <si>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</si>
  <si>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</si>
  <si>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</si>
  <si>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</si>
  <si>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</si>
  <si>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</si>
  <si>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</si>
  <si>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</si>
  <si>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</si>
  <si>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</si>
  <si>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</si>
  <si>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</si>
  <si>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</si>
  <si>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</si>
  <si>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</si>
  <si>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</si>
  <si>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</si>
  <si>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</si>
  <si>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</si>
  <si>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</si>
  <si>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</si>
  <si>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</si>
  <si>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</si>
  <si>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</si>
  <si>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</si>
  <si>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</si>
  <si>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</si>
  <si>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</si>
  <si>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</si>
  <si>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</si>
  <si>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</si>
  <si>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</si>
  <si>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</si>
  <si>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</si>
  <si>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</si>
  <si>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</si>
  <si>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</si>
  <si>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</si>
  <si>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</si>
  <si>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</si>
  <si>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</si>
  <si>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</si>
  <si>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</si>
  <si>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</si>
  <si>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</si>
  <si>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</si>
  <si>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</si>
  <si>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</si>
  <si>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</si>
  <si>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</si>
  <si>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</si>
  <si>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</si>
  <si>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</si>
  <si>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</si>
  <si>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</si>
  <si>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</si>
  <si>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</si>
  <si>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</si>
  <si>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</si>
  <si>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</si>
  <si>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</si>
  <si>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</si>
  <si>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</si>
  <si>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</si>
  <si>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</si>
  <si>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</si>
  <si>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</si>
  <si>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</si>
  <si>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</si>
  <si>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</si>
  <si>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</si>
  <si>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</si>
  <si>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</si>
  <si>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</si>
  <si>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</si>
  <si>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</si>
  <si>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</si>
  <si>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</si>
  <si>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</si>
  <si>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</si>
  <si>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</si>
  <si>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</si>
  <si>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</si>
  <si>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</si>
  <si>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</si>
  <si>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</si>
  <si>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</si>
  <si>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</si>
  <si>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</si>
  <si>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</si>
  <si>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</si>
  <si>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</si>
  <si>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</si>
  <si>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</si>
  <si>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</si>
  <si>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</si>
  <si>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</si>
  <si>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</si>
  <si>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</si>
  <si>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</si>
  <si>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</si>
  <si>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</si>
  <si>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</si>
  <si>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</si>
  <si>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</si>
  <si>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</si>
  <si>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</si>
  <si>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</si>
  <si>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</si>
  <si>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</si>
  <si>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</si>
  <si>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</si>
  <si>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</si>
  <si>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</si>
  <si>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</si>
  <si>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</si>
  <si>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</si>
  <si>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</si>
  <si>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</si>
  <si>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</si>
  <si>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</si>
  <si>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</si>
  <si>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</si>
  <si>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</si>
  <si>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</si>
  <si>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</si>
  <si>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</si>
  <si>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</si>
  <si>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</si>
  <si>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</si>
  <si>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</si>
  <si>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</si>
  <si>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</si>
  <si>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</si>
  <si>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</si>
  <si>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</si>
  <si>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</si>
  <si>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</si>
  <si>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</si>
  <si>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</si>
  <si>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</si>
  <si>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</si>
  <si>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</si>
  <si>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</si>
  <si>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</si>
  <si>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</si>
  <si>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</si>
  <si>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</si>
  <si>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</si>
  <si>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</si>
  <si>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</si>
  <si>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</si>
  <si>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</si>
  <si>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</si>
  <si>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</si>
  <si>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</si>
  <si>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</si>
  <si>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</si>
  <si>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</si>
  <si>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</si>
  <si>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</si>
  <si>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</si>
  <si>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</si>
  <si>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</si>
  <si>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</si>
  <si>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</si>
  <si>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</si>
  <si>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</si>
  <si>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</si>
  <si>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</si>
  <si>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</si>
  <si>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</si>
  <si>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</si>
  <si>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</si>
  <si>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</si>
  <si>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</si>
  <si>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</si>
  <si>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</si>
  <si>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</si>
  <si>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</si>
  <si>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</si>
  <si>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</si>
  <si>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</si>
  <si>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</si>
  <si>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</si>
  <si>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</si>
  <si>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</si>
  <si>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</si>
  <si>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</si>
  <si>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</si>
  <si>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</si>
  <si>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</si>
  <si>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</si>
  <si>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</si>
  <si>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</si>
  <si>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</si>
  <si>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</si>
  <si>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</si>
  <si>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</si>
  <si>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</si>
  <si>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</si>
  <si>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</si>
  <si>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</si>
  <si>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</si>
  <si>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</si>
  <si>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</si>
  <si>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</si>
  <si>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</si>
  <si>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</si>
  <si>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</si>
  <si>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</si>
  <si>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</si>
  <si>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</si>
  <si>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</si>
  <si>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</si>
  <si>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</si>
  <si>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</si>
  <si>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</si>
  <si>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</si>
  <si>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</si>
  <si>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</si>
  <si>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</si>
  <si>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</si>
  <si>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</si>
  <si>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</si>
  <si>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</si>
  <si>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</si>
  <si>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</si>
  <si>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</si>
  <si>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</si>
  <si>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</si>
  <si>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</si>
  <si>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</si>
  <si>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</si>
  <si>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</si>
  <si>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</si>
  <si>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</si>
  <si>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</si>
  <si>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</si>
  <si>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</si>
  <si>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</si>
  <si>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</si>
  <si>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</si>
  <si>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</si>
  <si>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</si>
  <si>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</si>
  <si>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</si>
  <si>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</si>
  <si>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</si>
  <si>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</si>
  <si>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</si>
  <si>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</si>
  <si>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</si>
  <si>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</si>
  <si>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</si>
  <si>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</si>
  <si>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</si>
  <si>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</si>
  <si>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</si>
  <si>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</si>
  <si>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</si>
  <si>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</si>
  <si>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</si>
  <si>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</si>
  <si>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</si>
  <si>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</si>
  <si>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</si>
  <si>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</si>
  <si>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</si>
  <si>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</si>
  <si>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</si>
  <si>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</si>
  <si>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</si>
  <si>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</si>
  <si>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</si>
  <si>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</si>
  <si>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</si>
  <si>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</si>
  <si>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</si>
  <si>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</si>
  <si>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</si>
  <si>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</si>
  <si>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</si>
  <si>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</si>
  <si>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</si>
  <si>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</si>
  <si>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</si>
  <si>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</si>
  <si>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</si>
  <si>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</si>
  <si>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</si>
  <si>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</si>
  <si>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</si>
  <si>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</si>
  <si>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</si>
  <si>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</si>
  <si>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</si>
  <si>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</si>
  <si>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</si>
  <si>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</si>
  <si>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</si>
  <si>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</si>
  <si>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</si>
  <si>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</si>
  <si>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</si>
  <si>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</si>
  <si>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</si>
  <si>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</si>
  <si>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</si>
  <si>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</si>
  <si>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</si>
  <si>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</si>
  <si>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</si>
  <si>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</si>
  <si>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</si>
  <si>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</si>
  <si>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</si>
  <si>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</si>
  <si>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</si>
  <si>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</si>
  <si>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</si>
  <si>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</si>
  <si>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</si>
  <si>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</si>
  <si>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</si>
  <si>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</si>
  <si>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</si>
  <si>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</si>
  <si>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</si>
  <si>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</si>
  <si>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</si>
  <si>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</si>
  <si>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</si>
  <si>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</si>
  <si>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</si>
  <si>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</si>
  <si>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</si>
  <si>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</si>
  <si>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</si>
  <si>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</si>
  <si>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</si>
  <si>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</si>
  <si>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</si>
  <si>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</si>
  <si>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</si>
  <si>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</si>
  <si>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</si>
  <si>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</si>
  <si>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</si>
  <si>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</si>
  <si>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</si>
  <si>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</si>
  <si>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</si>
  <si>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</si>
  <si>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</si>
  <si>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</si>
  <si>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</si>
  <si>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</si>
  <si>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</si>
  <si>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</si>
  <si>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</si>
  <si>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</si>
  <si>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</si>
  <si>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</si>
  <si>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</si>
  <si>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</si>
  <si>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</si>
  <si>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</si>
  <si>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</si>
  <si>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</si>
  <si>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</si>
  <si>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</si>
  <si>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</si>
  <si>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</si>
  <si>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</si>
  <si>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</si>
  <si>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</si>
  <si>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</si>
  <si>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</si>
  <si>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</si>
  <si>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</si>
  <si>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</si>
  <si>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</si>
  <si>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</si>
  <si>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</si>
  <si>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</si>
  <si>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</si>
  <si>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</si>
  <si>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</si>
  <si>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</si>
  <si>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</si>
  <si>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</si>
  <si>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</si>
  <si>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</si>
  <si>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</si>
  <si>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</si>
  <si>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</si>
  <si>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</si>
  <si>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</si>
  <si>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</si>
  <si>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</si>
  <si>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</si>
  <si>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</si>
  <si>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</si>
  <si>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</si>
  <si>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</si>
  <si>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</si>
  <si>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</si>
  <si>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</si>
  <si>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</si>
  <si>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</si>
  <si>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</si>
  <si>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</si>
  <si>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</si>
  <si>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</si>
  <si>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</si>
  <si>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</si>
  <si>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</si>
  <si>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</si>
  <si>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</si>
  <si>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</si>
  <si>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</si>
  <si>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</si>
  <si>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</si>
  <si>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</si>
  <si>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</si>
  <si>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</si>
  <si>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</si>
  <si>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</si>
  <si>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</si>
  <si>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</si>
  <si>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</si>
  <si>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</si>
  <si>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</si>
  <si>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</si>
  <si>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</si>
  <si>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</si>
  <si>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</si>
  <si>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</si>
  <si>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</si>
  <si>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</si>
  <si>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</si>
  <si>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</si>
  <si>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</si>
  <si>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</si>
  <si>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</si>
  <si>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</si>
  <si>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</si>
  <si>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</si>
  <si>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</si>
  <si>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</si>
  <si>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</si>
  <si>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</si>
  <si>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</si>
  <si>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</si>
  <si>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</si>
  <si>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</si>
  <si>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</si>
  <si>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</si>
  <si>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</si>
  <si>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</si>
  <si>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</si>
  <si>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</si>
  <si>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</si>
  <si>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</si>
  <si>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</si>
  <si>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</si>
  <si>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</si>
  <si>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</si>
  <si>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</si>
  <si>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</si>
  <si>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</si>
  <si>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</si>
  <si>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</si>
  <si>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</si>
  <si>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</si>
  <si>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</si>
  <si>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</si>
  <si>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</si>
  <si>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</si>
  <si>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</si>
  <si>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</si>
  <si>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</si>
  <si>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</si>
  <si>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</si>
  <si>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</si>
  <si>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</si>
  <si>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</si>
  <si>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</si>
  <si>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</si>
  <si>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</si>
  <si>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</si>
  <si>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</si>
  <si>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</si>
  <si>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</si>
  <si>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</si>
  <si>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</si>
  <si>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</si>
  <si>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</si>
  <si>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</si>
  <si>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</si>
  <si>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</si>
  <si>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</si>
  <si>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</si>
  <si>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</si>
  <si>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</si>
  <si>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</si>
  <si>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</si>
  <si>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</si>
  <si>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</si>
  <si>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</si>
  <si>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</si>
  <si>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</si>
  <si>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</si>
  <si>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</si>
  <si>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</si>
  <si>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</si>
  <si>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</si>
  <si>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</si>
  <si>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</si>
  <si>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</si>
  <si>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</si>
  <si>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</si>
  <si>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</si>
  <si>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</si>
  <si>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</si>
  <si>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</si>
  <si>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</si>
  <si>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</si>
  <si>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</si>
  <si>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</si>
  <si>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</si>
  <si>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</si>
  <si>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</si>
  <si>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</si>
  <si>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</si>
  <si>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</si>
  <si>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</si>
  <si>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</si>
  <si>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</si>
  <si>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</si>
  <si>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</si>
  <si>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</si>
  <si>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</si>
  <si>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</si>
  <si>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</si>
  <si>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</si>
  <si>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</si>
  <si>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</si>
  <si>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</si>
  <si>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</si>
  <si>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</si>
  <si>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</si>
  <si>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</si>
  <si>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</si>
  <si>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</si>
  <si>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</si>
  <si>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</si>
  <si>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</si>
  <si>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</si>
  <si>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</si>
  <si>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</si>
  <si>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</si>
  <si>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</si>
  <si>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</si>
  <si>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</si>
  <si>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</si>
  <si>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</si>
  <si>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</si>
  <si>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</si>
  <si>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</si>
  <si>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</si>
  <si>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</si>
  <si>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</si>
  <si>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</si>
  <si>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</si>
  <si>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</si>
  <si>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</si>
  <si>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</si>
  <si>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</si>
  <si>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</si>
  <si>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</si>
  <si>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</si>
  <si>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</si>
  <si>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</si>
  <si>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</si>
  <si>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</si>
  <si>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</si>
  <si>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</si>
  <si>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</si>
  <si>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</si>
  <si>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</si>
  <si>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</si>
  <si>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</si>
  <si>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</si>
  <si>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</si>
  <si>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</si>
  <si>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</si>
  <si>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</si>
  <si>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</si>
  <si>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</si>
  <si>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</si>
  <si>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</si>
  <si>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</si>
  <si>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</si>
  <si>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</si>
  <si>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</si>
  <si>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</si>
  <si>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</si>
  <si>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</si>
  <si>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</si>
  <si>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</si>
  <si>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</si>
  <si>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</si>
  <si>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</si>
  <si>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</si>
  <si>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</si>
  <si>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</si>
  <si>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</si>
  <si>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</si>
  <si>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</si>
  <si>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</si>
  <si>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</si>
  <si>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</si>
  <si>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</si>
  <si>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</si>
  <si>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</si>
  <si>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</si>
  <si>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</si>
  <si>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</si>
  <si>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</si>
  <si>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</si>
  <si>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</si>
  <si>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</si>
  <si>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</si>
  <si>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</si>
  <si>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</si>
  <si>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</si>
  <si>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</si>
  <si>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</si>
  <si>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</si>
  <si>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</si>
  <si>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</si>
  <si>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</si>
  <si>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</si>
  <si>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</si>
  <si>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</si>
  <si>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</si>
  <si>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</si>
  <si>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</si>
  <si>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</si>
  <si>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</si>
  <si>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</si>
  <si>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</si>
  <si>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</si>
  <si>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</si>
  <si>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</si>
  <si>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</si>
  <si>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</si>
  <si>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</si>
  <si>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</si>
  <si>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</si>
  <si>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</si>
  <si>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</si>
  <si>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</si>
  <si>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</si>
  <si>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</si>
  <si>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</si>
  <si>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</si>
  <si>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</si>
  <si>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</si>
  <si>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</si>
  <si>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</si>
  <si>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</si>
  <si>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</si>
  <si>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</si>
  <si>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</si>
  <si>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</si>
  <si>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</si>
  <si>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</si>
  <si>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</si>
  <si>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</si>
  <si>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</si>
  <si>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</si>
  <si>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</si>
  <si>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</si>
  <si>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</si>
  <si>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</si>
  <si>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</si>
  <si>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</si>
  <si>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</si>
  <si>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</si>
  <si>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</si>
  <si>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</si>
  <si>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</si>
  <si>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</si>
  <si>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</si>
  <si>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</si>
  <si>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</si>
  <si>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</si>
  <si>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</si>
  <si>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</si>
  <si>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</si>
  <si>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</si>
  <si>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</si>
  <si>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</si>
  <si>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</si>
  <si>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</si>
  <si>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</si>
  <si>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</si>
  <si>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</si>
  <si>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</si>
  <si>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</si>
  <si>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</si>
  <si>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</si>
  <si>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</si>
  <si>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</si>
  <si>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</si>
  <si>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</si>
  <si>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</si>
  <si>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</si>
  <si>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</si>
  <si>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</si>
  <si>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</si>
  <si>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</si>
  <si>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</si>
  <si>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</si>
  <si>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</si>
  <si>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</si>
  <si>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</si>
  <si>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</si>
  <si>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</si>
  <si>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</si>
  <si>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</si>
  <si>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</si>
  <si>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</si>
  <si>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</si>
  <si>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</si>
  <si>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</si>
  <si>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</si>
  <si>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</si>
  <si>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</si>
  <si>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</si>
  <si>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</si>
  <si>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</si>
  <si>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</si>
  <si>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</si>
  <si>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</si>
  <si>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</si>
  <si>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</si>
  <si>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</si>
  <si>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</si>
  <si>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</si>
  <si>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</si>
  <si>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</si>
  <si>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</si>
  <si>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</si>
  <si>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</si>
  <si>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</si>
  <si>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</si>
  <si>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</si>
  <si>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</si>
  <si>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</si>
  <si>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</si>
  <si>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</si>
  <si>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</si>
  <si>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</si>
  <si>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</si>
  <si>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</si>
  <si>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</si>
  <si>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</si>
  <si>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</si>
  <si>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</si>
  <si>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</si>
  <si>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</si>
  <si>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</si>
  <si>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</si>
  <si>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</si>
  <si>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</si>
  <si>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</si>
  <si>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</si>
  <si>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</si>
  <si>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</si>
  <si>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</si>
  <si>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</si>
  <si>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</si>
  <si>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</si>
  <si>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</si>
  <si>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</si>
  <si>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</si>
  <si>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</si>
  <si>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</si>
  <si>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</si>
  <si>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</si>
  <si>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</si>
  <si>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</si>
  <si>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</si>
  <si>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</si>
  <si>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</si>
  <si>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</si>
  <si>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</si>
  <si>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</si>
  <si>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</si>
  <si>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</si>
  <si>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</si>
  <si>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</si>
  <si>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</si>
  <si>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</si>
  <si>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</si>
  <si>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</si>
  <si>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</si>
  <si>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</si>
  <si>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</si>
  <si>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</si>
  <si>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</si>
  <si>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</si>
  <si>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</si>
  <si>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</si>
  <si>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</si>
  <si>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</si>
  <si>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</si>
  <si>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</si>
  <si>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</si>
  <si>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</si>
  <si>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</si>
  <si>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</si>
  <si>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</si>
  <si>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</si>
  <si>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</si>
  <si>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</si>
  <si>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</si>
  <si>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</si>
  <si>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</si>
  <si>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</si>
  <si>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</si>
  <si>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</si>
  <si>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</si>
  <si>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</si>
  <si>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</si>
  <si>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</si>
  <si>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</si>
  <si>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</si>
  <si>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</si>
  <si>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</si>
  <si>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</si>
  <si>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</si>
  <si>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</si>
  <si>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</si>
  <si>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</si>
  <si>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</si>
  <si>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</si>
  <si>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</si>
  <si>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</si>
  <si>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</si>
  <si>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</si>
  <si>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</si>
  <si>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</si>
  <si>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</si>
  <si>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</si>
  <si>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</si>
  <si>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</si>
  <si>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</si>
  <si>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</si>
  <si>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</si>
  <si>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</si>
  <si>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</si>
  <si>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</si>
  <si>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</si>
  <si>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</si>
  <si>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</si>
  <si>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</si>
  <si>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</si>
  <si>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</si>
  <si>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</si>
  <si>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</si>
  <si>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</si>
  <si>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</si>
  <si>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</si>
  <si>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</si>
  <si>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</si>
  <si>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</si>
  <si>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</si>
  <si>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</si>
  <si>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</si>
  <si>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</si>
  <si>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</si>
  <si>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</si>
  <si>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</si>
  <si>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</si>
  <si>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</si>
  <si>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</si>
  <si>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</si>
  <si>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</si>
  <si>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</si>
  <si>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</si>
  <si>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</si>
  <si>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</si>
  <si>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</si>
  <si>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</si>
  <si>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</si>
  <si>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</si>
  <si>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</si>
  <si>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</si>
  <si>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</si>
  <si>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</si>
  <si>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</si>
  <si>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</si>
  <si>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</si>
  <si>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</si>
  <si>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</si>
  <si>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</si>
  <si>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</si>
  <si>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</si>
  <si>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</si>
  <si>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</si>
  <si>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</si>
  <si>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</si>
  <si>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</si>
  <si>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</si>
  <si>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</si>
  <si>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</si>
  <si>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</si>
  <si>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</si>
  <si>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</si>
  <si>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</si>
  <si>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</si>
  <si>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</si>
  <si>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</si>
  <si>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</si>
  <si>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</si>
  <si>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</si>
  <si>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</si>
  <si>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</si>
  <si>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</si>
  <si>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</si>
  <si>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</si>
  <si>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</si>
  <si>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</si>
  <si>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</si>
  <si>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</si>
  <si>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</si>
  <si>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</si>
  <si>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</si>
  <si>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</si>
  <si>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</si>
  <si>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</si>
  <si>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</si>
  <si>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</si>
  <si>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</si>
  <si>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</si>
  <si>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</si>
  <si>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</si>
  <si>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</si>
  <si>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</si>
  <si>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</si>
  <si>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</si>
  <si>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</si>
  <si>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</si>
  <si>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</si>
  <si>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</si>
  <si>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</si>
  <si>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</si>
  <si>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</si>
  <si>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</si>
  <si>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</si>
  <si>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</si>
  <si>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</si>
  <si>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</si>
  <si>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</si>
  <si>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</si>
  <si>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</si>
  <si>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</si>
  <si>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</si>
  <si>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</si>
  <si>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</si>
  <si>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</si>
  <si>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</si>
  <si>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</si>
  <si>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</si>
  <si>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</si>
  <si>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</si>
  <si>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</si>
  <si>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</si>
  <si>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</si>
  <si>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</si>
  <si>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</si>
  <si>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</si>
  <si>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</si>
  <si>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</si>
  <si>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</si>
  <si>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</si>
  <si>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</si>
  <si>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</si>
  <si>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</si>
  <si>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</si>
  <si>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</si>
  <si>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</si>
  <si>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</si>
  <si>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</si>
  <si>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</si>
  <si>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</si>
  <si>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</si>
  <si>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</si>
  <si>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</si>
  <si>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</si>
  <si>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</si>
  <si>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</si>
  <si>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</si>
  <si>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</si>
  <si>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</si>
  <si>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</si>
  <si>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</si>
  <si>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</si>
  <si>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</si>
  <si>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</si>
  <si>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</si>
  <si>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</si>
  <si>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</si>
  <si>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</si>
  <si>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</si>
  <si>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</si>
  <si>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</si>
  <si>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</si>
  <si>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</si>
  <si>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</si>
  <si>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</si>
  <si>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</si>
  <si>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</si>
  <si>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</si>
  <si>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</si>
  <si>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</si>
  <si>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</si>
  <si>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</si>
  <si>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</si>
  <si>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</si>
  <si>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</si>
  <si>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</si>
  <si>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</si>
  <si>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</si>
  <si>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</si>
  <si>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</si>
  <si>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</si>
  <si>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</si>
  <si>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</si>
  <si>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</si>
  <si>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</si>
  <si>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</si>
  <si>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</si>
  <si>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</si>
  <si>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</si>
  <si>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</si>
  <si>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</si>
  <si>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</si>
  <si>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</si>
  <si>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</si>
  <si>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</si>
  <si>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</si>
  <si>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</si>
  <si>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</si>
  <si>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</si>
  <si>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</si>
  <si>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</si>
  <si>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</si>
  <si>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</si>
  <si>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</si>
  <si>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</si>
  <si>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</si>
  <si>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</si>
  <si>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</si>
  <si>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</si>
  <si>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</si>
  <si>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</si>
  <si>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</si>
  <si>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</si>
  <si>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</si>
  <si>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</si>
  <si>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</si>
  <si>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</si>
  <si>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</si>
  <si>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</si>
  <si>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</si>
  <si>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</si>
  <si>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</si>
  <si>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</si>
  <si>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</si>
  <si>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</si>
  <si>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</si>
  <si>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</si>
  <si>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</si>
  <si>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</si>
  <si>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</si>
  <si>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</si>
  <si>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</si>
  <si>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</si>
  <si>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</si>
  <si>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</si>
  <si>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</si>
  <si>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</si>
  <si>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</si>
  <si>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</si>
  <si>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</si>
  <si>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</si>
  <si>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</si>
  <si>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</si>
  <si>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</si>
  <si>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</si>
  <si>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</si>
  <si>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</si>
  <si>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</si>
  <si>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</si>
  <si>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</si>
  <si>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</si>
  <si>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</si>
  <si>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</si>
  <si>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</si>
  <si>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</si>
  <si>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</si>
  <si>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</si>
  <si>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</si>
  <si>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</si>
  <si>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</si>
  <si>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</si>
  <si>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</si>
  <si>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</si>
  <si>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</si>
  <si>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</si>
  <si>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</si>
  <si>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</si>
  <si>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</si>
  <si>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</si>
  <si>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</si>
  <si>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</si>
  <si>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</si>
  <si>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</si>
  <si>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</si>
  <si>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</si>
  <si>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</si>
  <si>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</si>
  <si>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</si>
  <si>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</si>
  <si>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</si>
  <si>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</si>
  <si>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</si>
  <si>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</si>
  <si>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</si>
  <si>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</si>
  <si>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</si>
  <si>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</si>
  <si>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</si>
  <si>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</si>
  <si>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</si>
  <si>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</si>
  <si>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</si>
  <si>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</si>
  <si>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</si>
  <si>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</si>
  <si>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</si>
  <si>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</si>
  <si>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</si>
  <si>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</si>
  <si>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</si>
  <si>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</si>
  <si>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</si>
  <si>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</si>
  <si>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</si>
  <si>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</si>
  <si>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</si>
  <si>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</si>
  <si>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</si>
  <si>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</si>
  <si>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</si>
  <si>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</si>
  <si>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</si>
  <si>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</si>
  <si>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</si>
  <si>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</si>
  <si>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</si>
  <si>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</si>
  <si>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</si>
  <si>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</si>
  <si>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</si>
  <si>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</si>
  <si>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</si>
  <si>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</si>
  <si>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</si>
  <si>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</si>
  <si>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</si>
  <si>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</si>
  <si>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ITR_1000$$$1022ITR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</si>
</sst>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31.084201504629" createdVersion="7" refreshedVersion="7" minRefreshableVersion="3" recordCount="5243" xr:uid="{11839AE3-6158-4318-87AD-2C711D0BF451}">
  <cacheSource type="worksheet">
    <worksheetSource name="Proc"/>
  </cacheSource>
  <cacheFields count="19">
    <cacheField name="App" numFmtId="0">
      <sharedItems containsBlank="1" count="166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07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4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3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3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3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2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2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2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9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9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8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6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6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6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5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5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4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4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4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4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4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4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4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38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3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3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3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3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3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3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3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3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2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2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2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2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2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2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2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1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1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1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1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1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1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1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1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1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1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1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3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3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3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3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3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3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3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3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3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3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3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3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3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3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3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3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3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3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3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3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3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3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3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3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3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3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3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3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3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3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3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3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3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3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3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3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3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3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3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3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3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3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3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3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3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3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3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3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3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3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3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3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3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3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3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3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3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3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3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3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3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3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3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3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3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3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3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3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3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3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3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3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3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3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3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3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3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3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3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3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3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3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3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3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3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3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3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3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3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3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3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3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3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3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3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3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3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3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3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3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3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3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3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3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3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0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0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0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0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0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0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0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0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0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0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0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0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0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0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0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0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0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0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0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0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0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0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0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0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0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0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0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0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0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0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0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0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0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0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0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0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0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0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0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0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0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0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0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0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0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0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0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0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0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0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0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0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0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0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0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0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0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0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0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9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9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9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9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9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9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9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9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9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9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9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9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9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9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9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4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4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4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4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4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4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4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4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4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4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4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8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8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2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1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1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1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1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1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0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7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7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7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7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7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7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7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7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7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7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7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7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7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7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7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7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7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7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7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7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7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7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2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0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0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0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0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0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0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0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0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0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0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0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0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0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0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0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0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0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0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8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8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8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8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8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8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8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8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8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8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8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8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8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8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8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8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1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1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1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1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1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57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57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57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57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57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57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57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57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57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57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57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57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57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57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57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57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57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57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57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57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57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57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57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57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57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57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57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57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57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56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5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4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4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4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4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4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4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4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4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4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4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4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4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4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4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4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4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4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4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4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4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4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4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4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4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3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3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3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3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3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3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3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3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3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3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3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3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3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3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3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3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3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3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3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3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3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3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3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3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2"/>
    <s v="Ruby Grace Garcia"/>
    <m/>
  </r>
  <r>
    <x v="408"/>
    <x v="1"/>
    <x v="8"/>
    <s v="ITEMPEU_001700006137"/>
    <s v="H000004596"/>
    <s v="No_Hierarchy"/>
    <s v="Non-LFF"/>
    <s v=""/>
    <m/>
    <b v="0"/>
    <x v="1"/>
    <x v="0"/>
    <d v="2025-10-24T00:00:00"/>
    <m/>
    <m/>
    <x v="1"/>
    <n v="55"/>
    <s v="Anna Glab"/>
    <m/>
  </r>
  <r>
    <x v="408"/>
    <x v="1"/>
    <x v="8"/>
    <s v="ITEMPEU_001700006138"/>
    <s v="H000004597"/>
    <s v="No_Hierarchy"/>
    <s v="Non-LFF"/>
    <s v=""/>
    <m/>
    <b v="0"/>
    <x v="1"/>
    <x v="0"/>
    <d v="2025-10-24T00:00:00"/>
    <m/>
    <m/>
    <x v="1"/>
    <n v="55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0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0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0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0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0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0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0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0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0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0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0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0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0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0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0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0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0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0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0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0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48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48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48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48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48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48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48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48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48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48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48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48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48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48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48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48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48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48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48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48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48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48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48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48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48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48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48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48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48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47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5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5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5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2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2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2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2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2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39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39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39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39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39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39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38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38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38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38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38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36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4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4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4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4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4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4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4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4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4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4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4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4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4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4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4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4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4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4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4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4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4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4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4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4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4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4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4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4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4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4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4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4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4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3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3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3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3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3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3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3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1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1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1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1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1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1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1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1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1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1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1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1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1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1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1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1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1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1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1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1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1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1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1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1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1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1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1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1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1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1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1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1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1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1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0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0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0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0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0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0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0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0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0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0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0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0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0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0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0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0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0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0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0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0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29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29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29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29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29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29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29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29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29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28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28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28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28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28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28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28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28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28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28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28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27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26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26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4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4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4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4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4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4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2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20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20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0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0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0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19"/>
    <s v="Ruby Grace Garcia"/>
    <m/>
  </r>
  <r>
    <x v="468"/>
    <x v="1"/>
    <x v="5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19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6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6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16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16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16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6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6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16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16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9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9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9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0"/>
    <n v="5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7"/>
    <x v="1"/>
    <x v="6"/>
    <s v="CLFF_7210$$$1756Y11755 LS Project Eagle"/>
    <s v="L000013905"/>
    <s v="L000011321"/>
    <s v="LFF (MDG-F)"/>
    <s v="1756Y11755"/>
    <s v="mapped for 2025 mapped for 2026"/>
    <b v="0"/>
    <x v="2"/>
    <x v="0"/>
    <d v="2026-01-02T00:00:00"/>
    <m/>
    <m/>
    <x v="0"/>
    <n v="5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0"/>
    <n v="5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0"/>
    <n v="5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0"/>
    <n v="5"/>
    <s v="Ruby Grace Garcia"/>
    <m/>
  </r>
  <r>
    <x v="478"/>
    <x v="1"/>
    <x v="6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0"/>
    <n v="5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80"/>
    <x v="1"/>
    <x v="5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0"/>
    <n v="3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0"/>
    <n v="3"/>
    <s v="Jay-R Lizardo"/>
    <m/>
  </r>
  <r>
    <x v="480"/>
    <x v="1"/>
    <x v="6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0"/>
    <n v="3"/>
    <s v="Jay-R Lizardo"/>
    <m/>
  </r>
  <r>
    <x v="480"/>
    <x v="1"/>
    <x v="6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0"/>
    <n v="3"/>
    <s v="Jay-R Lizardo"/>
    <m/>
  </r>
  <r>
    <x v="480"/>
    <x v="1"/>
    <x v="6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0"/>
    <n v="3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1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8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663">
        <item m="1" x="1047"/>
        <item x="0"/>
        <item m="1" x="1117"/>
        <item m="1" x="1538"/>
        <item m="1" x="700"/>
        <item m="1" x="1555"/>
        <item m="1" x="1077"/>
        <item m="1" x="1167"/>
        <item m="1" x="1588"/>
        <item m="1" x="1382"/>
        <item m="1" x="1070"/>
        <item m="1" x="1654"/>
        <item m="1" x="1400"/>
        <item m="1" x="1644"/>
        <item m="1" x="1018"/>
        <item m="1" x="919"/>
        <item m="1" x="623"/>
        <item m="1" x="884"/>
        <item m="1" x="1608"/>
        <item m="1" x="676"/>
        <item m="1" x="984"/>
        <item m="1" x="1352"/>
        <item m="1" x="1067"/>
        <item m="1" x="1160"/>
        <item m="1" x="1456"/>
        <item m="1" x="1641"/>
        <item m="1" x="1102"/>
        <item m="1" x="1124"/>
        <item m="1" x="889"/>
        <item m="1" x="1290"/>
        <item m="1" x="1049"/>
        <item m="1" x="1595"/>
        <item m="1" x="1252"/>
        <item m="1" x="685"/>
        <item m="1" x="793"/>
        <item m="1" x="1580"/>
        <item m="1" x="1344"/>
        <item m="1" x="598"/>
        <item m="1" x="1430"/>
        <item m="1" x="1096"/>
        <item m="1" x="1391"/>
        <item m="1" x="977"/>
        <item m="1" x="1329"/>
        <item m="1" x="588"/>
        <item m="1" x="618"/>
        <item m="1" x="1657"/>
        <item m="1" x="1336"/>
        <item m="1" x="1404"/>
        <item m="1" x="1511"/>
        <item m="1" x="1280"/>
        <item m="1" x="1378"/>
        <item m="1" x="1217"/>
        <item m="1" x="672"/>
        <item m="1" x="863"/>
        <item m="1" x="1639"/>
        <item m="1" x="1207"/>
        <item m="1" x="1347"/>
        <item m="1" x="875"/>
        <item m="1" x="836"/>
        <item m="1" x="1128"/>
        <item m="1" x="1020"/>
        <item m="1" x="1053"/>
        <item m="1" x="612"/>
        <item m="1" x="751"/>
        <item m="1" x="1413"/>
        <item m="1" x="1630"/>
        <item m="1" x="816"/>
        <item m="1" x="1221"/>
        <item m="1" x="1231"/>
        <item m="1" x="1408"/>
        <item m="1" x="1518"/>
        <item m="1" x="1396"/>
        <item m="1" x="691"/>
        <item m="1" x="1539"/>
        <item m="1" x="1269"/>
        <item m="1" x="1256"/>
        <item m="1" x="791"/>
        <item m="1" x="1144"/>
        <item m="1" x="1491"/>
        <item m="1" x="609"/>
        <item m="1" x="1188"/>
        <item m="1" x="1541"/>
        <item m="1" x="1379"/>
        <item m="1" x="1114"/>
        <item m="1" x="1156"/>
        <item m="1" x="1037"/>
        <item m="1" x="1272"/>
        <item m="1" x="1084"/>
        <item m="1" x="1316"/>
        <item m="1" x="800"/>
        <item m="1" x="1629"/>
        <item m="1" x="1154"/>
        <item m="1" x="1440"/>
        <item m="1" x="517"/>
        <item m="1" x="1645"/>
        <item m="1" x="1181"/>
        <item m="1" x="1470"/>
        <item m="1" x="1383"/>
        <item m="1" x="1161"/>
        <item m="1" x="671"/>
        <item m="1" x="678"/>
        <item m="1" x="718"/>
        <item m="1" x="900"/>
        <item m="1" x="1324"/>
        <item m="1" x="1085"/>
        <item m="1" x="1201"/>
        <item m="1" x="1264"/>
        <item m="1" x="1411"/>
        <item m="1" x="1494"/>
        <item m="1" x="1056"/>
        <item m="1" x="777"/>
        <item m="1" x="620"/>
        <item m="1" x="763"/>
        <item m="1" x="1638"/>
        <item m="1" x="795"/>
        <item m="1" x="1476"/>
        <item m="1" x="1405"/>
        <item m="1" x="1023"/>
        <item m="1" x="1095"/>
        <item m="1" x="961"/>
        <item m="1" x="1218"/>
        <item m="1" x="1593"/>
        <item m="1" x="769"/>
        <item m="1" x="717"/>
        <item m="1" x="652"/>
        <item m="1" x="1318"/>
        <item m="1" x="1578"/>
        <item m="1" x="1506"/>
        <item m="1" x="1163"/>
        <item m="1" x="687"/>
        <item m="1" x="1412"/>
        <item m="1" x="864"/>
        <item m="1" x="1118"/>
        <item m="1" x="1293"/>
        <item m="1" x="1401"/>
        <item m="1" x="521"/>
        <item m="1" x="1350"/>
        <item m="1" x="1313"/>
        <item m="1" x="754"/>
        <item m="1" x="1202"/>
        <item m="1" x="1090"/>
        <item m="1" x="1043"/>
        <item m="1" x="776"/>
        <item m="1" x="712"/>
        <item m="1" x="952"/>
        <item m="1" x="1139"/>
        <item m="1" x="546"/>
        <item m="1" x="885"/>
        <item m="1" x="744"/>
        <item m="1" x="486"/>
        <item m="1" x="996"/>
        <item m="1" x="1197"/>
        <item m="1" x="1079"/>
        <item m="1" x="1125"/>
        <item m="1" x="1444"/>
        <item m="1" x="1026"/>
        <item m="1" x="1552"/>
        <item m="1" x="1276"/>
        <item m="1" x="1215"/>
        <item m="1" x="729"/>
        <item m="1" x="1362"/>
        <item m="1" x="1640"/>
        <item m="1" x="1328"/>
        <item m="1" x="1312"/>
        <item m="1" x="599"/>
        <item m="1" x="647"/>
        <item m="1" x="1182"/>
        <item m="1" x="688"/>
        <item m="1" x="1625"/>
        <item m="1" x="1291"/>
        <item m="1" x="1216"/>
        <item m="1" x="1168"/>
        <item m="1" x="969"/>
        <item m="1" x="597"/>
        <item m="1" x="697"/>
        <item m="1" x="803"/>
        <item m="1" x="1536"/>
        <item m="1" x="1568"/>
        <item m="1" x="1267"/>
        <item m="1" x="994"/>
        <item m="1" x="1082"/>
        <item m="1" x="592"/>
        <item m="1" x="632"/>
        <item m="1" x="971"/>
        <item m="1" x="1196"/>
        <item m="1" x="1109"/>
        <item m="1" x="767"/>
        <item m="1" x="1000"/>
        <item m="1" x="714"/>
        <item m="1" x="909"/>
        <item m="1" x="831"/>
        <item m="1" x="666"/>
        <item m="1" x="802"/>
        <item m="1" x="1172"/>
        <item m="1" x="582"/>
        <item m="1" x="821"/>
        <item m="1" x="613"/>
        <item m="1" x="1306"/>
        <item m="1" x="1495"/>
        <item m="1" x="1105"/>
        <item m="1" x="749"/>
        <item m="1" x="1399"/>
        <item m="1" x="1244"/>
        <item m="1" x="761"/>
        <item m="1" x="762"/>
        <item m="1" x="947"/>
        <item m="1" x="637"/>
        <item m="1" x="826"/>
        <item m="1" x="621"/>
        <item m="1" x="807"/>
        <item m="1" x="1375"/>
        <item m="1" x="886"/>
        <item m="1" x="1253"/>
        <item m="1" x="1303"/>
        <item m="1" x="1437"/>
        <item m="1" x="1441"/>
        <item m="1" x="1158"/>
        <item m="1" x="999"/>
        <item m="1" x="1038"/>
        <item m="1" x="1605"/>
        <item m="1" x="898"/>
        <item m="1" x="710"/>
        <item m="1" x="1088"/>
        <item m="1" x="545"/>
        <item m="1" x="1609"/>
        <item m="1" x="1072"/>
        <item m="1" x="506"/>
        <item m="1" x="1527"/>
        <item m="1" x="1570"/>
        <item m="1" x="1407"/>
        <item m="1" x="784"/>
        <item m="1" x="523"/>
        <item m="1" x="1457"/>
        <item m="1" x="848"/>
        <item m="1" x="484"/>
        <item m="1" x="1628"/>
        <item m="1" x="872"/>
        <item m="1" x="1027"/>
        <item m="1" x="1472"/>
        <item m="1" x="559"/>
        <item m="1" x="1384"/>
        <item m="1" x="1192"/>
        <item m="1" x="1057"/>
        <item m="1" x="927"/>
        <item m="1" x="674"/>
        <item m="1" x="1175"/>
        <item m="1" x="877"/>
        <item m="1" x="1415"/>
        <item m="1" x="737"/>
        <item m="1" x="1485"/>
        <item m="1" x="1492"/>
        <item m="1" x="1176"/>
        <item m="1" x="1366"/>
        <item m="1" x="783"/>
        <item m="1" x="1080"/>
        <item m="1" x="1369"/>
        <item m="1" x="953"/>
        <item m="1" x="1243"/>
        <item m="1" x="882"/>
        <item m="1" x="667"/>
        <item m="1" x="871"/>
        <item m="1" x="1637"/>
        <item m="1" x="1579"/>
        <item m="1" x="724"/>
        <item m="1" x="1525"/>
        <item m="1" x="531"/>
        <item m="1" x="1547"/>
        <item m="1" x="566"/>
        <item m="1" x="868"/>
        <item m="1" x="966"/>
        <item m="1" x="913"/>
        <item m="1" x="1520"/>
        <item m="1" x="1423"/>
        <item m="1" x="664"/>
        <item m="1" x="1234"/>
        <item m="1" x="1442"/>
        <item m="1" x="1576"/>
        <item m="1" x="1483"/>
        <item m="1" x="569"/>
        <item m="1" x="1649"/>
        <item m="1" x="720"/>
        <item m="1" x="1001"/>
        <item m="1" x="1445"/>
        <item m="1" x="568"/>
        <item m="1" x="1504"/>
        <item m="1" x="733"/>
        <item m="1" x="1377"/>
        <item m="1" x="1241"/>
        <item m="1" x="1219"/>
        <item m="1" x="798"/>
        <item m="1" x="760"/>
        <item m="1" x="1572"/>
        <item m="1" x="513"/>
        <item m="1" x="695"/>
        <item m="1" x="1354"/>
        <item m="1" x="1465"/>
        <item m="1" x="1392"/>
        <item m="1" x="1596"/>
        <item m="1" x="1100"/>
        <item m="1" x="727"/>
        <item m="1" x="847"/>
        <item m="1" x="1166"/>
        <item m="1" x="908"/>
        <item m="1" x="1236"/>
        <item m="1" x="849"/>
        <item m="1" x="651"/>
        <item m="1" x="1304"/>
        <item m="1" x="706"/>
        <item m="1" x="586"/>
        <item m="1" x="1438"/>
        <item m="1" x="1585"/>
        <item m="1" x="1286"/>
        <item m="1" x="551"/>
        <item m="1" x="1477"/>
        <item m="1" x="1275"/>
        <item m="1" x="1385"/>
        <item m="1" x="1524"/>
        <item m="1" x="752"/>
        <item m="1" x="944"/>
        <item m="1" x="782"/>
        <item m="1" x="1050"/>
        <item m="1" x="974"/>
        <item m="1" x="1004"/>
        <item m="1" x="1540"/>
        <item m="1" x="986"/>
        <item m="1" x="1189"/>
        <item m="1" x="721"/>
        <item m="1" x="920"/>
        <item m="1" x="894"/>
        <item m="1" x="1237"/>
        <item m="1" x="1140"/>
        <item m="1" x="1368"/>
        <item m="1" x="890"/>
        <item m="1" x="1526"/>
        <item m="1" x="728"/>
        <item m="1" x="654"/>
        <item m="1" x="910"/>
        <item m="1" x="1451"/>
        <item m="1" x="561"/>
        <item m="1" x="562"/>
        <item m="1" x="858"/>
        <item m="1" x="1531"/>
        <item m="1" x="925"/>
        <item m="1" x="570"/>
        <item m="1" x="730"/>
        <item m="1" x="972"/>
        <item m="1" x="1283"/>
        <item m="1" x="1255"/>
        <item m="1" x="926"/>
        <item m="1" x="507"/>
        <item m="1" x="645"/>
        <item m="1" x="857"/>
        <item m="1" x="745"/>
        <item m="1" x="502"/>
        <item m="1" x="1455"/>
        <item m="1" x="1584"/>
        <item m="1" x="1054"/>
        <item m="1" x="1484"/>
        <item m="1" x="1544"/>
        <item m="1" x="567"/>
        <item m="1" x="1582"/>
        <item m="1" x="1320"/>
        <item m="1" x="743"/>
        <item m="1" x="929"/>
        <item m="1" x="833"/>
        <item m="1" x="1195"/>
        <item m="1" x="766"/>
        <item m="1" x="982"/>
        <item m="1" x="1277"/>
        <item m="1" x="1402"/>
        <item m="1" x="905"/>
        <item m="1" x="1033"/>
        <item m="1" x="845"/>
        <item m="1" x="771"/>
        <item m="1" x="1282"/>
        <item m="1" x="1397"/>
        <item m="1" x="1559"/>
        <item m="1" x="601"/>
        <item m="1" x="805"/>
        <item m="1" x="1245"/>
        <item m="1" x="646"/>
        <item m="1" x="933"/>
        <item m="1" x="1314"/>
        <item m="1" x="579"/>
        <item m="1" x="789"/>
        <item m="1" x="899"/>
        <item m="1" x="1505"/>
        <item m="1" x="738"/>
        <item m="1" x="1008"/>
        <item m="1" x="1561"/>
        <item m="1" x="689"/>
        <item m="1" x="878"/>
        <item m="1" x="1066"/>
        <item m="1" x="1403"/>
        <item m="1" x="701"/>
        <item m="1" x="957"/>
        <item m="1" x="799"/>
        <item m="1" x="1295"/>
        <item m="1" x="1481"/>
        <item m="1" x="607"/>
        <item m="1" x="827"/>
        <item m="1" x="1563"/>
        <item m="1" x="1528"/>
        <item m="1" x="628"/>
        <item m="1" x="945"/>
        <item m="1" x="1469"/>
        <item m="1" x="1600"/>
        <item m="1" x="1471"/>
        <item m="1" x="1446"/>
        <item m="1" x="577"/>
        <item m="1" x="753"/>
        <item m="1" x="835"/>
        <item m="1" x="824"/>
        <item m="1" x="1051"/>
        <item m="1" x="539"/>
        <item m="1" x="1238"/>
        <item m="1" x="1309"/>
        <item m="1" x="491"/>
        <item m="1" x="1569"/>
        <item m="1" x="1431"/>
        <item m="1" x="1560"/>
        <item m="1" x="1590"/>
        <item m="1" x="1626"/>
        <item m="1" x="1564"/>
        <item m="1" x="928"/>
        <item m="1" x="1288"/>
        <item m="1" x="895"/>
        <item m="1" x="1301"/>
        <item m="1" x="1266"/>
        <item m="1" x="704"/>
        <item m="1" x="742"/>
        <item m="1" x="880"/>
        <item m="1" x="1345"/>
        <item m="1" x="865"/>
        <item m="1" x="611"/>
        <item m="1" x="1610"/>
        <item m="1" x="1360"/>
        <item m="1" x="1193"/>
        <item m="1" x="1225"/>
        <item m="1" x="1274"/>
        <item m="1" x="699"/>
        <item m="1" x="1041"/>
        <item m="1" x="1386"/>
        <item m="1" x="537"/>
        <item m="1" x="780"/>
        <item m="1" x="680"/>
        <item m="1" x="677"/>
        <item m="1" x="681"/>
        <item m="1" x="482"/>
        <item m="1" x="703"/>
        <item m="1" x="1500"/>
        <item m="1" x="504"/>
        <item m="1" x="1150"/>
        <item m="1" x="1587"/>
        <item m="1" x="1398"/>
        <item m="1" x="658"/>
        <item m="1" x="1658"/>
        <item m="1" x="587"/>
        <item m="1" x="954"/>
        <item m="1" x="1177"/>
        <item m="1" x="633"/>
        <item m="1" x="1086"/>
        <item m="1" x="1246"/>
        <item m="1" x="1514"/>
        <item m="1" x="1416"/>
        <item m="1" x="495"/>
        <item m="1" x="1178"/>
        <item m="1" x="578"/>
        <item m="1" x="814"/>
        <item m="1" x="786"/>
        <item m="1" x="548"/>
        <item m="1" x="1141"/>
        <item m="1" x="1148"/>
        <item m="1" x="1248"/>
        <item m="1" x="997"/>
        <item m="1" x="1497"/>
        <item m="1" x="906"/>
        <item m="1" x="1616"/>
        <item m="1" x="1251"/>
        <item m="1" x="1142"/>
        <item m="1" x="806"/>
        <item m="1" x="1214"/>
        <item m="1" x="1512"/>
        <item m="1" x="1577"/>
        <item m="1" x="1556"/>
        <item m="1" x="1486"/>
        <item m="1" x="1235"/>
        <item m="1" x="1348"/>
        <item m="1" x="861"/>
        <item m="1" x="1310"/>
        <item m="1" x="1135"/>
        <item m="1" x="1094"/>
        <item m="1" x="1092"/>
        <item m="1" x="1093"/>
        <item m="1" x="790"/>
        <item m="1" x="834"/>
        <item m="1" x="1447"/>
        <item m="1" x="1012"/>
        <item m="1" x="854"/>
        <item m="1" x="896"/>
        <item m="1" x="942"/>
        <item m="1" x="1194"/>
        <item m="1" x="1532"/>
        <item m="1" x="1621"/>
        <item m="1" x="739"/>
        <item m="1" x="690"/>
        <item m="1" x="527"/>
        <item m="1" x="549"/>
        <item m="1" x="846"/>
        <item m="1" x="634"/>
        <item m="1" x="962"/>
        <item m="1" x="1498"/>
        <item m="1" x="839"/>
        <item m="1" x="631"/>
        <item m="1" x="1390"/>
        <item m="1" x="508"/>
        <item m="1" x="1516"/>
        <item m="1" x="1591"/>
        <item m="1" x="1655"/>
        <item m="1" x="1530"/>
        <item m="1" x="773"/>
        <item m="1" x="550"/>
        <item m="1" x="1014"/>
        <item m="1" x="1098"/>
        <item m="1" x="1294"/>
        <item m="1" x="1262"/>
        <item m="1" x="1298"/>
        <item m="1" x="1075"/>
        <item m="1" x="1113"/>
        <item m="1" x="1554"/>
        <item m="1" x="1317"/>
        <item m="1" x="1287"/>
        <item m="1" x="1226"/>
        <item m="1" x="1299"/>
        <item m="1" x="500"/>
        <item m="1" x="505"/>
        <item m="1" x="1108"/>
        <item m="1" x="1493"/>
        <item m="1" x="1063"/>
        <item m="1" x="1633"/>
        <item m="1" x="1032"/>
        <item m="1" x="1208"/>
        <item m="1" x="1279"/>
        <item m="1" x="893"/>
        <item m="1" x="725"/>
        <item m="1" x="1101"/>
        <item m="1" x="787"/>
        <item m="1" x="1642"/>
        <item m="1" x="1557"/>
        <item m="1" x="1370"/>
        <item m="1" x="627"/>
        <item m="1" x="554"/>
        <item m="1" x="1127"/>
        <item m="1" x="1371"/>
        <item m="1" x="1660"/>
        <item m="1" x="1006"/>
        <item m="1" x="1607"/>
        <item m="1" x="541"/>
        <item m="1" x="655"/>
        <item m="1" x="967"/>
        <item m="1" x="1058"/>
        <item m="1" x="1487"/>
        <item m="1" x="811"/>
        <item m="1" x="1490"/>
        <item m="1" x="907"/>
        <item m="1" x="1479"/>
        <item m="1" x="1643"/>
        <item m="1" x="571"/>
        <item m="1" x="1627"/>
        <item m="1" x="518"/>
        <item m="1" x="1380"/>
        <item m="1" x="998"/>
        <item m="1" x="829"/>
        <item m="1" x="792"/>
        <item m="1" x="936"/>
        <item m="1" x="535"/>
        <item m="1" x="1620"/>
        <item m="1" x="619"/>
        <item m="1" x="640"/>
        <item m="1" x="1513"/>
        <item m="1" x="1592"/>
        <item m="1" x="1106"/>
        <item m="1" x="1247"/>
        <item m="1" x="948"/>
        <item m="1" x="1061"/>
        <item m="1" x="1210"/>
        <item m="1" x="1327"/>
        <item m="1" x="914"/>
        <item m="1" x="1190"/>
        <item m="1" x="1009"/>
        <item m="1" x="1646"/>
        <item m="1" x="499"/>
        <item m="1" x="938"/>
        <item m="1" x="879"/>
        <item m="1" x="840"/>
        <item m="1" x="1634"/>
        <item m="1" x="1452"/>
        <item m="1" x="1583"/>
        <item m="1" x="596"/>
        <item m="1" x="1594"/>
        <item m="1" x="1581"/>
        <item m="1" x="1458"/>
        <item m="1" x="693"/>
        <item m="1" x="1062"/>
        <item m="1" x="1155"/>
        <item m="1" x="901"/>
        <item m="1" x="1499"/>
        <item m="1" x="1285"/>
        <item m="1" x="1305"/>
        <item m="1" x="1199"/>
        <item m="1" x="542"/>
        <item m="1" x="1372"/>
        <item m="1" x="1534"/>
        <item m="1" x="939"/>
        <item m="1" x="1653"/>
        <item m="1" x="1147"/>
        <item m="1" x="734"/>
        <item m="1" x="867"/>
        <item m="1" x="903"/>
        <item m="1" x="1562"/>
        <item m="1" x="1546"/>
        <item m="1" x="606"/>
        <item m="1" x="608"/>
        <item m="1" x="522"/>
        <item m="1" x="1482"/>
        <item m="1" x="524"/>
        <item m="1" x="941"/>
        <item m="1" x="841"/>
        <item m="1" x="1297"/>
        <item m="1" x="1240"/>
        <item m="1" x="1589"/>
        <item m="1" x="1521"/>
        <item m="1" x="1013"/>
        <item m="1" x="1227"/>
        <item m="1" x="1462"/>
        <item m="1" x="575"/>
        <item m="1" x="1007"/>
        <item m="1" x="937"/>
        <item m="1" x="1631"/>
        <item m="1" x="1598"/>
        <item m="1" x="1029"/>
        <item m="1" x="635"/>
        <item m="1" x="930"/>
        <item m="1" x="1103"/>
        <item m="1" x="557"/>
        <item m="1" x="1393"/>
        <item m="1" x="987"/>
        <item m="1" x="797"/>
        <item m="1" x="891"/>
        <item m="1" x="1337"/>
        <item m="1" x="1636"/>
        <item m="1" x="715"/>
        <item m="1" x="1488"/>
        <item m="1" x="709"/>
        <item m="1" x="1273"/>
        <item m="1" x="1045"/>
        <item m="1" x="976"/>
        <item m="1" x="698"/>
        <item m="1" x="765"/>
        <item m="1" x="553"/>
        <item m="1" x="1353"/>
        <item m="1" x="866"/>
        <item m="1" x="590"/>
        <item m="1" x="1204"/>
        <item m="1" x="1519"/>
        <item m="1" x="1059"/>
        <item m="1" x="1017"/>
        <item m="1" x="488"/>
        <item m="1" x="1624"/>
        <item m="1" x="874"/>
        <item m="1" x="934"/>
        <item m="1" x="1341"/>
        <item m="1" x="1618"/>
        <item m="1" x="1543"/>
        <item m="1" x="1394"/>
        <item m="1" x="1509"/>
        <item m="1" x="670"/>
        <item m="1" x="869"/>
        <item m="1" x="702"/>
        <item m="1" x="494"/>
        <item m="1" x="1107"/>
        <item m="1" x="556"/>
        <item m="1" x="778"/>
        <item m="1" x="722"/>
        <item m="1" x="668"/>
        <item m="1" x="1623"/>
        <item m="1" x="719"/>
        <item m="1" x="1321"/>
        <item m="1" x="1533"/>
        <item m="1" x="659"/>
        <item m="1" x="563"/>
        <item m="1" x="1356"/>
        <item m="1" x="1332"/>
        <item m="1" x="1373"/>
        <item m="1" x="1292"/>
        <item m="1" x="636"/>
        <item m="1" x="992"/>
        <item m="1" x="1260"/>
        <item m="1" x="1510"/>
        <item m="1" x="1104"/>
        <item m="1" x="1222"/>
        <item m="1" x="1566"/>
        <item m="1" x="978"/>
        <item m="1" x="822"/>
        <item m="1" x="1055"/>
        <item m="1" x="1002"/>
        <item m="1" x="932"/>
        <item m="1" x="1449"/>
        <item m="1" x="1136"/>
        <item m="1" x="1232"/>
        <item m="1" x="483"/>
        <item m="1" x="1028"/>
        <item m="1" x="630"/>
        <item m="1" x="897"/>
        <item m="1" x="1035"/>
        <item m="1" x="565"/>
        <item m="1" x="682"/>
        <item m="1" x="1137"/>
        <item m="1" x="1334"/>
        <item m="1" x="1604"/>
        <item m="1" x="1647"/>
        <item m="1" x="1257"/>
        <item m="1" x="605"/>
        <item m="1" x="533"/>
        <item m="1" x="1119"/>
        <item m="1" x="741"/>
        <item m="1" x="1015"/>
        <item m="1" x="643"/>
        <item m="1" x="746"/>
        <item m="1" x="1173"/>
        <item m="1" x="1529"/>
        <item m="1" x="1460"/>
        <item m="1" x="876"/>
        <item m="1" x="911"/>
        <item m="1" x="1187"/>
        <item m="1" x="1617"/>
        <item m="1" x="1343"/>
        <item m="1" x="509"/>
        <item m="1" x="1571"/>
        <item m="1" x="617"/>
        <item m="1" x="1263"/>
        <item m="1" x="1308"/>
        <item m="1" x="1311"/>
        <item m="1" x="1651"/>
        <item m="1" x="544"/>
        <item m="1" x="1322"/>
        <item m="1" x="1419"/>
        <item m="1" x="1191"/>
        <item m="1" x="1361"/>
        <item m="1" x="603"/>
        <item m="1" x="995"/>
        <item m="1" x="842"/>
        <item m="1" x="1454"/>
        <item m="1" x="1549"/>
        <item m="1" x="1078"/>
        <item m="1" x="1517"/>
        <item m="1" x="1565"/>
        <item m="1" x="918"/>
        <item m="1" x="1421"/>
        <item m="1" x="1284"/>
        <item m="1" x="1567"/>
        <item m="1" x="1611"/>
        <item m="1" x="1349"/>
        <item m="1" x="959"/>
        <item m="1" x="764"/>
        <item m="1" x="1599"/>
        <item m="1" x="1146"/>
        <item m="1" x="1120"/>
        <item m="1" x="1129"/>
        <item m="1" x="1650"/>
        <item m="1" x="1374"/>
        <item m="1" x="1069"/>
        <item m="1" x="1338"/>
        <item m="1" x="1315"/>
        <item m="1" x="931"/>
        <item m="1" x="832"/>
        <item m="1" x="1331"/>
        <item m="1" x="726"/>
        <item m="1" x="683"/>
        <item m="1" x="625"/>
        <item m="1" x="1612"/>
        <item m="1" x="1228"/>
        <item m="1" x="963"/>
        <item m="1" x="1044"/>
        <item m="1" x="525"/>
        <item m="1" x="1601"/>
        <item m="1" x="1152"/>
        <item m="1" x="1300"/>
        <item m="1" x="748"/>
        <item m="1" x="1432"/>
        <item m="1" x="935"/>
        <item m="1" x="828"/>
        <item m="1" x="1656"/>
        <item m="1" x="958"/>
        <item m="1" x="1597"/>
        <item m="1" x="1183"/>
        <item m="1" x="859"/>
        <item m="1" x="650"/>
        <item m="1" x="593"/>
        <item m="1" x="887"/>
        <item m="1" x="584"/>
        <item m="1" x="555"/>
        <item m="1" x="572"/>
        <item m="1" x="851"/>
        <item m="1" x="696"/>
        <item m="1" x="1003"/>
        <item m="1" x="1060"/>
        <item m="1" x="1159"/>
        <item m="1" x="1030"/>
        <item m="1" x="1363"/>
        <item m="1" x="1427"/>
        <item m="1" x="639"/>
        <item m="1" x="649"/>
        <item m="1" x="838"/>
        <item m="1" x="980"/>
        <item m="1" x="770"/>
        <item m="1" x="1323"/>
        <item m="1" x="1073"/>
        <item m="1" x="990"/>
        <item m="1" x="1123"/>
        <item m="1" x="1429"/>
        <item m="1" x="1367"/>
        <item m="1" x="1453"/>
        <item m="1" x="1209"/>
        <item m="1" x="629"/>
        <item m="1" x="1635"/>
        <item m="1" x="1048"/>
        <item m="1" x="663"/>
        <item m="1" x="487"/>
        <item m="1" x="1632"/>
        <item m="1" x="1116"/>
        <item m="1" x="1083"/>
        <item m="1" x="855"/>
        <item m="1" x="735"/>
        <item m="1" x="819"/>
        <item m="1" x="973"/>
        <item m="1" x="1548"/>
        <item m="1" x="1467"/>
        <item m="1" x="843"/>
        <item m="1" x="916"/>
        <item m="1" x="923"/>
        <item m="1" x="1461"/>
        <item m="1" x="1064"/>
        <item m="1" x="536"/>
        <item m="1" x="1097"/>
        <item m="1" x="1376"/>
        <item m="1" x="1502"/>
        <item m="1" x="1395"/>
        <item m="1" x="1203"/>
        <item m="1" x="1501"/>
        <item m="1" x="515"/>
        <item m="1" x="1418"/>
        <item m="1" x="497"/>
        <item m="1" x="837"/>
        <item m="1" x="501"/>
        <item m="1" x="660"/>
        <item m="1" x="750"/>
        <item m="1" x="756"/>
        <item m="1" x="1174"/>
        <item m="1" x="1428"/>
        <item m="1" x="955"/>
        <item m="1" x="526"/>
        <item m="1" x="732"/>
        <item m="1" x="520"/>
        <item m="1" x="1515"/>
        <item m="1" x="740"/>
        <item m="1" x="1076"/>
        <item m="1" x="1535"/>
        <item m="1" x="862"/>
        <item m="1" x="804"/>
        <item m="1" x="1200"/>
        <item m="1" x="757"/>
        <item m="1" x="1065"/>
        <item m="1" x="1359"/>
        <item m="1" x="498"/>
        <item m="1" x="1011"/>
        <item m="1" x="1130"/>
        <item m="1" x="622"/>
        <item m="1" x="964"/>
        <item m="1" x="1099"/>
        <item m="1" x="850"/>
        <item m="1" x="888"/>
        <item m="1" x="615"/>
        <item m="1" x="1021"/>
        <item m="1" x="485"/>
        <item m="1" x="1157"/>
        <item m="1" x="1550"/>
        <item m="1" x="1271"/>
        <item m="1" x="1265"/>
        <item m="1" x="1164"/>
        <item m="1" x="490"/>
        <item m="1" x="1296"/>
        <item m="1" x="1339"/>
        <item m="1" x="1145"/>
        <item m="1" x="489"/>
        <item m="1" x="1496"/>
        <item m="1" x="1463"/>
        <item m="1" x="493"/>
        <item m="1" x="772"/>
        <item m="1" x="1162"/>
        <item m="1" x="1417"/>
        <item m="1" x="614"/>
        <item m="1" x="510"/>
        <item m="1" x="669"/>
        <item m="1" x="560"/>
        <item m="1" x="968"/>
        <item m="1" x="781"/>
        <item m="1" x="779"/>
        <item m="1" x="950"/>
        <item m="1" x="1052"/>
        <item m="1" x="956"/>
        <item m="1" x="1153"/>
        <item m="1" x="1005"/>
        <item m="1" x="870"/>
        <item m="1" x="985"/>
        <item m="1" x="1478"/>
        <item m="1" x="1573"/>
        <item m="1" x="830"/>
        <item m="1" x="1553"/>
        <item m="1" x="595"/>
        <item m="1" x="1542"/>
        <item m="1" x="1239"/>
        <item m="1" x="1410"/>
        <item m="1" x="1489"/>
        <item m="1" x="1169"/>
        <item m="1" x="1381"/>
        <item m="1" x="673"/>
        <item m="1" x="656"/>
        <item m="1" x="1278"/>
        <item m="1" x="1250"/>
        <item m="1" x="812"/>
        <item m="1" x="1648"/>
        <item m="1" x="1220"/>
        <item m="1" x="960"/>
        <item m="1" x="1034"/>
        <item m="1" x="993"/>
        <item m="1" x="1503"/>
        <item m="1" x="1507"/>
        <item m="1" x="503"/>
        <item m="1" x="1387"/>
        <item m="1" x="1433"/>
        <item m="1" x="552"/>
        <item m="1" x="924"/>
        <item m="1" x="915"/>
        <item m="1" x="1422"/>
        <item m="1" x="1121"/>
        <item m="1" x="1325"/>
        <item m="1" x="991"/>
        <item m="1" x="1342"/>
        <item m="1" x="530"/>
        <item m="1" x="653"/>
        <item m="1" x="1622"/>
        <item m="1" x="1242"/>
        <item m="1" x="1614"/>
        <item m="1" x="534"/>
        <item m="1" x="794"/>
        <item m="1" x="610"/>
        <item m="1" x="543"/>
        <item m="1" x="558"/>
        <item m="1" x="1110"/>
        <item m="1" x="1143"/>
        <item m="1" x="815"/>
        <item m="1" x="1233"/>
        <item m="1" x="1551"/>
        <item m="1" x="902"/>
        <item m="1" x="981"/>
        <item m="1" x="1131"/>
        <item m="1" x="1619"/>
        <item m="1" x="796"/>
        <item m="1" x="808"/>
        <item m="1" x="818"/>
        <item m="1" x="1439"/>
        <item m="1" x="1575"/>
        <item m="1" x="492"/>
        <item m="1" x="1319"/>
        <item m="1" x="1615"/>
        <item m="1" x="716"/>
        <item m="1" x="1031"/>
        <item m="1" x="1652"/>
        <item m="1" x="1558"/>
        <item m="1" x="705"/>
        <item m="1" x="817"/>
        <item m="1" x="904"/>
        <item m="1" x="1229"/>
        <item m="1" x="1426"/>
        <item m="1" x="661"/>
        <item m="1" x="1132"/>
        <item m="1" x="657"/>
        <item m="1" x="626"/>
        <item m="1" x="574"/>
        <item m="1" x="1545"/>
        <item m="1" x="1138"/>
        <item m="1" x="1586"/>
        <item m="1" x="979"/>
        <item m="1" x="1603"/>
        <item m="1" x="1355"/>
        <item m="1" x="644"/>
        <item m="1" x="1459"/>
        <item m="1" x="1473"/>
        <item m="1" x="1133"/>
        <item m="1" x="1508"/>
        <item m="1" x="1346"/>
        <item m="1" x="1211"/>
        <item m="1" x="528"/>
        <item m="1" x="1357"/>
        <item m="1" x="1089"/>
        <item m="1" x="1022"/>
        <item m="1" x="1365"/>
        <item m="1" x="949"/>
        <item m="1" x="583"/>
        <item m="1" x="755"/>
        <item m="1" x="532"/>
        <item m="1" x="881"/>
        <item m="1" x="1259"/>
        <item m="1" x="844"/>
        <item m="1" x="707"/>
        <item m="1" x="922"/>
        <item m="1" x="600"/>
        <item m="1" x="852"/>
        <item m="1" x="723"/>
        <item m="1" x="1074"/>
        <item m="1" x="1661"/>
        <item m="1" x="1115"/>
        <item m="1" x="711"/>
        <item m="1" x="988"/>
        <item m="1" x="694"/>
        <item m="1" x="747"/>
        <item m="1" x="1039"/>
        <item m="1" x="1307"/>
        <item m="1" x="1024"/>
        <item m="1" x="1474"/>
        <item m="1" x="1036"/>
        <item m="1" x="1270"/>
        <item m="1" x="585"/>
        <item m="1" x="1068"/>
        <item m="1" x="708"/>
        <item m="1" x="638"/>
        <item m="1" x="1364"/>
        <item m="1" x="679"/>
        <item m="1" x="1388"/>
        <item m="1" x="580"/>
        <item m="1" x="1205"/>
        <item m="1" x="1212"/>
        <item m="1" x="616"/>
        <item m="1" x="1134"/>
        <item m="1" x="512"/>
        <item m="1" x="1335"/>
        <item m="1" x="1040"/>
        <item m="1" x="1261"/>
        <item m="1" x="1230"/>
        <item m="1" x="1450"/>
        <item m="1" x="1223"/>
        <item m="1" x="801"/>
        <item m="1" x="1302"/>
        <item m="1" x="1436"/>
        <item m="1" x="1126"/>
        <item m="1" x="1258"/>
        <item m="1" x="591"/>
        <item m="1" x="1424"/>
        <item m="1" x="1081"/>
        <item m="1" x="946"/>
        <item m="1" x="1330"/>
        <item m="1" x="856"/>
        <item m="1" x="1179"/>
        <item m="1" x="713"/>
        <item m="1" x="809"/>
        <item m="1" x="1206"/>
        <item m="1" x="975"/>
        <item m="1" x="519"/>
        <item m="1" x="853"/>
        <item m="1" x="1333"/>
        <item m="1" x="1435"/>
        <item m="1" x="538"/>
        <item m="1" x="823"/>
        <item m="1" x="758"/>
        <item m="1" x="1091"/>
        <item m="1" x="1184"/>
        <item m="1" x="624"/>
        <item m="1" x="1606"/>
        <item m="1" x="589"/>
        <item m="1" x="662"/>
        <item m="1" x="1443"/>
        <item m="1" x="951"/>
        <item m="1" x="965"/>
        <item m="1" x="1019"/>
        <item m="1" x="594"/>
        <item m="1" x="873"/>
        <item m="1" x="1268"/>
        <item m="1" x="1180"/>
        <item m="1" x="970"/>
        <item m="1" x="917"/>
        <item m="1" x="547"/>
        <item m="1" x="785"/>
        <item m="1" x="1249"/>
        <item m="1" x="883"/>
        <item m="1" x="1046"/>
        <item m="1" x="983"/>
        <item m="1" x="1165"/>
        <item m="1" x="529"/>
        <item m="1" x="1010"/>
        <item m="1" x="684"/>
        <item m="1" x="1087"/>
        <item m="1" x="1213"/>
        <item m="1" x="1289"/>
        <item m="1" x="1224"/>
        <item m="1" x="1185"/>
        <item m="1" x="1111"/>
        <item m="1" x="1522"/>
        <item m="1" x="1414"/>
        <item m="1" x="665"/>
        <item m="1" x="1406"/>
        <item m="1" x="860"/>
        <item m="1" x="1170"/>
        <item m="1" x="576"/>
        <item m="1" x="1149"/>
        <item m="1" x="1016"/>
        <item m="1" x="1448"/>
        <item m="1" x="602"/>
        <item m="1" x="1659"/>
        <item m="1" x="641"/>
        <item m="1" x="581"/>
        <item m="1" x="1151"/>
        <item m="1" x="1351"/>
        <item m="1" x="1254"/>
        <item m="1" x="540"/>
        <item m="1" x="692"/>
        <item m="1" x="1480"/>
        <item m="1" x="1420"/>
        <item m="1" x="675"/>
        <item m="1" x="648"/>
        <item m="1" x="943"/>
        <item m="1" x="564"/>
        <item m="1" x="1171"/>
        <item m="1" x="604"/>
        <item m="1" x="774"/>
        <item m="1" x="1071"/>
        <item m="1" x="1602"/>
        <item m="1" x="642"/>
        <item m="1" x="912"/>
        <item m="1" x="759"/>
        <item m="1" x="921"/>
        <item m="1" x="1475"/>
        <item m="1" x="1358"/>
        <item m="1" x="820"/>
        <item m="1" x="573"/>
        <item m="1" x="1523"/>
        <item m="1" x="686"/>
        <item m="1" x="1468"/>
        <item m="1" x="1025"/>
        <item m="1" x="1409"/>
        <item m="1" x="768"/>
        <item m="1" x="940"/>
        <item m="1" x="1425"/>
        <item m="1" x="1613"/>
        <item m="1" x="1389"/>
        <item m="1" x="788"/>
        <item m="1" x="731"/>
        <item m="1" x="1434"/>
        <item m="1" x="1198"/>
        <item m="1" x="1042"/>
        <item m="1" x="1466"/>
        <item m="1" x="514"/>
        <item m="1" x="511"/>
        <item m="1" x="1186"/>
        <item m="1" x="1326"/>
        <item m="1" x="1281"/>
        <item m="1" x="1464"/>
        <item m="1" x="989"/>
        <item m="1" x="736"/>
        <item m="1" x="810"/>
        <item m="1" x="1340"/>
        <item m="1" x="892"/>
        <item m="1" x="1122"/>
        <item m="1" x="1537"/>
        <item m="1" x="775"/>
        <item m="1" x="1112"/>
        <item m="1" x="496"/>
        <item m="1" x="8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m="1" x="813"/>
        <item m="1" x="1574"/>
        <item m="1" x="516"/>
        <item m="1" x="48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651"/>
    </i>
    <i r="2">
      <x v="11"/>
    </i>
    <i r="1">
      <x v="1652"/>
    </i>
    <i r="2">
      <x v="3"/>
    </i>
    <i r="2">
      <x v="8"/>
    </i>
    <i r="2">
      <x v="11"/>
    </i>
    <i r="1">
      <x v="1657"/>
    </i>
    <i r="2">
      <x v="3"/>
    </i>
    <i r="2">
      <x v="8"/>
    </i>
    <i r="2">
      <x v="11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0" totalsRowShown="0" totalsRowDxfId="23">
  <autoFilter ref="A1:C140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244" totalsRowShown="0">
  <autoFilter ref="A1:S524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1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287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305</v>
      </c>
    </row>
    <row r="15" spans="1:2">
      <c r="A15" s="111" t="s">
        <v>369</v>
      </c>
      <c r="B15" s="150">
        <v>301</v>
      </c>
    </row>
    <row r="16" spans="1:2">
      <c r="A16" s="111" t="s">
        <v>370</v>
      </c>
      <c r="B16" s="150">
        <v>3</v>
      </c>
    </row>
    <row r="17" spans="1:2">
      <c r="A17" s="111" t="s">
        <v>375</v>
      </c>
      <c r="B17" s="150">
        <v>1</v>
      </c>
    </row>
    <row r="18" spans="1:2">
      <c r="A18" s="17" t="s">
        <v>569</v>
      </c>
      <c r="B18" s="150">
        <v>221</v>
      </c>
    </row>
    <row r="19" spans="1:2">
      <c r="A19" s="111" t="s">
        <v>369</v>
      </c>
      <c r="B19" s="150">
        <v>216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3</v>
      </c>
    </row>
    <row r="22" spans="1:2">
      <c r="A22" s="17" t="s">
        <v>570</v>
      </c>
      <c r="B22" s="150">
        <v>307</v>
      </c>
    </row>
    <row r="23" spans="1:2">
      <c r="A23" s="111" t="s">
        <v>369</v>
      </c>
      <c r="B23" s="150">
        <v>297</v>
      </c>
    </row>
    <row r="24" spans="1:2">
      <c r="A24" s="111" t="s">
        <v>377</v>
      </c>
      <c r="B24" s="150">
        <v>9</v>
      </c>
    </row>
    <row r="25" spans="1:2">
      <c r="A25" s="111" t="s">
        <v>692</v>
      </c>
      <c r="B25" s="150">
        <v>1</v>
      </c>
    </row>
    <row r="26" spans="1:2">
      <c r="A26" s="17" t="s">
        <v>6998</v>
      </c>
      <c r="B26" s="150">
        <v>4</v>
      </c>
    </row>
    <row r="27" spans="1:2">
      <c r="A27" s="111" t="s">
        <v>369</v>
      </c>
      <c r="B27" s="150">
        <v>4</v>
      </c>
    </row>
    <row r="28" spans="1:2">
      <c r="A28" s="17" t="s">
        <v>7194</v>
      </c>
      <c r="B28" s="150">
        <v>16</v>
      </c>
    </row>
    <row r="29" spans="1:2">
      <c r="A29" s="111" t="s">
        <v>369</v>
      </c>
      <c r="B29" s="150">
        <v>5</v>
      </c>
    </row>
    <row r="30" spans="1:2">
      <c r="A30" s="111" t="s">
        <v>375</v>
      </c>
      <c r="B30" s="150">
        <v>11</v>
      </c>
    </row>
    <row r="31" spans="1:2">
      <c r="A31" s="17" t="s">
        <v>381</v>
      </c>
      <c r="B31" s="150">
        <v>1140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C2" sqref="C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50</v>
      </c>
      <c r="C5"/>
      <c r="D5"/>
      <c r="E5"/>
    </row>
    <row r="6" spans="1:6">
      <c r="A6" s="111" t="s">
        <v>7519</v>
      </c>
      <c r="B6" s="150">
        <v>11</v>
      </c>
      <c r="C6" s="126"/>
      <c r="D6" s="124"/>
      <c r="E6" s="124"/>
    </row>
    <row r="7" spans="1:6">
      <c r="A7" s="112" t="s">
        <v>375</v>
      </c>
      <c r="B7" s="150">
        <v>11</v>
      </c>
      <c r="C7"/>
      <c r="D7"/>
      <c r="E7"/>
    </row>
    <row r="8" spans="1:6">
      <c r="A8" s="111" t="s">
        <v>7476</v>
      </c>
      <c r="B8" s="150">
        <v>34</v>
      </c>
      <c r="C8" s="56"/>
      <c r="D8" s="124"/>
      <c r="E8" s="124"/>
    </row>
    <row r="9" spans="1:6">
      <c r="A9" s="112" t="s">
        <v>369</v>
      </c>
      <c r="B9" s="150">
        <v>30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2" t="s">
        <v>375</v>
      </c>
      <c r="B11" s="150">
        <v>1</v>
      </c>
      <c r="C11"/>
      <c r="D11"/>
    </row>
    <row r="12" spans="1:6">
      <c r="A12" s="111" t="s">
        <v>7532</v>
      </c>
      <c r="B12" s="150">
        <v>5</v>
      </c>
      <c r="C12" s="126"/>
      <c r="D12"/>
    </row>
    <row r="13" spans="1:6">
      <c r="A13" s="112" t="s">
        <v>369</v>
      </c>
      <c r="B13" s="150">
        <v>1</v>
      </c>
      <c r="C13"/>
      <c r="D13"/>
    </row>
    <row r="14" spans="1:6">
      <c r="A14" s="112" t="s">
        <v>370</v>
      </c>
      <c r="B14" s="150">
        <v>1</v>
      </c>
      <c r="C14" s="126"/>
      <c r="D14"/>
    </row>
    <row r="15" spans="1:6">
      <c r="A15" s="112" t="s">
        <v>375</v>
      </c>
      <c r="B15" s="150">
        <v>3</v>
      </c>
      <c r="C15"/>
      <c r="D15" s="124"/>
      <c r="E15" s="124"/>
    </row>
    <row r="16" spans="1:6">
      <c r="A16" s="17" t="s">
        <v>4326</v>
      </c>
      <c r="B16" s="150">
        <v>9</v>
      </c>
      <c r="C16"/>
      <c r="D16"/>
    </row>
    <row r="17" spans="1:5">
      <c r="A17" s="111" t="s">
        <v>6639</v>
      </c>
      <c r="B17" s="150">
        <v>2</v>
      </c>
      <c r="C17"/>
      <c r="D17" s="124"/>
      <c r="E17" s="124"/>
    </row>
    <row r="18" spans="1:5">
      <c r="A18" s="112" t="s">
        <v>692</v>
      </c>
      <c r="B18" s="150">
        <v>2</v>
      </c>
      <c r="C18" s="126"/>
      <c r="D18"/>
    </row>
    <row r="19" spans="1:5">
      <c r="A19" s="111" t="s">
        <v>7343</v>
      </c>
      <c r="B19" s="150">
        <v>1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7364</v>
      </c>
      <c r="B21" s="150">
        <v>5</v>
      </c>
    </row>
    <row r="22" spans="1:5">
      <c r="A22" s="112" t="s">
        <v>369</v>
      </c>
      <c r="B22" s="150">
        <v>4</v>
      </c>
    </row>
    <row r="23" spans="1:5">
      <c r="A23" s="112" t="s">
        <v>692</v>
      </c>
      <c r="B23" s="150">
        <v>1</v>
      </c>
    </row>
    <row r="24" spans="1:5">
      <c r="A24" s="111" t="s">
        <v>7376</v>
      </c>
      <c r="B24" s="150">
        <v>1</v>
      </c>
    </row>
    <row r="25" spans="1:5">
      <c r="A25" s="112" t="s">
        <v>370</v>
      </c>
      <c r="B25" s="150">
        <v>1</v>
      </c>
      <c r="D25" s="124"/>
      <c r="E25" s="124"/>
    </row>
    <row r="26" spans="1:5">
      <c r="A26" s="17" t="s">
        <v>381</v>
      </c>
      <c r="B26" s="150">
        <v>59</v>
      </c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0"/>
  <sheetViews>
    <sheetView topLeftCell="A1350" workbookViewId="0">
      <selection activeCell="C1394" sqref="C1394:C140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244"/>
  <sheetViews>
    <sheetView tabSelected="1" zoomScale="105" zoomScaleNormal="105" workbookViewId="0">
      <selection activeCell="C5244" sqref="C524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275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250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250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250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250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250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250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250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250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250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250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250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246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241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241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241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241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241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238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238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237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228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228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228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219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219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219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199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199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198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198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198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188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173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173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173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173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173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173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173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173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173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173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173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173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173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173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173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173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173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173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173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173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170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170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170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170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169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169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169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169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169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169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169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169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169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169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169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169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169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169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169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169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169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169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169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169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169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169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169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169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169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169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169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169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169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169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168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168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168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168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168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168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168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168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168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168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168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168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168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168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168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168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168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168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164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164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164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164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164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164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164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164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164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164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164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164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164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164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164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164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164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164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164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164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164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164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164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164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164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164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164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164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164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164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164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164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164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164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164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164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164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164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164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164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164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164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164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164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164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164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164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164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164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164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164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164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164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164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164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164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164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164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164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164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164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164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164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164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164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164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164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164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164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164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164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164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164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164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164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164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164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164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164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164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164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164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164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164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164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164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164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164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164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164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164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164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158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158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153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153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148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148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148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148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148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148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148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148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148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148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148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148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148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148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148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148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148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148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148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148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148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148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148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148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148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148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148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148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148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148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148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148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148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148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148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148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148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148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148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148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148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148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148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148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148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148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148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148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148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148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148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148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148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148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148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148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148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148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148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148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148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148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148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148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148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148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148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148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148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148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148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148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148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148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148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148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148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148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148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148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148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148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148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148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148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148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148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148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148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148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148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148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148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148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148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148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148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148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148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148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148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148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148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148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148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145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145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145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145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146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143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143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138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138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138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138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138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138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138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138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138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138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138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136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136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136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136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136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136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136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136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136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136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136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136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136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136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136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136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136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136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136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136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136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136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136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136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136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136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136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136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136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136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136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136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136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136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136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136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136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136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136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136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136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136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136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136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136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136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136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136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136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136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136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136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136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136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136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136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136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136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136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136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136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136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136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136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136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136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136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136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136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136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136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136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136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136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136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136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136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136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136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136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136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136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136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136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136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136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136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136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136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136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136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136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136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136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136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136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136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136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136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136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136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136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136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136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136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136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136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136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136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136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136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136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136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136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136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136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136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136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136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136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136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136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136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136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136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136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136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136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136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136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136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136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136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136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136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136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136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136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136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136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136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136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136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136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136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136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136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136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136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136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136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136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136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136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136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136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136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136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136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136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136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136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136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136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136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136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136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136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136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136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136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136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136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136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136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136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136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136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136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136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136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136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136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136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136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136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136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136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136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136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136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136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136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136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136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136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136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136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136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136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136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136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136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136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136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136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136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136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136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136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136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136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136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136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136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136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136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136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136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136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136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136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136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136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136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136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136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136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136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136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136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136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136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136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136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136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136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136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136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136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136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136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136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136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136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136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136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136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136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136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136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136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136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136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136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136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136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136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136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136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136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136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136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136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136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136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136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136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136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136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136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136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136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136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136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136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136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136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136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136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136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136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136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136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136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136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136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136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136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136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136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136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136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136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136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136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136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136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136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136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136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136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136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136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136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136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136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136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136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136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136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136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136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136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136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136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136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136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136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136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136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136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136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136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136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136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136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136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136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136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136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136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136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136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136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134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134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134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134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134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134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134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134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134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134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133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133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133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132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132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132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132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132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132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131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131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129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128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128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128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127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127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127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125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125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125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125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125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125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125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122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122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122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122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122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122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122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122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122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122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122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122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122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122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122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122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122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122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122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122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122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122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122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122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122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122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122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122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122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121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121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119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119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119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119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119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119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119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119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119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119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117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117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117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117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117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117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117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117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116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116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116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116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116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116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116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116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116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116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116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116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116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116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116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116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116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114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114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114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114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114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114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114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114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114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114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114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114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114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114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114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114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114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114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114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114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114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114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114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114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114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114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114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114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114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114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114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114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114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114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114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114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114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114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114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114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114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114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114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114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114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114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114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114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114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114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114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114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114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114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114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114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114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114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114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114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114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114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114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114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114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114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114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114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114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114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114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114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114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114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114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114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114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114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114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114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114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114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114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114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114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114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114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114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114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114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114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114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114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114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114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114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114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114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114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114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114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114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114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114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114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114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114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114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114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114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114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114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114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114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114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114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114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114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114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114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114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114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114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114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114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114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114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114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114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114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114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114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114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114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114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114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114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114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114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114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114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114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114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114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114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114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114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114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114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114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114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114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114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114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114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114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114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114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114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114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114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114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114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114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114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114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114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114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114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114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114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114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114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114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114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114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114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114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114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114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114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114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114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114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114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114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114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114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114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114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114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114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114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114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114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114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114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114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114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114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114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114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114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114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114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114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114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114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114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114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114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114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114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114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114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114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114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114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114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114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114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114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114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114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114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114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114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114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114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114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114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114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114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114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114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114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114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114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114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114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114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114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114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114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114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114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114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114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114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114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114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114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114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114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114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114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114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114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114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114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114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114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114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114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114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114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114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114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114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114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114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114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114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114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114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114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114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114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114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114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114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114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114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114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114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114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114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114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114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114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114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114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114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114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114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113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113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113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113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113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113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113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113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113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113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113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113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113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113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113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113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113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113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113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113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113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113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113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113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113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113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113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113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113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113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113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113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113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113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113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113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113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113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113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113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113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113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113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113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113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113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113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113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113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113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113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113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113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113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113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113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113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113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113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113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113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113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113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113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113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113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113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113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113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113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113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113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113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113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113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113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113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113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113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113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113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113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113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113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113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113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113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113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113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113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113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113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113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113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113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113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113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113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113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113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113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113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113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113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113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113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113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113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113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113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113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113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113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113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113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113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113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113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113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113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113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113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113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113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113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113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113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113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113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113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113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113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113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113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113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113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113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113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113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113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113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113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113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113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113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113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113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113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113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113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113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113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113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113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113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113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113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113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113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113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113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113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113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113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113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113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113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113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113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113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113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113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113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113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113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113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113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113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113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113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113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113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113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113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113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113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113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113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113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113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113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113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113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113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113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113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113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113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113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113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113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113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110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110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110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110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110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110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110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110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110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110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110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110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110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110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110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110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110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110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110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110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110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110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110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110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110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110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110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110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110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110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110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110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110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110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110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110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110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110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110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110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110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110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110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109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109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108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108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108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108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108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108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108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107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107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107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106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106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106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106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106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106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106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106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106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106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106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106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106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106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106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106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106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106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106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106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106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106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106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106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106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106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106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106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106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106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106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106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106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106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106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106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106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106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106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106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106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106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106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106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106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106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106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106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106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106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106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106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106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106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106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106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106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106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106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106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106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106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106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106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106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106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106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106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106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106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106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106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106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106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106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106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106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106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106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106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106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106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106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106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106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106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106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106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106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106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106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106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106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106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105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105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105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105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105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105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105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105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105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105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105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105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105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105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105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105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105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105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105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104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104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104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104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104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104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104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104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104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104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104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104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104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104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104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104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104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104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103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103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103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103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103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103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103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103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103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103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103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103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100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100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100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100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100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100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100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100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100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100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100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100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100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100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100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100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100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100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100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100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100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100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100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100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100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100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100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100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100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99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99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99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99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99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99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99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99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99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99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99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99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99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99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99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99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99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99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99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99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99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99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99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99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99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99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99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99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99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99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99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99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99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99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99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98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98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98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98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98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98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98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98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98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98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98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98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98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98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98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98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98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98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98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98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98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98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98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98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98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98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98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98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98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98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98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98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98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98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98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98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98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98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98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98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98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98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98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98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98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98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98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98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98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98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98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98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98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98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98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98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98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98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98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98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98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98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98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98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98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98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98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98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98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98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98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98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98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98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98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98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98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98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98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98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98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98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98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98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98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98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98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98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98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98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98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98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98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98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98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98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98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98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98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98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98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98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98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98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98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98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98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98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98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98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98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98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98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98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98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98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98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98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98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98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98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98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98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98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98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98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98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98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98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98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98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98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98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98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98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98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98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98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98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98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98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98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98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98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98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98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98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98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98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98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98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98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98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98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98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98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98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98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98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98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98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98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98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98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98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98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98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98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98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98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98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98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98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98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98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98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98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98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98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98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98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98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98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98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98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98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98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98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98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98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98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98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98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98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98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98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98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98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98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98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98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98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98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98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98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98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98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98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98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98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98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98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98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98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98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98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98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98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98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98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98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98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98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98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98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98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98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98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98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98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98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98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98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98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98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98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96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96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96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96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96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96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96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96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96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96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96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96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96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96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96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96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95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95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95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95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95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95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95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95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95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95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95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95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95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95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95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95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95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95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95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95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95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95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95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95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95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95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95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95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95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95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95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95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95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95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95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95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95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95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95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94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94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94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94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94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94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94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94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94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94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94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94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94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94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94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94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94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94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93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93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93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93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93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93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93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93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93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93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93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93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93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93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93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93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93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93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93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93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93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93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93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93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93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93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93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93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93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93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93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93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93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93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93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93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93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93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93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93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93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93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93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93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93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93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93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93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93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93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93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93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93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93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93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93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93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93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93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93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93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93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93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93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93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93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93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93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93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93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93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93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93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93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93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93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93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93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93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93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93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93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93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93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93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93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93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93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93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93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93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93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93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93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93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93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93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93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93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93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93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93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93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93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93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93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93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93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93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93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93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93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93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93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93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89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89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89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89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89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89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89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89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89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89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89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89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88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88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88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88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88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88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88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88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88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88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88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88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88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88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88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88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88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88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88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88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88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88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88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88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88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88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88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88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88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88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88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85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85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85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85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85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85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85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85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85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84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83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83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83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83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83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83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82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82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82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82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82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82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82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82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82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82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82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82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82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82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82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82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82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82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82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82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81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81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81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81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81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81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81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81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81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81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81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81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80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80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80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80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80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80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80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80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80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80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80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80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77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77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77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77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77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77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77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77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77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77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77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77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77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77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77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77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77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77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77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77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77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77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77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77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77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77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77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77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77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77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77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77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77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77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77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77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77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77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77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77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77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77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77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77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77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77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77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77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77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77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76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76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76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76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76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76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76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76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76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76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76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76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76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76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76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76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73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72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72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72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72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72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72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70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70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70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70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70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70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70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70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70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70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70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70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70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70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70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70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70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70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70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70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70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70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70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70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70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70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70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70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70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70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70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70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70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70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70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70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70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70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70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70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70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70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70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70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70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70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70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68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68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68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68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68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68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68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68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68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68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68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68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68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68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68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68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68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68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68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68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68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68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68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68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68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68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68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68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66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66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66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66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61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61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61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61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61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60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60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60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60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60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60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60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60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60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60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60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60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57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57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57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57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57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57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57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57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57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57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57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57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57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57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57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57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57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57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57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57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57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57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57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57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57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57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57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57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57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56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55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54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54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54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54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54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54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54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54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54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54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54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54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54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54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54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54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54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54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54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54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54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54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54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54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54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54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54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53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53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53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53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53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53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53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53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53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53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53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53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53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53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53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53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53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53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53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53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53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53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53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53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53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53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53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53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53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53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53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53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53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53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53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53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53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53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53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52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370</v>
      </c>
      <c r="D4490" t="s">
        <v>6742</v>
      </c>
      <c r="E4490" t="s">
        <v>6640</v>
      </c>
      <c r="F4490" s="150" t="s">
        <v>6565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55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370</v>
      </c>
      <c r="D4491" t="s">
        <v>6743</v>
      </c>
      <c r="E4491" t="s">
        <v>6641</v>
      </c>
      <c r="F4491" s="150" t="s">
        <v>6565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55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50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50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50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50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50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50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50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50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50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50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50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50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50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50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50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50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50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50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50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50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50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50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50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50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50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50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50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50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50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50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50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50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50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50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50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50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50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50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50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50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50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50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50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50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50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50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50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50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50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50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50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50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50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50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50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50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50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50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50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50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50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50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50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50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50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50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50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50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50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50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50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50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50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50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50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50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50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50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50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50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50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50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50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50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50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50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50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50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50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50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50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50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50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48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48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48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48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48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48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48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48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48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48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48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48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48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48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48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48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48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48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48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48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48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48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48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48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48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48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48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48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48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47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45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45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45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42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42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42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42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42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42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42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42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42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42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42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42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42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42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42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42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42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42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42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42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42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42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42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42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42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42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42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42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42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42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42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42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42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42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42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42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42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42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42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42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42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42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42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42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42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42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42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42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42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42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42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42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42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42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42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42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42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42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42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39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39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39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39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39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39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39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39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39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39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39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39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39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39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39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39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39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39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39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39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39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39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39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39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38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38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38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38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38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38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38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38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38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38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38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38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38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38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36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36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36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36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36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36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36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34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34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34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34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34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34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34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34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34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34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34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34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34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34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34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34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34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34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34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34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34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34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34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34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34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34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34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34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34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34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34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34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34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34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34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34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34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34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34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34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34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34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34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34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34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34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34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34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34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34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34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34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34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34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34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34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34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34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34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34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34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34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34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34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33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33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33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33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33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33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33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33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33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33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31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31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31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31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31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31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31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31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31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31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31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31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31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31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31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31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31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31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31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31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31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31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31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31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31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31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31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31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31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31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31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31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31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31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30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30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30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30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30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30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30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30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30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30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30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30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30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30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30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30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30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30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30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30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30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30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30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30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30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30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30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30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30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30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30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30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30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30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30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30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30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30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30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30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30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30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30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30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30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30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30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30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30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30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30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30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30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30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30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30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30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30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30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30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30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30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30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30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30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30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30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30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30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30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30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30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30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30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30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30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30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30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30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30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30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30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30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30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30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30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30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30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30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30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30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30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30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30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30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30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30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30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30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30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30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30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30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30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30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30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30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30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30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30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30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30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30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30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30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30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30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30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30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30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30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30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30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30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30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30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30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30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30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30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30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30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30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30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30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30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30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30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30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30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30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30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30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30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30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29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29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29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29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29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29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29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29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29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29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29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29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29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29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29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29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29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29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29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29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29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29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29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29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29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29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29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29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28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28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28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28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28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28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28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28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28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28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28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27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27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27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27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27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27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27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27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27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27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27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27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27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27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27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27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27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27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27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27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27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27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27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27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27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27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26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26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25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25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25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25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25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25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25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25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25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25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25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25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25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25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25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25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25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25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25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25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24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24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24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24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24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24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24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24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24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24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24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24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24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24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24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24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24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24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24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24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24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24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24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24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24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24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24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24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">
        <v>7400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24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24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24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24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24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24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22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22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22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22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22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22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22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22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20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">
        <v>7401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20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20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20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20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19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19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19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19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19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19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7378</v>
      </c>
      <c r="E5115" t="s">
        <v>7377</v>
      </c>
      <c r="F5115" s="150" t="s">
        <v>7399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19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16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16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16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16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16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16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16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16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16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16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16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16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16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16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16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12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12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12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12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12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12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12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12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12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12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12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12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12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12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12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12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9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9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9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on track</v>
      </c>
      <c r="Q5150" s="3">
        <f ca="1">IF(Proc[[#This Row],[DateClosed]]="",ABS(NETWORKDAYS(Proc[[#This Row],[DateOpened]],TODAY()))-1,ABS(NETWORKDAYS(Proc[[#This Row],[DateOpened]],Proc[[#This Row],[DateClosed]]))-1)</f>
        <v>5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on track</v>
      </c>
      <c r="Q5151" s="3">
        <f ca="1">IF(Proc[[#This Row],[DateClosed]]="",ABS(NETWORKDAYS(Proc[[#This Row],[DateOpened]],TODAY()))-1,ABS(NETWORKDAYS(Proc[[#This Row],[DateOpened]],Proc[[#This Row],[DateClosed]]))-1)</f>
        <v>5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on track</v>
      </c>
      <c r="Q5152" s="3">
        <f ca="1">IF(Proc[[#This Row],[DateClosed]]="",ABS(NETWORKDAYS(Proc[[#This Row],[DateOpened]],TODAY()))-1,ABS(NETWORKDAYS(Proc[[#This Row],[DateOpened]],Proc[[#This Row],[DateClosed]]))-1)</f>
        <v>5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on track</v>
      </c>
      <c r="Q5153" s="3">
        <f ca="1">IF(Proc[[#This Row],[DateClosed]]="",ABS(NETWORKDAYS(Proc[[#This Row],[DateOpened]],TODAY()))-1,ABS(NETWORKDAYS(Proc[[#This Row],[DateOpened]],Proc[[#This Row],[DateClosed]]))-1)</f>
        <v>5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on track</v>
      </c>
      <c r="Q5154" s="3">
        <f ca="1">IF(Proc[[#This Row],[DateClosed]]="",ABS(NETWORKDAYS(Proc[[#This Row],[DateOpened]],TODAY()))-1,ABS(NETWORKDAYS(Proc[[#This Row],[DateOpened]],Proc[[#This Row],[DateClosed]]))-1)</f>
        <v>5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on track</v>
      </c>
      <c r="Q5155" s="3">
        <f ca="1">IF(Proc[[#This Row],[DateClosed]]="",ABS(NETWORKDAYS(Proc[[#This Row],[DateOpened]],TODAY()))-1,ABS(NETWORKDAYS(Proc[[#This Row],[DateOpened]],Proc[[#This Row],[DateClosed]]))-1)</f>
        <v>5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on track</v>
      </c>
      <c r="Q5156" s="3">
        <f ca="1">IF(Proc[[#This Row],[DateClosed]]="",ABS(NETWORKDAYS(Proc[[#This Row],[DateOpened]],TODAY()))-1,ABS(NETWORKDAYS(Proc[[#This Row],[DateOpened]],Proc[[#This Row],[DateClosed]]))-1)</f>
        <v>5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on track</v>
      </c>
      <c r="Q5157" s="3">
        <f ca="1">IF(Proc[[#This Row],[DateClosed]]="",ABS(NETWORKDAYS(Proc[[#This Row],[DateOpened]],TODAY()))-1,ABS(NETWORKDAYS(Proc[[#This Row],[DateOpened]],Proc[[#This Row],[DateClosed]]))-1)</f>
        <v>5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on track</v>
      </c>
      <c r="Q5158" s="3">
        <f ca="1">IF(Proc[[#This Row],[DateClosed]]="",ABS(NETWORKDAYS(Proc[[#This Row],[DateOpened]],TODAY()))-1,ABS(NETWORKDAYS(Proc[[#This Row],[DateOpened]],Proc[[#This Row],[DateClosed]]))-1)</f>
        <v>5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on track</v>
      </c>
      <c r="Q5159" s="3">
        <f ca="1">IF(Proc[[#This Row],[DateClosed]]="",ABS(NETWORKDAYS(Proc[[#This Row],[DateOpened]],TODAY()))-1,ABS(NETWORKDAYS(Proc[[#This Row],[DateOpened]],Proc[[#This Row],[DateClosed]]))-1)</f>
        <v>5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on track</v>
      </c>
      <c r="Q5160" s="3">
        <f ca="1">IF(Proc[[#This Row],[DateClosed]]="",ABS(NETWORKDAYS(Proc[[#This Row],[DateOpened]],TODAY()))-1,ABS(NETWORKDAYS(Proc[[#This Row],[DateOpened]],Proc[[#This Row],[DateClosed]]))-1)</f>
        <v>5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on track</v>
      </c>
      <c r="Q5161" s="3">
        <f ca="1">IF(Proc[[#This Row],[DateClosed]]="",ABS(NETWORKDAYS(Proc[[#This Row],[DateOpened]],TODAY()))-1,ABS(NETWORKDAYS(Proc[[#This Row],[DateOpened]],Proc[[#This Row],[DateClosed]]))-1)</f>
        <v>5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on track</v>
      </c>
      <c r="Q5162" s="3">
        <f ca="1">IF(Proc[[#This Row],[DateClosed]]="",ABS(NETWORKDAYS(Proc[[#This Row],[DateOpened]],TODAY()))-1,ABS(NETWORKDAYS(Proc[[#This Row],[DateOpened]],Proc[[#This Row],[DateClosed]]))-1)</f>
        <v>5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on track</v>
      </c>
      <c r="Q5163" s="3">
        <f ca="1">IF(Proc[[#This Row],[DateClosed]]="",ABS(NETWORKDAYS(Proc[[#This Row],[DateOpened]],TODAY()))-1,ABS(NETWORKDAYS(Proc[[#This Row],[DateOpened]],Proc[[#This Row],[DateClosed]]))-1)</f>
        <v>5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on track</v>
      </c>
      <c r="Q5164" s="3">
        <f ca="1">IF(Proc[[#This Row],[DateClosed]]="",ABS(NETWORKDAYS(Proc[[#This Row],[DateOpened]],TODAY()))-1,ABS(NETWORKDAYS(Proc[[#This Row],[DateOpened]],Proc[[#This Row],[DateClosed]]))-1)</f>
        <v>5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on track</v>
      </c>
      <c r="Q5165" s="3">
        <f ca="1">IF(Proc[[#This Row],[DateClosed]]="",ABS(NETWORKDAYS(Proc[[#This Row],[DateOpened]],TODAY()))-1,ABS(NETWORKDAYS(Proc[[#This Row],[DateOpened]],Proc[[#This Row],[DateClosed]]))-1)</f>
        <v>5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on track</v>
      </c>
      <c r="Q5166" s="3">
        <f ca="1">IF(Proc[[#This Row],[DateClosed]]="",ABS(NETWORKDAYS(Proc[[#This Row],[DateOpened]],TODAY()))-1,ABS(NETWORKDAYS(Proc[[#This Row],[DateOpened]],Proc[[#This Row],[DateClosed]]))-1)</f>
        <v>5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on track</v>
      </c>
      <c r="Q5167" s="3">
        <f ca="1">IF(Proc[[#This Row],[DateClosed]]="",ABS(NETWORKDAYS(Proc[[#This Row],[DateOpened]],TODAY()))-1,ABS(NETWORKDAYS(Proc[[#This Row],[DateOpened]],Proc[[#This Row],[DateClosed]]))-1)</f>
        <v>5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on track</v>
      </c>
      <c r="Q5168" s="3">
        <f ca="1">IF(Proc[[#This Row],[DateClosed]]="",ABS(NETWORKDAYS(Proc[[#This Row],[DateOpened]],TODAY()))-1,ABS(NETWORKDAYS(Proc[[#This Row],[DateOpened]],Proc[[#This Row],[DateClosed]]))-1)</f>
        <v>5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on track</v>
      </c>
      <c r="Q5169" s="3">
        <f ca="1">IF(Proc[[#This Row],[DateClosed]]="",ABS(NETWORKDAYS(Proc[[#This Row],[DateOpened]],TODAY()))-1,ABS(NETWORKDAYS(Proc[[#This Row],[DateOpened]],Proc[[#This Row],[DateClosed]]))-1)</f>
        <v>5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on track</v>
      </c>
      <c r="Q5170" s="3">
        <f ca="1">IF(Proc[[#This Row],[DateClosed]]="",ABS(NETWORKDAYS(Proc[[#This Row],[DateOpened]],TODAY()))-1,ABS(NETWORKDAYS(Proc[[#This Row],[DateOpened]],Proc[[#This Row],[DateClosed]]))-1)</f>
        <v>5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on track</v>
      </c>
      <c r="Q5171" s="3">
        <f ca="1">IF(Proc[[#This Row],[DateClosed]]="",ABS(NETWORKDAYS(Proc[[#This Row],[DateOpened]],TODAY()))-1,ABS(NETWORKDAYS(Proc[[#This Row],[DateOpened]],Proc[[#This Row],[DateClosed]]))-1)</f>
        <v>5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on track</v>
      </c>
      <c r="Q5172" s="3">
        <f ca="1">IF(Proc[[#This Row],[DateClosed]]="",ABS(NETWORKDAYS(Proc[[#This Row],[DateOpened]],TODAY()))-1,ABS(NETWORKDAYS(Proc[[#This Row],[DateOpened]],Proc[[#This Row],[DateClosed]]))-1)</f>
        <v>5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on track</v>
      </c>
      <c r="Q5173" s="3">
        <f ca="1">IF(Proc[[#This Row],[DateClosed]]="",ABS(NETWORKDAYS(Proc[[#This Row],[DateOpened]],TODAY()))-1,ABS(NETWORKDAYS(Proc[[#This Row],[DateOpened]],Proc[[#This Row],[DateClosed]]))-1)</f>
        <v>5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on track</v>
      </c>
      <c r="Q5174" s="3">
        <f ca="1">IF(Proc[[#This Row],[DateClosed]]="",ABS(NETWORKDAYS(Proc[[#This Row],[DateOpened]],TODAY()))-1,ABS(NETWORKDAYS(Proc[[#This Row],[DateOpened]],Proc[[#This Row],[DateClosed]]))-1)</f>
        <v>5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on track</v>
      </c>
      <c r="Q5175" s="3">
        <f ca="1">IF(Proc[[#This Row],[DateClosed]]="",ABS(NETWORKDAYS(Proc[[#This Row],[DateOpened]],TODAY()))-1,ABS(NETWORKDAYS(Proc[[#This Row],[DateOpened]],Proc[[#This Row],[DateClosed]]))-1)</f>
        <v>5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on track</v>
      </c>
      <c r="Q5176" s="3">
        <f ca="1">IF(Proc[[#This Row],[DateClosed]]="",ABS(NETWORKDAYS(Proc[[#This Row],[DateOpened]],TODAY()))-1,ABS(NETWORKDAYS(Proc[[#This Row],[DateOpened]],Proc[[#This Row],[DateClosed]]))-1)</f>
        <v>5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on track</v>
      </c>
      <c r="Q5177" s="3">
        <f ca="1">IF(Proc[[#This Row],[DateClosed]]="",ABS(NETWORKDAYS(Proc[[#This Row],[DateOpened]],TODAY()))-1,ABS(NETWORKDAYS(Proc[[#This Row],[DateOpened]],Proc[[#This Row],[DateClosed]]))-1)</f>
        <v>5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on track</v>
      </c>
      <c r="Q5178" s="3">
        <f ca="1">IF(Proc[[#This Row],[DateClosed]]="",ABS(NETWORKDAYS(Proc[[#This Row],[DateOpened]],TODAY()))-1,ABS(NETWORKDAYS(Proc[[#This Row],[DateOpened]],Proc[[#This Row],[DateClosed]]))-1)</f>
        <v>5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on track</v>
      </c>
      <c r="Q5179" s="3">
        <f ca="1">IF(Proc[[#This Row],[DateClosed]]="",ABS(NETWORKDAYS(Proc[[#This Row],[DateOpened]],TODAY()))-1,ABS(NETWORKDAYS(Proc[[#This Row],[DateOpened]],Proc[[#This Row],[DateClosed]]))-1)</f>
        <v>5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on track</v>
      </c>
      <c r="Q5180" s="3">
        <f ca="1">IF(Proc[[#This Row],[DateClosed]]="",ABS(NETWORKDAYS(Proc[[#This Row],[DateOpened]],TODAY()))-1,ABS(NETWORKDAYS(Proc[[#This Row],[DateOpened]],Proc[[#This Row],[DateClosed]]))-1)</f>
        <v>5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on track</v>
      </c>
      <c r="Q5181" s="3">
        <f ca="1">IF(Proc[[#This Row],[DateClosed]]="",ABS(NETWORKDAYS(Proc[[#This Row],[DateOpened]],TODAY()))-1,ABS(NETWORKDAYS(Proc[[#This Row],[DateOpened]],Proc[[#This Row],[DateClosed]]))-1)</f>
        <v>5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on track</v>
      </c>
      <c r="Q5182" s="3">
        <f ca="1">IF(Proc[[#This Row],[DateClosed]]="",ABS(NETWORKDAYS(Proc[[#This Row],[DateOpened]],TODAY()))-1,ABS(NETWORKDAYS(Proc[[#This Row],[DateOpened]],Proc[[#This Row],[DateClosed]]))-1)</f>
        <v>5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on track</v>
      </c>
      <c r="Q5183" s="3">
        <f ca="1">IF(Proc[[#This Row],[DateClosed]]="",ABS(NETWORKDAYS(Proc[[#This Row],[DateOpened]],TODAY()))-1,ABS(NETWORKDAYS(Proc[[#This Row],[DateOpened]],Proc[[#This Row],[DateClosed]]))-1)</f>
        <v>5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on track</v>
      </c>
      <c r="Q5184" s="3">
        <f ca="1">IF(Proc[[#This Row],[DateClosed]]="",ABS(NETWORKDAYS(Proc[[#This Row],[DateOpened]],TODAY()))-1,ABS(NETWORKDAYS(Proc[[#This Row],[DateOpened]],Proc[[#This Row],[DateClosed]]))-1)</f>
        <v>5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on track</v>
      </c>
      <c r="Q5185" s="3">
        <f ca="1">IF(Proc[[#This Row],[DateClosed]]="",ABS(NETWORKDAYS(Proc[[#This Row],[DateOpened]],TODAY()))-1,ABS(NETWORKDAYS(Proc[[#This Row],[DateOpened]],Proc[[#This Row],[DateClosed]]))-1)</f>
        <v>5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on track</v>
      </c>
      <c r="Q5186" s="3">
        <f ca="1">IF(Proc[[#This Row],[DateClosed]]="",ABS(NETWORKDAYS(Proc[[#This Row],[DateOpened]],TODAY()))-1,ABS(NETWORKDAYS(Proc[[#This Row],[DateOpened]],Proc[[#This Row],[DateClosed]]))-1)</f>
        <v>5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on track</v>
      </c>
      <c r="Q5187" s="3">
        <f ca="1">IF(Proc[[#This Row],[DateClosed]]="",ABS(NETWORKDAYS(Proc[[#This Row],[DateOpened]],TODAY()))-1,ABS(NETWORKDAYS(Proc[[#This Row],[DateOpened]],Proc[[#This Row],[DateClosed]]))-1)</f>
        <v>5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on track</v>
      </c>
      <c r="Q5188" s="3">
        <f ca="1">IF(Proc[[#This Row],[DateClosed]]="",ABS(NETWORKDAYS(Proc[[#This Row],[DateOpened]],TODAY()))-1,ABS(NETWORKDAYS(Proc[[#This Row],[DateOpened]],Proc[[#This Row],[DateClosed]]))-1)</f>
        <v>5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on track</v>
      </c>
      <c r="Q5189" s="3">
        <f ca="1">IF(Proc[[#This Row],[DateClosed]]="",ABS(NETWORKDAYS(Proc[[#This Row],[DateOpened]],TODAY()))-1,ABS(NETWORKDAYS(Proc[[#This Row],[DateOpened]],Proc[[#This Row],[DateClosed]]))-1)</f>
        <v>5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on track</v>
      </c>
      <c r="Q5190" s="3">
        <f ca="1">IF(Proc[[#This Row],[DateClosed]]="",ABS(NETWORKDAYS(Proc[[#This Row],[DateOpened]],TODAY()))-1,ABS(NETWORKDAYS(Proc[[#This Row],[DateOpened]],Proc[[#This Row],[DateClosed]]))-1)</f>
        <v>5</v>
      </c>
      <c r="R5190" s="178" t="s">
        <v>489</v>
      </c>
      <c r="S5190" s="150"/>
    </row>
    <row r="5191" spans="1:19" hidden="1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on track</v>
      </c>
      <c r="Q5191" s="3">
        <f ca="1">IF(Proc[[#This Row],[DateClosed]]="",ABS(NETWORKDAYS(Proc[[#This Row],[DateOpened]],TODAY()))-1,ABS(NETWORKDAYS(Proc[[#This Row],[DateOpened]],Proc[[#This Row],[DateClosed]]))-1)</f>
        <v>5</v>
      </c>
      <c r="R5191" s="178" t="s">
        <v>489</v>
      </c>
      <c r="S5191" s="150"/>
    </row>
    <row r="5192" spans="1:19">
      <c r="A5192" s="149" t="s">
        <v>7476</v>
      </c>
      <c r="B5192" s="150" t="str">
        <f>IFERROR(VLOOKUP(Proc[[#This Row],[App]],Table2[],3,0),"open")</f>
        <v>open</v>
      </c>
      <c r="C5192" s="149" t="s">
        <v>370</v>
      </c>
      <c r="D5192" t="s">
        <v>7478</v>
      </c>
      <c r="E5192" t="s">
        <v>7350</v>
      </c>
      <c r="F5192" s="150" t="s">
        <v>7450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on track</v>
      </c>
      <c r="Q5192" s="3">
        <f ca="1">IF(Proc[[#This Row],[DateClosed]]="",ABS(NETWORKDAYS(Proc[[#This Row],[DateOpened]],TODAY()))-1,ABS(NETWORKDAYS(Proc[[#This Row],[DateOpened]],Proc[[#This Row],[DateClosed]]))-1)</f>
        <v>5</v>
      </c>
      <c r="R5192" s="178" t="s">
        <v>489</v>
      </c>
      <c r="S5192" s="150"/>
    </row>
    <row r="5193" spans="1:19" hidden="1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on track</v>
      </c>
      <c r="Q5193" s="3">
        <f ca="1">IF(Proc[[#This Row],[DateClosed]]="",ABS(NETWORKDAYS(Proc[[#This Row],[DateOpened]],TODAY()))-1,ABS(NETWORKDAYS(Proc[[#This Row],[DateOpened]],Proc[[#This Row],[DateClosed]]))-1)</f>
        <v>5</v>
      </c>
      <c r="R5193" s="178" t="s">
        <v>489</v>
      </c>
      <c r="S5193" s="150"/>
    </row>
    <row r="5194" spans="1:19" hidden="1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on track</v>
      </c>
      <c r="Q5194" s="3">
        <f ca="1">IF(Proc[[#This Row],[DateClosed]]="",ABS(NETWORKDAYS(Proc[[#This Row],[DateOpened]],TODAY()))-1,ABS(NETWORKDAYS(Proc[[#This Row],[DateOpened]],Proc[[#This Row],[DateClosed]]))-1)</f>
        <v>5</v>
      </c>
      <c r="R5194" s="178" t="s">
        <v>489</v>
      </c>
      <c r="S5194" s="150"/>
    </row>
    <row r="5195" spans="1:19" hidden="1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on track</v>
      </c>
      <c r="Q5195" s="3">
        <f ca="1">IF(Proc[[#This Row],[DateClosed]]="",ABS(NETWORKDAYS(Proc[[#This Row],[DateOpened]],TODAY()))-1,ABS(NETWORKDAYS(Proc[[#This Row],[DateOpened]],Proc[[#This Row],[DateClosed]]))-1)</f>
        <v>5</v>
      </c>
      <c r="R5195" s="178" t="s">
        <v>489</v>
      </c>
      <c r="S5195" s="150"/>
    </row>
    <row r="5196" spans="1:19" hidden="1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on track</v>
      </c>
      <c r="Q5196" s="3">
        <f ca="1">IF(Proc[[#This Row],[DateClosed]]="",ABS(NETWORKDAYS(Proc[[#This Row],[DateOpened]],TODAY()))-1,ABS(NETWORKDAYS(Proc[[#This Row],[DateOpened]],Proc[[#This Row],[DateClosed]]))-1)</f>
        <v>5</v>
      </c>
      <c r="R5196" s="178" t="s">
        <v>489</v>
      </c>
      <c r="S5196" s="150"/>
    </row>
    <row r="5197" spans="1:19" hidden="1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on track</v>
      </c>
      <c r="Q5197" s="3">
        <f ca="1">IF(Proc[[#This Row],[DateClosed]]="",ABS(NETWORKDAYS(Proc[[#This Row],[DateOpened]],TODAY()))-1,ABS(NETWORKDAYS(Proc[[#This Row],[DateOpened]],Proc[[#This Row],[DateClosed]]))-1)</f>
        <v>5</v>
      </c>
      <c r="R5197" s="178" t="s">
        <v>489</v>
      </c>
      <c r="S5197" s="150"/>
    </row>
    <row r="5198" spans="1:19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">
        <v>7539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on track</v>
      </c>
      <c r="Q5198" s="3">
        <f ca="1">IF(Proc[[#This Row],[DateClosed]]="",ABS(NETWORKDAYS(Proc[[#This Row],[DateOpened]],TODAY()))-1,ABS(NETWORKDAYS(Proc[[#This Row],[DateOpened]],Proc[[#This Row],[DateClosed]]))-1)</f>
        <v>5</v>
      </c>
      <c r="R5198" s="178" t="s">
        <v>489</v>
      </c>
      <c r="S5198" s="150"/>
    </row>
    <row r="5199" spans="1:19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">
        <v>7523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on track</v>
      </c>
      <c r="Q5199" s="3">
        <f ca="1">IF(Proc[[#This Row],[DateClosed]]="",ABS(NETWORKDAYS(Proc[[#This Row],[DateOpened]],TODAY()))-1,ABS(NETWORKDAYS(Proc[[#This Row],[DateOpened]],Proc[[#This Row],[DateClosed]]))-1)</f>
        <v>5</v>
      </c>
      <c r="R5199" s="178" t="s">
        <v>489</v>
      </c>
      <c r="S5199" s="150"/>
    </row>
    <row r="5200" spans="1:19" hidden="1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on track</v>
      </c>
      <c r="Q5200" s="3">
        <f ca="1">IF(Proc[[#This Row],[DateClosed]]="",ABS(NETWORKDAYS(Proc[[#This Row],[DateOpened]],TODAY()))-1,ABS(NETWORKDAYS(Proc[[#This Row],[DateOpened]],Proc[[#This Row],[DateClosed]]))-1)</f>
        <v>5</v>
      </c>
      <c r="R5200" s="178" t="s">
        <v>489</v>
      </c>
      <c r="S5200" s="150"/>
    </row>
    <row r="5201" spans="1:19" hidden="1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on track</v>
      </c>
      <c r="Q5201" s="3">
        <f ca="1">IF(Proc[[#This Row],[DateClosed]]="",ABS(NETWORKDAYS(Proc[[#This Row],[DateOpened]],TODAY()))-1,ABS(NETWORKDAYS(Proc[[#This Row],[DateOpened]],Proc[[#This Row],[DateClosed]]))-1)</f>
        <v>5</v>
      </c>
      <c r="R5201" s="178" t="s">
        <v>489</v>
      </c>
      <c r="S5201" s="150"/>
    </row>
    <row r="5202" spans="1:19" hidden="1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on track</v>
      </c>
      <c r="Q5202" s="3">
        <f ca="1">IF(Proc[[#This Row],[DateClosed]]="",ABS(NETWORKDAYS(Proc[[#This Row],[DateOpened]],TODAY()))-1,ABS(NETWORKDAYS(Proc[[#This Row],[DateOpened]],Proc[[#This Row],[DateClosed]]))-1)</f>
        <v>5</v>
      </c>
      <c r="R5202" s="178" t="s">
        <v>489</v>
      </c>
      <c r="S5202" s="150"/>
    </row>
    <row r="5203" spans="1:19" hidden="1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on track</v>
      </c>
      <c r="Q5203" s="3">
        <f ca="1">IF(Proc[[#This Row],[DateClosed]]="",ABS(NETWORKDAYS(Proc[[#This Row],[DateOpened]],TODAY()))-1,ABS(NETWORKDAYS(Proc[[#This Row],[DateOpened]],Proc[[#This Row],[DateClosed]]))-1)</f>
        <v>5</v>
      </c>
      <c r="R5203" s="178" t="s">
        <v>489</v>
      </c>
      <c r="S5203" s="150"/>
    </row>
    <row r="5204" spans="1:19" hidden="1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on track</v>
      </c>
      <c r="Q5204" s="3">
        <f ca="1">IF(Proc[[#This Row],[DateClosed]]="",ABS(NETWORKDAYS(Proc[[#This Row],[DateOpened]],TODAY()))-1,ABS(NETWORKDAYS(Proc[[#This Row],[DateOpened]],Proc[[#This Row],[DateClosed]]))-1)</f>
        <v>5</v>
      </c>
      <c r="R5204" s="178" t="s">
        <v>489</v>
      </c>
      <c r="S5204" s="150"/>
    </row>
    <row r="5205" spans="1:19" hidden="1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on track</v>
      </c>
      <c r="Q5205" s="3">
        <f ca="1">IF(Proc[[#This Row],[DateClosed]]="",ABS(NETWORKDAYS(Proc[[#This Row],[DateOpened]],TODAY()))-1,ABS(NETWORKDAYS(Proc[[#This Row],[DateOpened]],Proc[[#This Row],[DateClosed]]))-1)</f>
        <v>5</v>
      </c>
      <c r="R5205" s="178" t="s">
        <v>489</v>
      </c>
      <c r="S5205" s="150"/>
    </row>
    <row r="5206" spans="1:19" hidden="1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on track</v>
      </c>
      <c r="Q5206" s="3">
        <f ca="1">IF(Proc[[#This Row],[DateClosed]]="",ABS(NETWORKDAYS(Proc[[#This Row],[DateOpened]],TODAY()))-1,ABS(NETWORKDAYS(Proc[[#This Row],[DateOpened]],Proc[[#This Row],[DateClosed]]))-1)</f>
        <v>5</v>
      </c>
      <c r="R5206" s="178" t="s">
        <v>489</v>
      </c>
      <c r="S5206" s="150"/>
    </row>
    <row r="5207" spans="1:19" hidden="1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on track</v>
      </c>
      <c r="Q5207" s="3">
        <f ca="1">IF(Proc[[#This Row],[DateClosed]]="",ABS(NETWORKDAYS(Proc[[#This Row],[DateOpened]],TODAY()))-1,ABS(NETWORKDAYS(Proc[[#This Row],[DateOpened]],Proc[[#This Row],[DateClosed]]))-1)</f>
        <v>5</v>
      </c>
      <c r="R5207" s="178" t="s">
        <v>489</v>
      </c>
      <c r="S5207" s="150"/>
    </row>
    <row r="5208" spans="1:19" hidden="1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on track</v>
      </c>
      <c r="Q5208" s="3">
        <f ca="1">IF(Proc[[#This Row],[DateClosed]]="",ABS(NETWORKDAYS(Proc[[#This Row],[DateOpened]],TODAY()))-1,ABS(NETWORKDAYS(Proc[[#This Row],[DateOpened]],Proc[[#This Row],[DateClosed]]))-1)</f>
        <v>5</v>
      </c>
      <c r="R5208" s="178" t="s">
        <v>489</v>
      </c>
      <c r="S5208" s="150"/>
    </row>
    <row r="5209" spans="1:19" hidden="1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on track</v>
      </c>
      <c r="Q5209" s="3">
        <f ca="1">IF(Proc[[#This Row],[DateClosed]]="",ABS(NETWORKDAYS(Proc[[#This Row],[DateOpened]],TODAY()))-1,ABS(NETWORKDAYS(Proc[[#This Row],[DateOpened]],Proc[[#This Row],[DateClosed]]))-1)</f>
        <v>5</v>
      </c>
      <c r="R5209" s="178" t="s">
        <v>489</v>
      </c>
      <c r="S5209" s="150"/>
    </row>
    <row r="5210" spans="1:19" hidden="1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on track</v>
      </c>
      <c r="Q5210" s="3">
        <f ca="1">IF(Proc[[#This Row],[DateClosed]]="",ABS(NETWORKDAYS(Proc[[#This Row],[DateOpened]],TODAY()))-1,ABS(NETWORKDAYS(Proc[[#This Row],[DateOpened]],Proc[[#This Row],[DateClosed]]))-1)</f>
        <v>5</v>
      </c>
      <c r="R5210" s="178" t="s">
        <v>489</v>
      </c>
      <c r="S5210" s="150"/>
    </row>
    <row r="5211" spans="1:19" hidden="1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on track</v>
      </c>
      <c r="Q5211" s="3">
        <f ca="1">IF(Proc[[#This Row],[DateClosed]]="",ABS(NETWORKDAYS(Proc[[#This Row],[DateOpened]],TODAY()))-1,ABS(NETWORKDAYS(Proc[[#This Row],[DateOpened]],Proc[[#This Row],[DateClosed]]))-1)</f>
        <v>5</v>
      </c>
      <c r="R5211" s="178" t="s">
        <v>489</v>
      </c>
      <c r="S5211" s="150"/>
    </row>
    <row r="5212" spans="1:19" hidden="1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on track</v>
      </c>
      <c r="Q5212" s="3">
        <f ca="1">IF(Proc[[#This Row],[DateClosed]]="",ABS(NETWORKDAYS(Proc[[#This Row],[DateOpened]],TODAY()))-1,ABS(NETWORKDAYS(Proc[[#This Row],[DateOpened]],Proc[[#This Row],[DateClosed]]))-1)</f>
        <v>5</v>
      </c>
      <c r="R5212" s="178" t="s">
        <v>489</v>
      </c>
      <c r="S5212" s="150"/>
    </row>
    <row r="5213" spans="1:19" hidden="1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on track</v>
      </c>
      <c r="Q5213" s="3">
        <f ca="1">IF(Proc[[#This Row],[DateClosed]]="",ABS(NETWORKDAYS(Proc[[#This Row],[DateOpened]],TODAY()))-1,ABS(NETWORKDAYS(Proc[[#This Row],[DateOpened]],Proc[[#This Row],[DateClosed]]))-1)</f>
        <v>5</v>
      </c>
      <c r="R5213" s="178" t="s">
        <v>489</v>
      </c>
      <c r="S5213" s="150"/>
    </row>
    <row r="5214" spans="1:19" hidden="1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on track</v>
      </c>
      <c r="Q5214" s="3">
        <f ca="1">IF(Proc[[#This Row],[DateClosed]]="",ABS(NETWORKDAYS(Proc[[#This Row],[DateOpened]],TODAY()))-1,ABS(NETWORKDAYS(Proc[[#This Row],[DateOpened]],Proc[[#This Row],[DateClosed]]))-1)</f>
        <v>5</v>
      </c>
      <c r="R5214" s="178" t="s">
        <v>489</v>
      </c>
      <c r="S5214" s="150"/>
    </row>
    <row r="5215" spans="1:19" hidden="1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on track</v>
      </c>
      <c r="Q5215" s="3">
        <f ca="1">IF(Proc[[#This Row],[DateClosed]]="",ABS(NETWORKDAYS(Proc[[#This Row],[DateOpened]],TODAY()))-1,ABS(NETWORKDAYS(Proc[[#This Row],[DateOpened]],Proc[[#This Row],[DateClosed]]))-1)</f>
        <v>5</v>
      </c>
      <c r="R5215" s="178" t="s">
        <v>489</v>
      </c>
      <c r="S5215" s="150"/>
    </row>
    <row r="5216" spans="1:19" hidden="1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on track</v>
      </c>
      <c r="Q5216" s="3">
        <f ca="1">IF(Proc[[#This Row],[DateClosed]]="",ABS(NETWORKDAYS(Proc[[#This Row],[DateOpened]],TODAY()))-1,ABS(NETWORKDAYS(Proc[[#This Row],[DateOpened]],Proc[[#This Row],[DateClosed]]))-1)</f>
        <v>5</v>
      </c>
      <c r="R5216" s="178" t="s">
        <v>489</v>
      </c>
      <c r="S5216" s="150"/>
    </row>
    <row r="5217" spans="1:19" hidden="1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on track</v>
      </c>
      <c r="Q5217" s="3">
        <f ca="1">IF(Proc[[#This Row],[DateClosed]]="",ABS(NETWORKDAYS(Proc[[#This Row],[DateOpened]],TODAY()))-1,ABS(NETWORKDAYS(Proc[[#This Row],[DateOpened]],Proc[[#This Row],[DateClosed]]))-1)</f>
        <v>5</v>
      </c>
      <c r="R5217" s="178" t="s">
        <v>489</v>
      </c>
      <c r="S5217" s="150"/>
    </row>
    <row r="5218" spans="1:19" hidden="1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on track</v>
      </c>
      <c r="Q5218" s="3">
        <f ca="1">IF(Proc[[#This Row],[DateClosed]]="",ABS(NETWORKDAYS(Proc[[#This Row],[DateOpened]],TODAY()))-1,ABS(NETWORKDAYS(Proc[[#This Row],[DateOpened]],Proc[[#This Row],[DateClosed]]))-1)</f>
        <v>5</v>
      </c>
      <c r="R5218" s="178" t="s">
        <v>489</v>
      </c>
      <c r="S5218" s="150"/>
    </row>
    <row r="5219" spans="1:19" hidden="1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on track</v>
      </c>
      <c r="Q5219" s="3">
        <f ca="1">IF(Proc[[#This Row],[DateClosed]]="",ABS(NETWORKDAYS(Proc[[#This Row],[DateOpened]],TODAY()))-1,ABS(NETWORKDAYS(Proc[[#This Row],[DateOpened]],Proc[[#This Row],[DateClosed]]))-1)</f>
        <v>5</v>
      </c>
      <c r="R5219" s="178" t="s">
        <v>489</v>
      </c>
      <c r="S5219" s="150"/>
    </row>
    <row r="5220" spans="1:19" hidden="1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on track</v>
      </c>
      <c r="Q5220" s="3">
        <f ca="1">IF(Proc[[#This Row],[DateClosed]]="",ABS(NETWORKDAYS(Proc[[#This Row],[DateOpened]],TODAY()))-1,ABS(NETWORKDAYS(Proc[[#This Row],[DateOpened]],Proc[[#This Row],[DateClosed]]))-1)</f>
        <v>5</v>
      </c>
      <c r="R5220" s="178" t="s">
        <v>489</v>
      </c>
      <c r="S5220" s="150"/>
    </row>
    <row r="5221" spans="1:19" hidden="1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on track</v>
      </c>
      <c r="Q5221" s="3">
        <f ca="1">IF(Proc[[#This Row],[DateClosed]]="",ABS(NETWORKDAYS(Proc[[#This Row],[DateOpened]],TODAY()))-1,ABS(NETWORKDAYS(Proc[[#This Row],[DateOpened]],Proc[[#This Row],[DateClosed]]))-1)</f>
        <v>5</v>
      </c>
      <c r="R5221" s="178" t="s">
        <v>489</v>
      </c>
      <c r="S5221" s="150"/>
    </row>
    <row r="5222" spans="1:19" hidden="1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on track</v>
      </c>
      <c r="Q5222" s="3">
        <f ca="1">IF(Proc[[#This Row],[DateClosed]]="",ABS(NETWORKDAYS(Proc[[#This Row],[DateOpened]],TODAY()))-1,ABS(NETWORKDAYS(Proc[[#This Row],[DateOpened]],Proc[[#This Row],[DateClosed]]))-1)</f>
        <v>5</v>
      </c>
      <c r="R5222" s="178" t="s">
        <v>489</v>
      </c>
      <c r="S5222" s="150"/>
    </row>
    <row r="5223" spans="1:19" hidden="1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on track</v>
      </c>
      <c r="Q5223" s="3">
        <f ca="1">IF(Proc[[#This Row],[DateClosed]]="",ABS(NETWORKDAYS(Proc[[#This Row],[DateOpened]],TODAY()))-1,ABS(NETWORKDAYS(Proc[[#This Row],[DateOpened]],Proc[[#This Row],[DateClosed]]))-1)</f>
        <v>5</v>
      </c>
      <c r="R5223" s="178" t="s">
        <v>489</v>
      </c>
      <c r="S5223" s="150"/>
    </row>
    <row r="5224" spans="1:19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">
        <v>7540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on track</v>
      </c>
      <c r="Q5224" s="3">
        <f ca="1">IF(Proc[[#This Row],[DateClosed]]="",ABS(NETWORKDAYS(Proc[[#This Row],[DateOpened]],TODAY()))-1,ABS(NETWORKDAYS(Proc[[#This Row],[DateOpened]],Proc[[#This Row],[DateClosed]]))-1)</f>
        <v>5</v>
      </c>
      <c r="R5224" s="178" t="s">
        <v>489</v>
      </c>
      <c r="S5224" s="150"/>
    </row>
    <row r="5225" spans="1:19">
      <c r="A5225" t="s">
        <v>7519</v>
      </c>
      <c r="B5225" s="150" t="str">
        <f>IFERROR(VLOOKUP(Proc[[#This Row],[App]],Table2[],3,0),"open")</f>
        <v>open</v>
      </c>
      <c r="C5225" s="149" t="s">
        <v>370</v>
      </c>
      <c r="D5225" t="s">
        <v>7508</v>
      </c>
      <c r="E5225" t="s">
        <v>631</v>
      </c>
      <c r="F5225" s="150" t="s">
        <v>7525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on track</v>
      </c>
      <c r="Q5225" s="3">
        <f ca="1">IF(Proc[[#This Row],[DateClosed]]="",ABS(NETWORKDAYS(Proc[[#This Row],[DateOpened]],TODAY()))-1,ABS(NETWORKDAYS(Proc[[#This Row],[DateOpened]],Proc[[#This Row],[DateClosed]]))-1)</f>
        <v>5</v>
      </c>
      <c r="R5225" s="178" t="s">
        <v>7193</v>
      </c>
      <c r="S5225" s="150"/>
    </row>
    <row r="5226" spans="1:19">
      <c r="A5226" s="149" t="s">
        <v>7519</v>
      </c>
      <c r="B5226" s="150" t="str">
        <f>IFERROR(VLOOKUP(Proc[[#This Row],[App]],Table2[],3,0),"open")</f>
        <v>open</v>
      </c>
      <c r="C5226" s="149" t="s">
        <v>370</v>
      </c>
      <c r="D5226" t="s">
        <v>7509</v>
      </c>
      <c r="E5226" t="s">
        <v>631</v>
      </c>
      <c r="F5226" s="150" t="s">
        <v>7525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on track</v>
      </c>
      <c r="Q5226" s="3">
        <f ca="1">IF(Proc[[#This Row],[DateClosed]]="",ABS(NETWORKDAYS(Proc[[#This Row],[DateOpened]],TODAY()))-1,ABS(NETWORKDAYS(Proc[[#This Row],[DateOpened]],Proc[[#This Row],[DateClosed]]))-1)</f>
        <v>5</v>
      </c>
      <c r="R5226" s="178" t="s">
        <v>7193</v>
      </c>
      <c r="S5226" s="150"/>
    </row>
    <row r="5227" spans="1:19">
      <c r="A5227" s="149" t="s">
        <v>7519</v>
      </c>
      <c r="B5227" s="150" t="str">
        <f>IFERROR(VLOOKUP(Proc[[#This Row],[App]],Table2[],3,0),"open")</f>
        <v>open</v>
      </c>
      <c r="C5227" s="149" t="s">
        <v>370</v>
      </c>
      <c r="D5227" t="s">
        <v>7510</v>
      </c>
      <c r="E5227" t="s">
        <v>631</v>
      </c>
      <c r="F5227" s="150" t="s">
        <v>7524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on track</v>
      </c>
      <c r="Q5227" s="3">
        <f ca="1">IF(Proc[[#This Row],[DateClosed]]="",ABS(NETWORKDAYS(Proc[[#This Row],[DateOpened]],TODAY()))-1,ABS(NETWORKDAYS(Proc[[#This Row],[DateOpened]],Proc[[#This Row],[DateClosed]]))-1)</f>
        <v>5</v>
      </c>
      <c r="R5227" s="178" t="s">
        <v>7193</v>
      </c>
      <c r="S5227" s="150"/>
    </row>
    <row r="5228" spans="1:19">
      <c r="A5228" s="149" t="s">
        <v>7519</v>
      </c>
      <c r="B5228" s="150" t="str">
        <f>IFERROR(VLOOKUP(Proc[[#This Row],[App]],Table2[],3,0),"open")</f>
        <v>open</v>
      </c>
      <c r="C5228" s="149" t="s">
        <v>370</v>
      </c>
      <c r="D5228" t="s">
        <v>7511</v>
      </c>
      <c r="E5228" t="s">
        <v>631</v>
      </c>
      <c r="F5228" s="150" t="s">
        <v>7527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on track</v>
      </c>
      <c r="Q5228" s="3">
        <f ca="1">IF(Proc[[#This Row],[DateClosed]]="",ABS(NETWORKDAYS(Proc[[#This Row],[DateOpened]],TODAY()))-1,ABS(NETWORKDAYS(Proc[[#This Row],[DateOpened]],Proc[[#This Row],[DateClosed]]))-1)</f>
        <v>5</v>
      </c>
      <c r="R5228" s="178" t="s">
        <v>7193</v>
      </c>
      <c r="S5228" s="150"/>
    </row>
    <row r="5229" spans="1:19">
      <c r="A5229" s="149" t="s">
        <v>7519</v>
      </c>
      <c r="B5229" s="150" t="str">
        <f>IFERROR(VLOOKUP(Proc[[#This Row],[App]],Table2[],3,0),"open")</f>
        <v>open</v>
      </c>
      <c r="C5229" s="149" t="s">
        <v>370</v>
      </c>
      <c r="D5229" t="s">
        <v>7512</v>
      </c>
      <c r="E5229" t="s">
        <v>631</v>
      </c>
      <c r="F5229" s="150" t="s">
        <v>7527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on track</v>
      </c>
      <c r="Q5229" s="3">
        <f ca="1">IF(Proc[[#This Row],[DateClosed]]="",ABS(NETWORKDAYS(Proc[[#This Row],[DateOpened]],TODAY()))-1,ABS(NETWORKDAYS(Proc[[#This Row],[DateOpened]],Proc[[#This Row],[DateClosed]]))-1)</f>
        <v>5</v>
      </c>
      <c r="R5229" s="178" t="s">
        <v>7193</v>
      </c>
      <c r="S5229" s="150"/>
    </row>
    <row r="5230" spans="1:19">
      <c r="A5230" s="149" t="s">
        <v>7519</v>
      </c>
      <c r="B5230" s="150" t="str">
        <f>IFERROR(VLOOKUP(Proc[[#This Row],[App]],Table2[],3,0),"open")</f>
        <v>open</v>
      </c>
      <c r="C5230" s="149" t="s">
        <v>370</v>
      </c>
      <c r="D5230" t="s">
        <v>7513</v>
      </c>
      <c r="E5230" t="s">
        <v>631</v>
      </c>
      <c r="F5230" s="150" t="s">
        <v>7527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on track</v>
      </c>
      <c r="Q5230" s="3">
        <f ca="1">IF(Proc[[#This Row],[DateClosed]]="",ABS(NETWORKDAYS(Proc[[#This Row],[DateOpened]],TODAY()))-1,ABS(NETWORKDAYS(Proc[[#This Row],[DateOpened]],Proc[[#This Row],[DateClosed]]))-1)</f>
        <v>5</v>
      </c>
      <c r="R5230" s="178" t="s">
        <v>7193</v>
      </c>
      <c r="S5230" s="150"/>
    </row>
    <row r="5231" spans="1:19">
      <c r="A5231" s="149" t="s">
        <v>7519</v>
      </c>
      <c r="B5231" s="150" t="str">
        <f>IFERROR(VLOOKUP(Proc[[#This Row],[App]],Table2[],3,0),"open")</f>
        <v>open</v>
      </c>
      <c r="C5231" s="149" t="s">
        <v>370</v>
      </c>
      <c r="D5231" t="s">
        <v>7514</v>
      </c>
      <c r="E5231" t="s">
        <v>631</v>
      </c>
      <c r="F5231" s="150" t="s">
        <v>7527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on track</v>
      </c>
      <c r="Q5231" s="3">
        <f ca="1">IF(Proc[[#This Row],[DateClosed]]="",ABS(NETWORKDAYS(Proc[[#This Row],[DateOpened]],TODAY()))-1,ABS(NETWORKDAYS(Proc[[#This Row],[DateOpened]],Proc[[#This Row],[DateClosed]]))-1)</f>
        <v>5</v>
      </c>
      <c r="R5231" s="178" t="s">
        <v>7193</v>
      </c>
      <c r="S5231" s="150"/>
    </row>
    <row r="5232" spans="1:19">
      <c r="A5232" s="149" t="s">
        <v>7519</v>
      </c>
      <c r="B5232" s="150" t="str">
        <f>IFERROR(VLOOKUP(Proc[[#This Row],[App]],Table2[],3,0),"open")</f>
        <v>open</v>
      </c>
      <c r="C5232" s="149" t="s">
        <v>370</v>
      </c>
      <c r="D5232" t="s">
        <v>7515</v>
      </c>
      <c r="E5232" t="s">
        <v>631</v>
      </c>
      <c r="F5232" s="150" t="s">
        <v>7526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on track</v>
      </c>
      <c r="Q5232" s="3">
        <f ca="1">IF(Proc[[#This Row],[DateClosed]]="",ABS(NETWORKDAYS(Proc[[#This Row],[DateOpened]],TODAY()))-1,ABS(NETWORKDAYS(Proc[[#This Row],[DateOpened]],Proc[[#This Row],[DateClosed]]))-1)</f>
        <v>5</v>
      </c>
      <c r="R5232" s="178" t="s">
        <v>7193</v>
      </c>
      <c r="S5232" s="150"/>
    </row>
    <row r="5233" spans="1:19">
      <c r="A5233" s="149" t="s">
        <v>7519</v>
      </c>
      <c r="B5233" s="150" t="str">
        <f>IFERROR(VLOOKUP(Proc[[#This Row],[App]],Table2[],3,0),"open")</f>
        <v>open</v>
      </c>
      <c r="C5233" s="149" t="s">
        <v>370</v>
      </c>
      <c r="D5233" t="s">
        <v>7516</v>
      </c>
      <c r="E5233" t="s">
        <v>631</v>
      </c>
      <c r="F5233" s="150" t="s">
        <v>7526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on track</v>
      </c>
      <c r="Q5233" s="3">
        <f ca="1">IF(Proc[[#This Row],[DateClosed]]="",ABS(NETWORKDAYS(Proc[[#This Row],[DateOpened]],TODAY()))-1,ABS(NETWORKDAYS(Proc[[#This Row],[DateOpened]],Proc[[#This Row],[DateClosed]]))-1)</f>
        <v>5</v>
      </c>
      <c r="R5233" s="178" t="s">
        <v>7193</v>
      </c>
      <c r="S5233" s="150"/>
    </row>
    <row r="5234" spans="1:19">
      <c r="A5234" s="149" t="s">
        <v>7519</v>
      </c>
      <c r="B5234" s="150" t="str">
        <f>IFERROR(VLOOKUP(Proc[[#This Row],[App]],Table2[],3,0),"open")</f>
        <v>open</v>
      </c>
      <c r="C5234" s="149" t="s">
        <v>370</v>
      </c>
      <c r="D5234" t="s">
        <v>7517</v>
      </c>
      <c r="E5234" t="s">
        <v>631</v>
      </c>
      <c r="F5234" s="150" t="s">
        <v>7526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on track</v>
      </c>
      <c r="Q5234" s="3">
        <f ca="1">IF(Proc[[#This Row],[DateClosed]]="",ABS(NETWORKDAYS(Proc[[#This Row],[DateOpened]],TODAY()))-1,ABS(NETWORKDAYS(Proc[[#This Row],[DateOpened]],Proc[[#This Row],[DateClosed]]))-1)</f>
        <v>5</v>
      </c>
      <c r="R5234" s="178" t="s">
        <v>7193</v>
      </c>
      <c r="S5234" s="150"/>
    </row>
    <row r="5235" spans="1:19">
      <c r="A5235" s="149" t="s">
        <v>7519</v>
      </c>
      <c r="B5235" s="150" t="str">
        <f>IFERROR(VLOOKUP(Proc[[#This Row],[App]],Table2[],3,0),"open")</f>
        <v>open</v>
      </c>
      <c r="C5235" s="149" t="s">
        <v>370</v>
      </c>
      <c r="D5235" t="s">
        <v>7518</v>
      </c>
      <c r="E5235" t="s">
        <v>631</v>
      </c>
      <c r="F5235" s="150" t="s">
        <v>7526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on track</v>
      </c>
      <c r="Q5235" s="3">
        <f ca="1">IF(Proc[[#This Row],[DateClosed]]="",ABS(NETWORKDAYS(Proc[[#This Row],[DateOpened]],TODAY()))-1,ABS(NETWORKDAYS(Proc[[#This Row],[DateOpened]],Proc[[#This Row],[DateClosed]]))-1)</f>
        <v>5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on track</v>
      </c>
      <c r="Q5236" s="3">
        <f ca="1">IF(Proc[[#This Row],[DateClosed]]="",ABS(NETWORKDAYS(Proc[[#This Row],[DateOpened]],TODAY()))-1,ABS(NETWORKDAYS(Proc[[#This Row],[DateOpened]],Proc[[#This Row],[DateClosed]]))-1)</f>
        <v>3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on track</v>
      </c>
      <c r="Q5237" s="3">
        <f ca="1">IF(Proc[[#This Row],[DateClosed]]="",ABS(NETWORKDAYS(Proc[[#This Row],[DateOpened]],TODAY()))-1,ABS(NETWORKDAYS(Proc[[#This Row],[DateOpened]],Proc[[#This Row],[DateClosed]]))-1)</f>
        <v>3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on track</v>
      </c>
      <c r="Q5238" s="3">
        <f ca="1">IF(Proc[[#This Row],[DateClosed]]="",ABS(NETWORKDAYS(Proc[[#This Row],[DateOpened]],TODAY()))-1,ABS(NETWORKDAYS(Proc[[#This Row],[DateOpened]],Proc[[#This Row],[DateClosed]]))-1)</f>
        <v>3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on track</v>
      </c>
      <c r="Q5239" s="3">
        <f ca="1">IF(Proc[[#This Row],[DateClosed]]="",ABS(NETWORKDAYS(Proc[[#This Row],[DateOpened]],TODAY()))-1,ABS(NETWORKDAYS(Proc[[#This Row],[DateOpened]],Proc[[#This Row],[DateClosed]]))-1)</f>
        <v>3</v>
      </c>
      <c r="R5239" s="178" t="s">
        <v>7404</v>
      </c>
      <c r="S5239" s="150"/>
    </row>
    <row r="5240" spans="1:19">
      <c r="A5240" t="s">
        <v>7532</v>
      </c>
      <c r="B5240" s="150" t="str">
        <f>IFERROR(VLOOKUP(Proc[[#This Row],[App]],Table2[],3,0),"open")</f>
        <v>open</v>
      </c>
      <c r="C5240" t="s">
        <v>370</v>
      </c>
      <c r="D5240" t="s">
        <v>6783</v>
      </c>
      <c r="E5240" t="s">
        <v>759</v>
      </c>
      <c r="F5240" s="150" t="s">
        <v>7542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on track</v>
      </c>
      <c r="Q5240" s="3">
        <f ca="1">IF(Proc[[#This Row],[DateClosed]]="",ABS(NETWORKDAYS(Proc[[#This Row],[DateOpened]],TODAY()))-1,ABS(NETWORKDAYS(Proc[[#This Row],[DateOpened]],Proc[[#This Row],[DateClosed]]))-1)</f>
        <v>3</v>
      </c>
      <c r="R5240" s="178" t="s">
        <v>1459</v>
      </c>
      <c r="S5240" s="150"/>
    </row>
    <row r="5241" spans="1:19" hidden="1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on track</v>
      </c>
      <c r="Q5241" s="3">
        <f ca="1">IF(Proc[[#This Row],[DateClosed]]="",ABS(NETWORKDAYS(Proc[[#This Row],[DateOpened]],TODAY()))-1,ABS(NETWORKDAYS(Proc[[#This Row],[DateOpened]],Proc[[#This Row],[DateClosed]]))-1)</f>
        <v>3</v>
      </c>
      <c r="R5241" s="178" t="s">
        <v>1459</v>
      </c>
      <c r="S5241" s="150"/>
    </row>
    <row r="5242" spans="1:19">
      <c r="A5242" s="149" t="s">
        <v>7532</v>
      </c>
      <c r="B5242" s="150" t="str">
        <f>IFERROR(VLOOKUP(Proc[[#This Row],[App]],Table2[],3,0),"open")</f>
        <v>open</v>
      </c>
      <c r="C5242" s="149" t="s">
        <v>370</v>
      </c>
      <c r="D5242" t="s">
        <v>2319</v>
      </c>
      <c r="E5242" t="s">
        <v>430</v>
      </c>
      <c r="F5242" s="150" t="s">
        <v>5569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on track</v>
      </c>
      <c r="Q5242" s="3">
        <f ca="1">IF(Proc[[#This Row],[DateClosed]]="",ABS(NETWORKDAYS(Proc[[#This Row],[DateOpened]],TODAY()))-1,ABS(NETWORKDAYS(Proc[[#This Row],[DateOpened]],Proc[[#This Row],[DateClosed]]))-1)</f>
        <v>3</v>
      </c>
      <c r="R5242" s="178" t="s">
        <v>1459</v>
      </c>
      <c r="S5242" s="150"/>
    </row>
    <row r="5243" spans="1:19">
      <c r="A5243" s="149" t="s">
        <v>7532</v>
      </c>
      <c r="B5243" s="150" t="str">
        <f>IFERROR(VLOOKUP(Proc[[#This Row],[App]],Table2[],3,0),"open")</f>
        <v>open</v>
      </c>
      <c r="C5243" s="149" t="s">
        <v>370</v>
      </c>
      <c r="D5243" t="s">
        <v>7534</v>
      </c>
      <c r="E5243" t="s">
        <v>5466</v>
      </c>
      <c r="F5243" s="150" t="s">
        <v>2336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on track</v>
      </c>
      <c r="Q5243" s="3">
        <f ca="1">IF(Proc[[#This Row],[DateClosed]]="",ABS(NETWORKDAYS(Proc[[#This Row],[DateOpened]],TODAY()))-1,ABS(NETWORKDAYS(Proc[[#This Row],[DateOpened]],Proc[[#This Row],[DateClosed]]))-1)</f>
        <v>3</v>
      </c>
      <c r="R5243" s="178" t="s">
        <v>1459</v>
      </c>
      <c r="S5243" s="150"/>
    </row>
    <row r="5244" spans="1:19">
      <c r="A5244" s="149" t="s">
        <v>7532</v>
      </c>
      <c r="B5244" s="150" t="str">
        <f>IFERROR(VLOOKUP(Proc[[#This Row],[App]],Table2[],3,0),"open")</f>
        <v>open</v>
      </c>
      <c r="C5244" s="149" t="s">
        <v>370</v>
      </c>
      <c r="D5244" t="s">
        <v>7535</v>
      </c>
      <c r="E5244" t="s">
        <v>2616</v>
      </c>
      <c r="F5244" s="150" t="s">
        <v>2625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on track</v>
      </c>
      <c r="Q5244" s="3">
        <f ca="1">IF(Proc[[#This Row],[DateClosed]]="",ABS(NETWORKDAYS(Proc[[#This Row],[DateOpened]],TODAY()))-1,ABS(NETWORKDAYS(Proc[[#This Row],[DateOpened]],Proc[[#This Row],[DateClosed]]))-1)</f>
        <v>3</v>
      </c>
      <c r="R5244" s="178" t="s">
        <v>1459</v>
      </c>
      <c r="S5244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G2:G5244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/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6565</v>
      </c>
    </row>
    <row r="2" spans="1:2">
      <c r="A2" t="s">
        <v>6743</v>
      </c>
      <c r="B2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7542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2026-01-09T13:58:16Z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