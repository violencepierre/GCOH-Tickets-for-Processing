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C39765F-A8AE-4EDE-ADD6-83D1D361D2B7}" xr6:coauthVersionLast="47" xr6:coauthVersionMax="47" xr10:uidLastSave="{00000000-0000-0000-0000-000000000000}"/>
  <bookViews>
    <workbookView xWindow="15435" yWindow="1395" windowWidth="15645" windowHeight="1665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2" r:id="rId6"/>
    <sheet name="Sheet2" sheetId="31" r:id="rId7"/>
    <sheet name="Sheet1" sheetId="30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"ea558a00-e85a-4587-b359-8d3fbd08c95e"</definedName>
    <definedName name="ID" localSheetId="6" hidden="1">"6c463420-795b-4694-b1a1-22d5ba5cc3fb"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oncurrentCalc="0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17" i="1" l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Q1017" i="1"/>
  <c r="P1017" i="1"/>
  <c r="Q1018" i="1"/>
  <c r="P1018" i="1"/>
  <c r="Q1019" i="1"/>
  <c r="P1019" i="1"/>
  <c r="Q1020" i="1"/>
  <c r="P1020" i="1"/>
  <c r="Q1021" i="1"/>
  <c r="P1021" i="1"/>
  <c r="Q1022" i="1"/>
  <c r="P1022" i="1"/>
  <c r="Q1023" i="1"/>
  <c r="P1023" i="1"/>
  <c r="Q1024" i="1"/>
  <c r="P1024" i="1"/>
  <c r="Q1025" i="1"/>
  <c r="P1025" i="1"/>
  <c r="Q1026" i="1"/>
  <c r="P1026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B1014" i="1"/>
  <c r="B1015" i="1"/>
  <c r="B1016" i="1"/>
  <c r="H1014" i="1"/>
  <c r="H1015" i="1"/>
  <c r="H1016" i="1"/>
  <c r="J1014" i="1"/>
  <c r="J1015" i="1"/>
  <c r="J1016" i="1"/>
  <c r="K1014" i="1"/>
  <c r="K1015" i="1"/>
  <c r="K1016" i="1"/>
  <c r="Q1014" i="1"/>
  <c r="P1014" i="1"/>
  <c r="Q1015" i="1"/>
  <c r="P1015" i="1"/>
  <c r="Q1016" i="1"/>
  <c r="P1016" i="1"/>
  <c r="B1013" i="1"/>
  <c r="H1013" i="1"/>
  <c r="J1013" i="1"/>
  <c r="K1013" i="1"/>
  <c r="Q1013" i="1"/>
  <c r="P1013" i="1"/>
  <c r="B1012" i="1"/>
  <c r="H1012" i="1"/>
  <c r="J1012" i="1"/>
  <c r="K1012" i="1"/>
  <c r="Q1012" i="1"/>
  <c r="P1012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08" i="1"/>
  <c r="B1009" i="1"/>
  <c r="H1008" i="1"/>
  <c r="H1009" i="1"/>
  <c r="J1008" i="1"/>
  <c r="J1009" i="1"/>
  <c r="K1008" i="1"/>
  <c r="K1009" i="1"/>
  <c r="Q1008" i="1"/>
  <c r="P1008" i="1"/>
  <c r="Q1009" i="1"/>
  <c r="P1009" i="1"/>
  <c r="B1007" i="1"/>
  <c r="H1007" i="1"/>
  <c r="J1007" i="1"/>
  <c r="K1007" i="1"/>
  <c r="Q1007" i="1"/>
  <c r="P1007" i="1"/>
  <c r="B1003" i="1"/>
  <c r="B1004" i="1"/>
  <c r="B1005" i="1"/>
  <c r="B1006" i="1"/>
  <c r="H1003" i="1"/>
  <c r="H1004" i="1"/>
  <c r="H1005" i="1"/>
  <c r="H1006" i="1"/>
  <c r="J1003" i="1"/>
  <c r="J1004" i="1"/>
  <c r="J1005" i="1"/>
  <c r="J1006" i="1"/>
  <c r="K1003" i="1"/>
  <c r="K1004" i="1"/>
  <c r="K1005" i="1"/>
  <c r="K1006" i="1"/>
  <c r="Q1003" i="1"/>
  <c r="P1003" i="1"/>
  <c r="Q1004" i="1"/>
  <c r="P1004" i="1"/>
  <c r="Q1005" i="1"/>
  <c r="P1005" i="1"/>
  <c r="Q1006" i="1"/>
  <c r="P1006" i="1"/>
  <c r="B1002" i="1"/>
  <c r="H1002" i="1"/>
  <c r="J1002" i="1"/>
  <c r="K1002" i="1"/>
  <c r="Q1002" i="1"/>
  <c r="P1002" i="1"/>
  <c r="B1001" i="1"/>
  <c r="H1001" i="1"/>
  <c r="J1001" i="1"/>
  <c r="K1001" i="1"/>
  <c r="Q1001" i="1"/>
  <c r="P1001" i="1"/>
  <c r="B1000" i="1"/>
  <c r="H1000" i="1"/>
  <c r="J1000" i="1"/>
  <c r="K1000" i="1"/>
  <c r="Q1000" i="1"/>
  <c r="P1000" i="1"/>
  <c r="B999" i="1"/>
  <c r="H999" i="1"/>
  <c r="J999" i="1"/>
  <c r="K999" i="1"/>
  <c r="Q999" i="1"/>
  <c r="P999" i="1"/>
  <c r="B998" i="1"/>
  <c r="H998" i="1"/>
  <c r="J998" i="1"/>
  <c r="K998" i="1"/>
  <c r="Q998" i="1"/>
  <c r="P998" i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/>
  <c r="Q996" i="1"/>
  <c r="P996" i="1"/>
  <c r="Q997" i="1"/>
  <c r="P997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/>
  <c r="Q988" i="1"/>
  <c r="P988" i="1"/>
  <c r="Q989" i="1"/>
  <c r="P989" i="1"/>
  <c r="Q990" i="1"/>
  <c r="P990" i="1"/>
  <c r="B986" i="1"/>
  <c r="H986" i="1"/>
  <c r="J986" i="1"/>
  <c r="K986" i="1"/>
  <c r="Q986" i="1"/>
  <c r="P986" i="1"/>
  <c r="B985" i="1"/>
  <c r="H985" i="1"/>
  <c r="J985" i="1"/>
  <c r="K985" i="1"/>
  <c r="Q985" i="1"/>
  <c r="P985" i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/>
  <c r="Q978" i="1"/>
  <c r="P978" i="1"/>
  <c r="Q979" i="1"/>
  <c r="P979" i="1"/>
  <c r="Q980" i="1"/>
  <c r="P980" i="1"/>
  <c r="Q981" i="1"/>
  <c r="P981" i="1"/>
  <c r="Q982" i="1"/>
  <c r="P982" i="1"/>
  <c r="Q983" i="1"/>
  <c r="P983" i="1"/>
  <c r="Q984" i="1"/>
  <c r="P984" i="1"/>
  <c r="B976" i="1"/>
  <c r="H976" i="1"/>
  <c r="J976" i="1"/>
  <c r="K976" i="1"/>
  <c r="Q976" i="1"/>
  <c r="P976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73" i="1"/>
  <c r="H973" i="1"/>
  <c r="J973" i="1"/>
  <c r="K973" i="1"/>
  <c r="Q973" i="1"/>
  <c r="P973" i="1"/>
  <c r="B972" i="1"/>
  <c r="H972" i="1"/>
  <c r="J972" i="1"/>
  <c r="K972" i="1"/>
  <c r="Q972" i="1"/>
  <c r="P972" i="1"/>
  <c r="B971" i="1"/>
  <c r="H971" i="1"/>
  <c r="J971" i="1"/>
  <c r="K971" i="1"/>
  <c r="Q971" i="1"/>
  <c r="P971" i="1"/>
  <c r="B970" i="1"/>
  <c r="H970" i="1"/>
  <c r="J970" i="1"/>
  <c r="K970" i="1"/>
  <c r="Q970" i="1"/>
  <c r="P970" i="1"/>
  <c r="B969" i="1"/>
  <c r="H969" i="1"/>
  <c r="J969" i="1"/>
  <c r="K969" i="1"/>
  <c r="Q969" i="1"/>
  <c r="P969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839" i="1"/>
  <c r="F839" i="1"/>
  <c r="J839" i="1"/>
  <c r="H839" i="1"/>
  <c r="K839" i="1"/>
  <c r="Q839" i="1"/>
  <c r="P839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48" i="1"/>
  <c r="H948" i="1"/>
  <c r="J948" i="1"/>
  <c r="K948" i="1"/>
  <c r="Q948" i="1"/>
  <c r="P948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65" i="1"/>
  <c r="H965" i="1"/>
  <c r="J965" i="1"/>
  <c r="K965" i="1"/>
  <c r="Q965" i="1"/>
  <c r="P965" i="1"/>
  <c r="B966" i="1"/>
  <c r="H966" i="1"/>
  <c r="J966" i="1"/>
  <c r="K966" i="1"/>
  <c r="Q966" i="1"/>
  <c r="P966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30" i="1"/>
  <c r="P930" i="1"/>
  <c r="Q929" i="1"/>
  <c r="P929" i="1"/>
  <c r="Q928" i="1"/>
  <c r="P928" i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/>
  <c r="B926" i="1"/>
  <c r="H926" i="1"/>
  <c r="J926" i="1"/>
  <c r="K926" i="1"/>
  <c r="Q926" i="1"/>
  <c r="P926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8" i="1"/>
  <c r="H908" i="1"/>
  <c r="J908" i="1"/>
  <c r="K908" i="1"/>
  <c r="Q908" i="1"/>
  <c r="P908" i="1"/>
  <c r="B907" i="1"/>
  <c r="H907" i="1"/>
  <c r="J907" i="1"/>
  <c r="K907" i="1"/>
  <c r="Q907" i="1"/>
  <c r="P907" i="1"/>
  <c r="F906" i="1"/>
  <c r="J906" i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/>
  <c r="B905" i="1"/>
  <c r="H905" i="1"/>
  <c r="J905" i="1"/>
  <c r="K905" i="1"/>
  <c r="Q905" i="1"/>
  <c r="P905" i="1"/>
  <c r="B897" i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B896" i="1"/>
  <c r="H896" i="1"/>
  <c r="J896" i="1"/>
  <c r="K896" i="1"/>
  <c r="Q896" i="1"/>
  <c r="P896" i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/>
  <c r="Q893" i="1"/>
  <c r="P893" i="1"/>
  <c r="Q894" i="1"/>
  <c r="P894" i="1"/>
  <c r="Q895" i="1"/>
  <c r="P895" i="1"/>
  <c r="B891" i="1"/>
  <c r="H891" i="1"/>
  <c r="J891" i="1"/>
  <c r="K891" i="1"/>
  <c r="Q891" i="1"/>
  <c r="P891" i="1"/>
  <c r="B890" i="1"/>
  <c r="H890" i="1"/>
  <c r="J890" i="1"/>
  <c r="K890" i="1"/>
  <c r="Q890" i="1"/>
  <c r="P890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85" i="1"/>
  <c r="H885" i="1"/>
  <c r="J885" i="1"/>
  <c r="K885" i="1"/>
  <c r="Q885" i="1"/>
  <c r="P885" i="1"/>
  <c r="B884" i="1"/>
  <c r="H884" i="1"/>
  <c r="K884" i="1"/>
  <c r="Q884" i="1"/>
  <c r="P884" i="1"/>
  <c r="J884" i="1"/>
  <c r="B882" i="1"/>
  <c r="B883" i="1"/>
  <c r="H882" i="1"/>
  <c r="H883" i="1"/>
  <c r="J882" i="1"/>
  <c r="J883" i="1"/>
  <c r="K882" i="1"/>
  <c r="K883" i="1"/>
  <c r="Q882" i="1"/>
  <c r="P882" i="1"/>
  <c r="Q883" i="1"/>
  <c r="P883" i="1"/>
  <c r="B881" i="1"/>
  <c r="H881" i="1"/>
  <c r="J881" i="1"/>
  <c r="K881" i="1"/>
  <c r="Q881" i="1"/>
  <c r="P881" i="1"/>
  <c r="B880" i="1"/>
  <c r="H880" i="1"/>
  <c r="J880" i="1"/>
  <c r="K880" i="1"/>
  <c r="Q880" i="1"/>
  <c r="P88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6" i="1"/>
  <c r="P866" i="1"/>
  <c r="K866" i="1"/>
  <c r="Q865" i="1"/>
  <c r="P865" i="1"/>
  <c r="K865" i="1"/>
  <c r="Q864" i="1"/>
  <c r="P864" i="1"/>
  <c r="K864" i="1"/>
  <c r="Q863" i="1"/>
  <c r="P863" i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/>
  <c r="Q860" i="1"/>
  <c r="P860" i="1"/>
  <c r="Q861" i="1"/>
  <c r="P861" i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/>
  <c r="Q854" i="1"/>
  <c r="P854" i="1"/>
  <c r="Q855" i="1"/>
  <c r="P855" i="1"/>
  <c r="Q856" i="1"/>
  <c r="P856" i="1"/>
  <c r="Q857" i="1"/>
  <c r="P857" i="1"/>
  <c r="Q858" i="1"/>
  <c r="P858" i="1"/>
  <c r="Q852" i="1"/>
  <c r="P852" i="1"/>
  <c r="K852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/>
  <c r="B833" i="1"/>
  <c r="H833" i="1"/>
  <c r="J833" i="1"/>
  <c r="K833" i="1"/>
  <c r="Q833" i="1"/>
  <c r="P833" i="1"/>
  <c r="B832" i="1"/>
  <c r="H832" i="1"/>
  <c r="J832" i="1"/>
  <c r="K832" i="1"/>
  <c r="Q832" i="1"/>
  <c r="P832" i="1"/>
  <c r="B831" i="1"/>
  <c r="H831" i="1"/>
  <c r="J831" i="1"/>
  <c r="K831" i="1"/>
  <c r="Q831" i="1"/>
  <c r="P831" i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/>
  <c r="Q827" i="1"/>
  <c r="P827" i="1"/>
  <c r="Q828" i="1"/>
  <c r="P828" i="1"/>
  <c r="Q829" i="1"/>
  <c r="P829" i="1"/>
  <c r="Q830" i="1"/>
  <c r="P830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/>
  <c r="Q810" i="1"/>
  <c r="P810" i="1"/>
  <c r="Q811" i="1"/>
  <c r="P811" i="1"/>
  <c r="Q812" i="1"/>
  <c r="P812" i="1"/>
  <c r="Q813" i="1"/>
  <c r="P813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B808" i="1"/>
  <c r="H808" i="1"/>
  <c r="J808" i="1"/>
  <c r="K808" i="1"/>
  <c r="Q808" i="1"/>
  <c r="P808" i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Q799" i="1"/>
  <c r="P799" i="1"/>
  <c r="Q798" i="1"/>
  <c r="P798" i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2" i="1"/>
  <c r="P772" i="1"/>
  <c r="Q773" i="1"/>
  <c r="P773" i="1"/>
  <c r="Q774" i="1"/>
  <c r="P774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63" i="1"/>
  <c r="H763" i="1"/>
  <c r="J763" i="1"/>
  <c r="K763" i="1"/>
  <c r="Q763" i="1"/>
  <c r="P763" i="1"/>
  <c r="B761" i="1"/>
  <c r="B762" i="1"/>
  <c r="H761" i="1"/>
  <c r="H762" i="1"/>
  <c r="J761" i="1"/>
  <c r="J762" i="1"/>
  <c r="K761" i="1"/>
  <c r="K762" i="1"/>
  <c r="Q761" i="1"/>
  <c r="P761" i="1"/>
  <c r="Q762" i="1"/>
  <c r="P762" i="1"/>
  <c r="B760" i="1"/>
  <c r="H760" i="1"/>
  <c r="J760" i="1"/>
  <c r="K760" i="1"/>
  <c r="Q760" i="1"/>
  <c r="P760" i="1"/>
  <c r="B759" i="1"/>
  <c r="H759" i="1"/>
  <c r="J759" i="1"/>
  <c r="K759" i="1"/>
  <c r="Q759" i="1"/>
  <c r="P759" i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/>
  <c r="Q757" i="1"/>
  <c r="P757" i="1"/>
  <c r="Q758" i="1"/>
  <c r="P758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/>
  <c r="Q726" i="1"/>
  <c r="P726" i="1"/>
  <c r="Q727" i="1"/>
  <c r="P727" i="1"/>
  <c r="Q728" i="1"/>
  <c r="P728" i="1"/>
  <c r="Q729" i="1"/>
  <c r="P729" i="1"/>
  <c r="Q730" i="1"/>
  <c r="P730" i="1"/>
  <c r="Q731" i="1"/>
  <c r="P731" i="1"/>
  <c r="Q732" i="1"/>
  <c r="P732" i="1"/>
  <c r="Q733" i="1"/>
  <c r="P733" i="1"/>
  <c r="Q734" i="1"/>
  <c r="P734" i="1"/>
  <c r="Q735" i="1"/>
  <c r="P735" i="1"/>
  <c r="Q736" i="1"/>
  <c r="P736" i="1"/>
  <c r="Q737" i="1"/>
  <c r="P737" i="1"/>
  <c r="Q738" i="1"/>
  <c r="P738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Q690" i="1"/>
  <c r="P690" i="1"/>
  <c r="K690" i="1"/>
  <c r="Q689" i="1"/>
  <c r="P689" i="1"/>
  <c r="K689" i="1"/>
  <c r="Q688" i="1"/>
  <c r="P688" i="1"/>
  <c r="K688" i="1"/>
  <c r="Q687" i="1"/>
  <c r="P687" i="1"/>
  <c r="K687" i="1"/>
  <c r="Q686" i="1"/>
  <c r="P686" i="1"/>
  <c r="K686" i="1"/>
  <c r="Q685" i="1"/>
  <c r="P685" i="1"/>
  <c r="K685" i="1"/>
  <c r="Q684" i="1"/>
  <c r="P684" i="1"/>
  <c r="K684" i="1"/>
  <c r="Q683" i="1"/>
  <c r="P683" i="1"/>
  <c r="K683" i="1"/>
  <c r="Q682" i="1"/>
  <c r="P682" i="1"/>
  <c r="K682" i="1"/>
  <c r="Q681" i="1"/>
  <c r="P681" i="1"/>
  <c r="K681" i="1"/>
  <c r="Q680" i="1"/>
  <c r="P680" i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/>
  <c r="Q678" i="1"/>
  <c r="P678" i="1"/>
  <c r="Q677" i="1"/>
  <c r="P677" i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/>
  <c r="Q674" i="1"/>
  <c r="P674" i="1"/>
  <c r="Q675" i="1"/>
  <c r="P675" i="1"/>
  <c r="B672" i="1"/>
  <c r="H672" i="1"/>
  <c r="J672" i="1"/>
  <c r="K672" i="1"/>
  <c r="Q672" i="1"/>
  <c r="P672" i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/>
  <c r="Q664" i="1"/>
  <c r="P664" i="1"/>
  <c r="Q665" i="1"/>
  <c r="P665" i="1"/>
  <c r="Q666" i="1"/>
  <c r="P666" i="1"/>
  <c r="Q667" i="1"/>
  <c r="P667" i="1"/>
  <c r="Q668" i="1"/>
  <c r="P668" i="1"/>
  <c r="Q669" i="1"/>
  <c r="P669" i="1"/>
  <c r="Q670" i="1"/>
  <c r="P670" i="1"/>
  <c r="Q671" i="1"/>
  <c r="P671" i="1"/>
  <c r="B662" i="1"/>
  <c r="H662" i="1"/>
  <c r="J662" i="1"/>
  <c r="K662" i="1"/>
  <c r="Q662" i="1"/>
  <c r="P662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51" i="1"/>
  <c r="H651" i="1"/>
  <c r="J651" i="1"/>
  <c r="K651" i="1"/>
  <c r="Q651" i="1"/>
  <c r="P651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43" i="1"/>
  <c r="H643" i="1"/>
  <c r="J643" i="1"/>
  <c r="K643" i="1"/>
  <c r="Q643" i="1"/>
  <c r="P643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8" i="1"/>
  <c r="B639" i="1"/>
  <c r="H638" i="1"/>
  <c r="H639" i="1"/>
  <c r="J638" i="1"/>
  <c r="J639" i="1"/>
  <c r="K638" i="1"/>
  <c r="K639" i="1"/>
  <c r="Q638" i="1"/>
  <c r="P638" i="1"/>
  <c r="Q639" i="1"/>
  <c r="P639" i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/>
  <c r="Q630" i="1"/>
  <c r="P630" i="1"/>
  <c r="Q631" i="1"/>
  <c r="P631" i="1"/>
  <c r="Q632" i="1"/>
  <c r="P632" i="1"/>
  <c r="Q633" i="1"/>
  <c r="P633" i="1"/>
  <c r="Q634" i="1"/>
  <c r="P634" i="1"/>
  <c r="Q635" i="1"/>
  <c r="P635" i="1"/>
  <c r="Q636" i="1"/>
  <c r="P636" i="1"/>
  <c r="Q637" i="1"/>
  <c r="P637" i="1"/>
  <c r="B628" i="1"/>
  <c r="H628" i="1"/>
  <c r="J628" i="1"/>
  <c r="K628" i="1"/>
  <c r="Q628" i="1"/>
  <c r="P628" i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/>
  <c r="Q625" i="1"/>
  <c r="P625" i="1"/>
  <c r="Q626" i="1"/>
  <c r="P626" i="1"/>
  <c r="Q627" i="1"/>
  <c r="P627" i="1"/>
  <c r="B623" i="1"/>
  <c r="H623" i="1"/>
  <c r="J623" i="1"/>
  <c r="K623" i="1"/>
  <c r="Q623" i="1"/>
  <c r="P623" i="1"/>
  <c r="B376" i="1"/>
  <c r="H376" i="1"/>
  <c r="J376" i="1"/>
  <c r="K376" i="1"/>
  <c r="Q376" i="1"/>
  <c r="P376" i="1"/>
  <c r="B381" i="1"/>
  <c r="H381" i="1"/>
  <c r="J381" i="1"/>
  <c r="K381" i="1"/>
  <c r="Q381" i="1"/>
  <c r="P381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87" i="1"/>
  <c r="B486" i="1"/>
  <c r="H486" i="1"/>
  <c r="H487" i="1"/>
  <c r="J486" i="1"/>
  <c r="J487" i="1"/>
  <c r="K486" i="1"/>
  <c r="K487" i="1"/>
  <c r="Q486" i="1"/>
  <c r="P486" i="1"/>
  <c r="Q487" i="1"/>
  <c r="P487" i="1"/>
  <c r="B485" i="1"/>
  <c r="H485" i="1"/>
  <c r="J485" i="1"/>
  <c r="K485" i="1"/>
  <c r="Q485" i="1"/>
  <c r="P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/>
  <c r="Q431" i="1"/>
  <c r="P431" i="1"/>
  <c r="Q432" i="1"/>
  <c r="P432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B429" i="1"/>
  <c r="H429" i="1"/>
  <c r="J429" i="1"/>
  <c r="K429" i="1"/>
  <c r="Q429" i="1"/>
  <c r="P429" i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/>
  <c r="Q427" i="1"/>
  <c r="P427" i="1"/>
  <c r="Q428" i="1"/>
  <c r="P428" i="1"/>
  <c r="B425" i="1"/>
  <c r="H425" i="1"/>
  <c r="J425" i="1"/>
  <c r="K425" i="1"/>
  <c r="Q425" i="1"/>
  <c r="P425" i="1"/>
  <c r="B424" i="1"/>
  <c r="H424" i="1"/>
  <c r="J424" i="1"/>
  <c r="K424" i="1"/>
  <c r="Q424" i="1"/>
  <c r="P424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/>
  <c r="Q384" i="1"/>
  <c r="P384" i="1"/>
  <c r="Q385" i="1"/>
  <c r="P385" i="1"/>
  <c r="Q386" i="1"/>
  <c r="P386" i="1"/>
  <c r="Q387" i="1"/>
  <c r="P387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B382" i="1"/>
  <c r="H382" i="1"/>
  <c r="J382" i="1"/>
  <c r="K382" i="1"/>
  <c r="Q382" i="1"/>
  <c r="P382" i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7" i="1"/>
  <c r="P377" i="1"/>
  <c r="Q378" i="1"/>
  <c r="P378" i="1"/>
  <c r="Q379" i="1"/>
  <c r="P379" i="1"/>
  <c r="Q380" i="1"/>
  <c r="P380" i="1"/>
  <c r="B365" i="1"/>
  <c r="H365" i="1"/>
  <c r="J365" i="1"/>
  <c r="K365" i="1"/>
  <c r="Q365" i="1"/>
  <c r="P365" i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/>
  <c r="Q361" i="1"/>
  <c r="P361" i="1"/>
  <c r="Q362" i="1"/>
  <c r="P362" i="1"/>
  <c r="Q363" i="1"/>
  <c r="P363" i="1"/>
  <c r="Q364" i="1"/>
  <c r="P364" i="1"/>
  <c r="B359" i="1"/>
  <c r="H359" i="1"/>
  <c r="J359" i="1"/>
  <c r="K359" i="1"/>
  <c r="Q359" i="1"/>
  <c r="P359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/>
  <c r="Q344" i="1"/>
  <c r="P344" i="1"/>
  <c r="Q345" i="1"/>
  <c r="P345" i="1"/>
  <c r="B342" i="1"/>
  <c r="H342" i="1"/>
  <c r="J342" i="1"/>
  <c r="K342" i="1"/>
  <c r="Q342" i="1"/>
  <c r="P342" i="1"/>
  <c r="B341" i="1"/>
  <c r="H341" i="1"/>
  <c r="J341" i="1"/>
  <c r="K341" i="1"/>
  <c r="Q341" i="1"/>
  <c r="P341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22" i="1"/>
  <c r="H322" i="1"/>
  <c r="J322" i="1"/>
  <c r="K322" i="1"/>
  <c r="Q322" i="1"/>
  <c r="P322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15" i="1"/>
  <c r="H315" i="1"/>
  <c r="J315" i="1"/>
  <c r="K315" i="1"/>
  <c r="Q315" i="1"/>
  <c r="P315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/>
  <c r="Q280" i="1"/>
  <c r="P280" i="1"/>
  <c r="Q281" i="1"/>
  <c r="P281" i="1"/>
  <c r="B278" i="1"/>
  <c r="H278" i="1"/>
  <c r="J278" i="1"/>
  <c r="K278" i="1"/>
  <c r="Q278" i="1"/>
  <c r="P278" i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/>
  <c r="Q268" i="1"/>
  <c r="P268" i="1"/>
  <c r="Q269" i="1"/>
  <c r="P269" i="1"/>
  <c r="Q270" i="1"/>
  <c r="P270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B266" i="1"/>
  <c r="H266" i="1"/>
  <c r="J266" i="1"/>
  <c r="K266" i="1"/>
  <c r="Q266" i="1"/>
  <c r="P266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202" i="1"/>
  <c r="H202" i="1"/>
  <c r="J202" i="1"/>
  <c r="K202" i="1"/>
  <c r="Q202" i="1"/>
  <c r="P202" i="1"/>
  <c r="B201" i="1"/>
  <c r="H201" i="1"/>
  <c r="J201" i="1"/>
  <c r="K201" i="1"/>
  <c r="Q201" i="1"/>
  <c r="P201" i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/>
  <c r="Q197" i="1"/>
  <c r="P197" i="1"/>
  <c r="Q198" i="1"/>
  <c r="P198" i="1"/>
  <c r="Q199" i="1"/>
  <c r="P199" i="1"/>
  <c r="Q200" i="1"/>
  <c r="P200" i="1"/>
  <c r="B194" i="1"/>
  <c r="B195" i="1"/>
  <c r="H194" i="1"/>
  <c r="H195" i="1"/>
  <c r="J194" i="1"/>
  <c r="J195" i="1"/>
  <c r="K194" i="1"/>
  <c r="K195" i="1"/>
  <c r="Q194" i="1"/>
  <c r="P194" i="1"/>
  <c r="Q195" i="1"/>
  <c r="P195" i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/>
  <c r="Q191" i="1"/>
  <c r="P191" i="1"/>
  <c r="Q192" i="1"/>
  <c r="P192" i="1"/>
  <c r="Q193" i="1"/>
  <c r="P193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86" i="1"/>
  <c r="H186" i="1"/>
  <c r="K186" i="1"/>
  <c r="Q186" i="1"/>
  <c r="P186" i="1"/>
  <c r="B184" i="1"/>
  <c r="B185" i="1"/>
  <c r="H184" i="1"/>
  <c r="H185" i="1"/>
  <c r="J184" i="1"/>
  <c r="J185" i="1"/>
  <c r="K184" i="1"/>
  <c r="K185" i="1"/>
  <c r="Q184" i="1"/>
  <c r="P184" i="1"/>
  <c r="Q185" i="1"/>
  <c r="P185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/>
  <c r="Q165" i="1"/>
  <c r="P165" i="1"/>
  <c r="Q166" i="1"/>
  <c r="P16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J186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/>
  <c r="Q107" i="1"/>
  <c r="P107" i="1"/>
  <c r="Q108" i="1"/>
  <c r="P108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/>
  <c r="Q88" i="1"/>
  <c r="P88" i="1"/>
  <c r="Q89" i="1"/>
  <c r="P89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B86" i="1"/>
  <c r="H86" i="1"/>
  <c r="J86" i="1"/>
  <c r="K86" i="1"/>
  <c r="Q86" i="1"/>
  <c r="P86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19" i="1"/>
  <c r="P19" i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/>
  <c r="Q21" i="1"/>
  <c r="P21" i="1"/>
  <c r="Q22" i="1"/>
  <c r="P22" i="1"/>
  <c r="Q23" i="1"/>
  <c r="P23" i="1"/>
  <c r="B17" i="1"/>
  <c r="B18" i="1"/>
  <c r="H17" i="1"/>
  <c r="H18" i="1"/>
  <c r="J17" i="1"/>
  <c r="J18" i="1"/>
  <c r="K17" i="1"/>
  <c r="K18" i="1"/>
  <c r="Q17" i="1"/>
  <c r="P17" i="1"/>
  <c r="Q18" i="1"/>
  <c r="P18" i="1"/>
  <c r="B16" i="1"/>
  <c r="H16" i="1"/>
  <c r="J16" i="1"/>
  <c r="K16" i="1"/>
  <c r="Q16" i="1"/>
  <c r="P16" i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/>
  <c r="Q12" i="1"/>
  <c r="P12" i="1"/>
  <c r="Q13" i="1"/>
  <c r="P13" i="1"/>
  <c r="Q14" i="1"/>
  <c r="P14" i="1"/>
  <c r="Q15" i="1"/>
  <c r="P15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<sst xmlns="http://schemas.openxmlformats.org/spreadsheetml/2006/main" count="11055" uniqueCount="2966">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</sst>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8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68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5.470995138887" createdVersion="7" refreshedVersion="8" minRefreshableVersion="3" recordCount="1012" xr:uid="{11839AE3-6158-4318-87AD-2C711D0BF451}">
  <cacheSource type="worksheet">
    <worksheetSource name="Proc"/>
  </cacheSource>
  <cacheFields count="19">
    <cacheField name="App" numFmtId="0">
      <sharedItems containsBlank="1" count="1339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s v="FR7220448"/>
        <s v="FR7218977"/>
        <s v="FR7202707"/>
        <s v="FR7228501"/>
        <s v="FR7228078"/>
        <s v="FR72265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7T20:57:33"/>
    </cacheField>
    <cacheField name="DateMapped" numFmtId="14">
      <sharedItems containsNonDate="0" containsDate="1" containsString="0" containsBlank="1" minDate="2023-09-01T00:00:00" maxDate="2025-04-08T00:00:00"/>
    </cacheField>
    <cacheField name="DateClosed" numFmtId="14">
      <sharedItems containsNonDate="0" containsDate="1" containsString="0" containsBlank="1" minDate="2023-09-06T00:00:00" maxDate="2025-04-0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7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5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5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8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5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5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5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5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5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5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5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5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5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5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5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5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5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5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5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5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5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5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5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5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5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5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5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5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5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5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5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5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5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5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5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5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5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5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5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5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5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5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5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5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5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4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4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4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4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4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6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5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6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6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0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0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0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2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3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4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5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46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47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8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50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1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52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2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55"/>
    <x v="1"/>
    <x v="6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m/>
    <m/>
    <x v="0"/>
    <n v="1"/>
    <s v="Francesco Ricioppo"/>
    <m/>
  </r>
  <r>
    <x v="155"/>
    <x v="1"/>
    <x v="6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m/>
    <x v="0"/>
    <n v="1"/>
    <s v="Francesco Ricioppo"/>
    <m/>
  </r>
  <r>
    <x v="156"/>
    <x v="1"/>
    <x v="5"/>
    <s v="CSCALA_1022$IEF IEF"/>
    <s v="G000000786"/>
    <s v="DFLTGCOH_BF-Z2_001022"/>
    <s v="Non-LFF"/>
    <s v=""/>
    <m/>
    <b v="0"/>
    <x v="0"/>
    <x v="2"/>
    <d v="2025-04-07T17:45:30"/>
    <m/>
    <m/>
    <x v="0"/>
    <n v="1"/>
    <s v="Jay-R Lizardo"/>
    <m/>
  </r>
  <r>
    <x v="156"/>
    <x v="1"/>
    <x v="5"/>
    <s v="CSCALA_1022$ITN_T02"/>
    <s v="G000000277"/>
    <s v="DFLTGCOH_BF-C8_001022"/>
    <s v="Non-LFF"/>
    <s v=""/>
    <m/>
    <b v="0"/>
    <x v="0"/>
    <x v="2"/>
    <d v="2025-04-07T17:45:30"/>
    <m/>
    <m/>
    <x v="0"/>
    <n v="1"/>
    <s v="Jay-R Lizardo"/>
    <m/>
  </r>
  <r>
    <x v="157"/>
    <x v="1"/>
    <x v="5"/>
    <s v="CORAERP_MMOR1945.LLCZ "/>
    <s v="L000013188"/>
    <s v="DFLTPGCOH_002072 BioReliance Corporation, USA"/>
    <s v="Non-LFF"/>
    <s v=""/>
    <m/>
    <b v="0"/>
    <x v="2"/>
    <x v="2"/>
    <d v="2025-04-07T12:06:32"/>
    <m/>
    <m/>
    <x v="0"/>
    <n v="1"/>
    <s v="Joan Rose Pena"/>
    <m/>
  </r>
  <r>
    <x v="157"/>
    <x v="1"/>
    <x v="5"/>
    <s v="CSCALA_1759$GRMI"/>
    <s v="L000008965"/>
    <s v="DFLTPGCOH_002072 BioReliance Corporation, USA"/>
    <s v="Non-LFF"/>
    <s v=""/>
    <m/>
    <b v="0"/>
    <x v="2"/>
    <x v="2"/>
    <d v="2025-04-07T12:06:32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340">
        <item m="1" x="724"/>
        <item x="0"/>
        <item m="1" x="794"/>
        <item m="1" x="1215"/>
        <item m="1" x="377"/>
        <item m="1" x="1232"/>
        <item m="1" x="754"/>
        <item m="1" x="844"/>
        <item m="1" x="1265"/>
        <item m="1" x="1059"/>
        <item m="1" x="747"/>
        <item m="1" x="1331"/>
        <item m="1" x="1077"/>
        <item m="1" x="1321"/>
        <item m="1" x="695"/>
        <item m="1" x="596"/>
        <item m="1" x="300"/>
        <item m="1" x="561"/>
        <item m="1" x="1285"/>
        <item m="1" x="353"/>
        <item m="1" x="661"/>
        <item m="1" x="1029"/>
        <item m="1" x="744"/>
        <item m="1" x="837"/>
        <item m="1" x="1133"/>
        <item m="1" x="1318"/>
        <item m="1" x="779"/>
        <item m="1" x="801"/>
        <item m="1" x="566"/>
        <item m="1" x="967"/>
        <item m="1" x="726"/>
        <item m="1" x="1272"/>
        <item m="1" x="929"/>
        <item m="1" x="362"/>
        <item m="1" x="470"/>
        <item m="1" x="1257"/>
        <item m="1" x="1021"/>
        <item m="1" x="275"/>
        <item m="1" x="1107"/>
        <item m="1" x="773"/>
        <item m="1" x="1068"/>
        <item m="1" x="654"/>
        <item m="1" x="1006"/>
        <item m="1" x="265"/>
        <item m="1" x="295"/>
        <item m="1" x="1334"/>
        <item m="1" x="1013"/>
        <item m="1" x="1081"/>
        <item m="1" x="1188"/>
        <item m="1" x="957"/>
        <item m="1" x="1055"/>
        <item m="1" x="894"/>
        <item m="1" x="349"/>
        <item m="1" x="540"/>
        <item m="1" x="1316"/>
        <item m="1" x="884"/>
        <item m="1" x="1024"/>
        <item m="1" x="552"/>
        <item m="1" x="513"/>
        <item m="1" x="805"/>
        <item m="1" x="697"/>
        <item m="1" x="730"/>
        <item m="1" x="289"/>
        <item m="1" x="428"/>
        <item m="1" x="1090"/>
        <item m="1" x="1307"/>
        <item m="1" x="493"/>
        <item m="1" x="898"/>
        <item m="1" x="908"/>
        <item m="1" x="1085"/>
        <item m="1" x="1195"/>
        <item m="1" x="1073"/>
        <item m="1" x="368"/>
        <item m="1" x="1216"/>
        <item m="1" x="946"/>
        <item m="1" x="933"/>
        <item m="1" x="468"/>
        <item m="1" x="821"/>
        <item m="1" x="1168"/>
        <item m="1" x="286"/>
        <item m="1" x="865"/>
        <item m="1" x="1218"/>
        <item m="1" x="1056"/>
        <item m="1" x="791"/>
        <item m="1" x="833"/>
        <item m="1" x="714"/>
        <item m="1" x="949"/>
        <item m="1" x="761"/>
        <item m="1" x="993"/>
        <item m="1" x="477"/>
        <item m="1" x="1306"/>
        <item m="1" x="831"/>
        <item m="1" x="1117"/>
        <item m="1" x="194"/>
        <item m="1" x="1322"/>
        <item m="1" x="858"/>
        <item m="1" x="1147"/>
        <item m="1" x="1060"/>
        <item m="1" x="838"/>
        <item m="1" x="348"/>
        <item m="1" x="355"/>
        <item m="1" x="395"/>
        <item m="1" x="577"/>
        <item m="1" x="1001"/>
        <item m="1" x="762"/>
        <item m="1" x="878"/>
        <item m="1" x="941"/>
        <item m="1" x="1088"/>
        <item m="1" x="1171"/>
        <item m="1" x="733"/>
        <item m="1" x="454"/>
        <item m="1" x="297"/>
        <item m="1" x="440"/>
        <item m="1" x="1315"/>
        <item m="1" x="472"/>
        <item m="1" x="1153"/>
        <item m="1" x="1082"/>
        <item m="1" x="700"/>
        <item m="1" x="772"/>
        <item m="1" x="638"/>
        <item m="1" x="895"/>
        <item m="1" x="1270"/>
        <item m="1" x="446"/>
        <item m="1" x="394"/>
        <item m="1" x="329"/>
        <item m="1" x="995"/>
        <item m="1" x="1255"/>
        <item m="1" x="1183"/>
        <item m="1" x="840"/>
        <item m="1" x="364"/>
        <item m="1" x="1089"/>
        <item m="1" x="541"/>
        <item m="1" x="795"/>
        <item m="1" x="970"/>
        <item m="1" x="1078"/>
        <item m="1" x="198"/>
        <item m="1" x="1027"/>
        <item m="1" x="990"/>
        <item m="1" x="431"/>
        <item m="1" x="879"/>
        <item m="1" x="767"/>
        <item m="1" x="720"/>
        <item m="1" x="453"/>
        <item m="1" x="389"/>
        <item m="1" x="629"/>
        <item m="1" x="816"/>
        <item m="1" x="223"/>
        <item m="1" x="562"/>
        <item m="1" x="421"/>
        <item m="1" x="163"/>
        <item m="1" x="673"/>
        <item m="1" x="874"/>
        <item m="1" x="756"/>
        <item m="1" x="802"/>
        <item m="1" x="1121"/>
        <item m="1" x="703"/>
        <item m="1" x="1229"/>
        <item m="1" x="953"/>
        <item m="1" x="892"/>
        <item m="1" x="406"/>
        <item m="1" x="1039"/>
        <item m="1" x="1317"/>
        <item m="1" x="1005"/>
        <item m="1" x="989"/>
        <item m="1" x="276"/>
        <item m="1" x="324"/>
        <item m="1" x="859"/>
        <item m="1" x="365"/>
        <item m="1" x="1302"/>
        <item m="1" x="968"/>
        <item m="1" x="893"/>
        <item m="1" x="845"/>
        <item m="1" x="646"/>
        <item m="1" x="274"/>
        <item m="1" x="374"/>
        <item m="1" x="480"/>
        <item m="1" x="1213"/>
        <item m="1" x="1245"/>
        <item m="1" x="944"/>
        <item m="1" x="671"/>
        <item m="1" x="759"/>
        <item m="1" x="269"/>
        <item m="1" x="309"/>
        <item m="1" x="648"/>
        <item m="1" x="873"/>
        <item m="1" x="786"/>
        <item m="1" x="444"/>
        <item m="1" x="677"/>
        <item m="1" x="391"/>
        <item m="1" x="586"/>
        <item m="1" x="508"/>
        <item m="1" x="343"/>
        <item m="1" x="479"/>
        <item m="1" x="849"/>
        <item m="1" x="259"/>
        <item m="1" x="498"/>
        <item m="1" x="290"/>
        <item m="1" x="983"/>
        <item m="1" x="1172"/>
        <item m="1" x="782"/>
        <item m="1" x="426"/>
        <item m="1" x="1076"/>
        <item m="1" x="921"/>
        <item m="1" x="438"/>
        <item m="1" x="439"/>
        <item m="1" x="624"/>
        <item m="1" x="314"/>
        <item m="1" x="503"/>
        <item m="1" x="298"/>
        <item m="1" x="484"/>
        <item m="1" x="1052"/>
        <item m="1" x="563"/>
        <item m="1" x="930"/>
        <item m="1" x="980"/>
        <item m="1" x="1114"/>
        <item m="1" x="1118"/>
        <item m="1" x="835"/>
        <item m="1" x="676"/>
        <item m="1" x="715"/>
        <item m="1" x="1282"/>
        <item m="1" x="575"/>
        <item m="1" x="387"/>
        <item m="1" x="765"/>
        <item m="1" x="222"/>
        <item m="1" x="1286"/>
        <item m="1" x="749"/>
        <item m="1" x="183"/>
        <item m="1" x="1204"/>
        <item m="1" x="1247"/>
        <item m="1" x="1084"/>
        <item m="1" x="461"/>
        <item m="1" x="200"/>
        <item m="1" x="1134"/>
        <item m="1" x="525"/>
        <item m="1" x="161"/>
        <item m="1" x="1305"/>
        <item m="1" x="549"/>
        <item m="1" x="704"/>
        <item m="1" x="1149"/>
        <item m="1" x="236"/>
        <item m="1" x="1061"/>
        <item m="1" x="869"/>
        <item m="1" x="734"/>
        <item m="1" x="604"/>
        <item m="1" x="351"/>
        <item m="1" x="852"/>
        <item m="1" x="554"/>
        <item m="1" x="1092"/>
        <item m="1" x="414"/>
        <item m="1" x="1162"/>
        <item m="1" x="1169"/>
        <item m="1" x="853"/>
        <item m="1" x="1043"/>
        <item m="1" x="460"/>
        <item m="1" x="757"/>
        <item m="1" x="1046"/>
        <item m="1" x="630"/>
        <item m="1" x="920"/>
        <item m="1" x="559"/>
        <item m="1" x="344"/>
        <item m="1" x="548"/>
        <item m="1" x="1314"/>
        <item m="1" x="1256"/>
        <item m="1" x="401"/>
        <item m="1" x="1202"/>
        <item m="1" x="208"/>
        <item m="1" x="1224"/>
        <item m="1" x="243"/>
        <item m="1" x="545"/>
        <item m="1" x="643"/>
        <item m="1" x="590"/>
        <item m="1" x="1197"/>
        <item m="1" x="1100"/>
        <item m="1" x="341"/>
        <item m="1" x="911"/>
        <item m="1" x="1119"/>
        <item m="1" x="1253"/>
        <item m="1" x="1160"/>
        <item m="1" x="246"/>
        <item m="1" x="1326"/>
        <item m="1" x="397"/>
        <item m="1" x="678"/>
        <item m="1" x="1122"/>
        <item m="1" x="245"/>
        <item m="1" x="1181"/>
        <item m="1" x="410"/>
        <item m="1" x="1054"/>
        <item m="1" x="918"/>
        <item m="1" x="896"/>
        <item m="1" x="475"/>
        <item m="1" x="437"/>
        <item m="1" x="1249"/>
        <item m="1" x="190"/>
        <item m="1" x="372"/>
        <item m="1" x="1031"/>
        <item m="1" x="1142"/>
        <item m="1" x="1069"/>
        <item m="1" x="1273"/>
        <item m="1" x="777"/>
        <item m="1" x="404"/>
        <item m="1" x="524"/>
        <item m="1" x="843"/>
        <item m="1" x="585"/>
        <item m="1" x="913"/>
        <item m="1" x="526"/>
        <item m="1" x="328"/>
        <item m="1" x="981"/>
        <item m="1" x="383"/>
        <item m="1" x="263"/>
        <item m="1" x="1115"/>
        <item m="1" x="1262"/>
        <item m="1" x="963"/>
        <item m="1" x="228"/>
        <item m="1" x="1154"/>
        <item m="1" x="952"/>
        <item m="1" x="1062"/>
        <item m="1" x="1201"/>
        <item m="1" x="429"/>
        <item m="1" x="621"/>
        <item m="1" x="459"/>
        <item m="1" x="727"/>
        <item m="1" x="651"/>
        <item m="1" x="681"/>
        <item m="1" x="1217"/>
        <item m="1" x="663"/>
        <item m="1" x="866"/>
        <item m="1" x="398"/>
        <item m="1" x="597"/>
        <item m="1" x="571"/>
        <item m="1" x="914"/>
        <item m="1" x="817"/>
        <item m="1" x="1045"/>
        <item m="1" x="567"/>
        <item m="1" x="1203"/>
        <item m="1" x="405"/>
        <item m="1" x="331"/>
        <item m="1" x="587"/>
        <item m="1" x="1128"/>
        <item m="1" x="238"/>
        <item m="1" x="239"/>
        <item m="1" x="535"/>
        <item m="1" x="1208"/>
        <item m="1" x="602"/>
        <item m="1" x="247"/>
        <item m="1" x="407"/>
        <item m="1" x="649"/>
        <item m="1" x="960"/>
        <item m="1" x="932"/>
        <item m="1" x="603"/>
        <item m="1" x="184"/>
        <item m="1" x="322"/>
        <item m="1" x="534"/>
        <item m="1" x="422"/>
        <item m="1" x="179"/>
        <item m="1" x="1132"/>
        <item m="1" x="1261"/>
        <item m="1" x="731"/>
        <item m="1" x="1161"/>
        <item m="1" x="1221"/>
        <item m="1" x="244"/>
        <item m="1" x="1259"/>
        <item m="1" x="997"/>
        <item m="1" x="420"/>
        <item m="1" x="606"/>
        <item m="1" x="510"/>
        <item m="1" x="872"/>
        <item m="1" x="443"/>
        <item m="1" x="659"/>
        <item m="1" x="954"/>
        <item m="1" x="1079"/>
        <item m="1" x="582"/>
        <item m="1" x="710"/>
        <item m="1" x="522"/>
        <item m="1" x="448"/>
        <item m="1" x="959"/>
        <item m="1" x="1074"/>
        <item m="1" x="1236"/>
        <item m="1" x="278"/>
        <item m="1" x="482"/>
        <item m="1" x="922"/>
        <item m="1" x="323"/>
        <item m="1" x="610"/>
        <item m="1" x="991"/>
        <item m="1" x="256"/>
        <item m="1" x="466"/>
        <item m="1" x="576"/>
        <item m="1" x="1182"/>
        <item m="1" x="415"/>
        <item m="1" x="685"/>
        <item m="1" x="1238"/>
        <item m="1" x="366"/>
        <item m="1" x="555"/>
        <item m="1" x="743"/>
        <item m="1" x="1080"/>
        <item m="1" x="378"/>
        <item m="1" x="634"/>
        <item m="1" x="476"/>
        <item m="1" x="972"/>
        <item m="1" x="1158"/>
        <item m="1" x="284"/>
        <item m="1" x="504"/>
        <item m="1" x="1240"/>
        <item m="1" x="1205"/>
        <item m="1" x="305"/>
        <item m="1" x="622"/>
        <item m="1" x="1146"/>
        <item m="1" x="1277"/>
        <item m="1" x="1148"/>
        <item m="1" x="1123"/>
        <item m="1" x="254"/>
        <item m="1" x="430"/>
        <item m="1" x="512"/>
        <item m="1" x="501"/>
        <item m="1" x="728"/>
        <item m="1" x="216"/>
        <item m="1" x="915"/>
        <item m="1" x="986"/>
        <item m="1" x="168"/>
        <item m="1" x="1246"/>
        <item m="1" x="1108"/>
        <item m="1" x="1237"/>
        <item m="1" x="1267"/>
        <item m="1" x="1303"/>
        <item m="1" x="1241"/>
        <item m="1" x="605"/>
        <item m="1" x="965"/>
        <item m="1" x="572"/>
        <item m="1" x="978"/>
        <item m="1" x="943"/>
        <item m="1" x="381"/>
        <item m="1" x="419"/>
        <item m="1" x="557"/>
        <item m="1" x="1022"/>
        <item m="1" x="542"/>
        <item m="1" x="288"/>
        <item m="1" x="1287"/>
        <item m="1" x="1037"/>
        <item m="1" x="870"/>
        <item m="1" x="902"/>
        <item m="1" x="951"/>
        <item m="1" x="376"/>
        <item m="1" x="718"/>
        <item m="1" x="1063"/>
        <item m="1" x="214"/>
        <item m="1" x="457"/>
        <item m="1" x="357"/>
        <item m="1" x="354"/>
        <item m="1" x="358"/>
        <item m="1" x="159"/>
        <item m="1" x="380"/>
        <item m="1" x="1177"/>
        <item m="1" x="181"/>
        <item m="1" x="827"/>
        <item m="1" x="1264"/>
        <item m="1" x="1075"/>
        <item m="1" x="335"/>
        <item m="1" x="1335"/>
        <item m="1" x="264"/>
        <item m="1" x="631"/>
        <item m="1" x="854"/>
        <item m="1" x="310"/>
        <item m="1" x="763"/>
        <item m="1" x="923"/>
        <item m="1" x="1191"/>
        <item m="1" x="1093"/>
        <item m="1" x="172"/>
        <item m="1" x="855"/>
        <item m="1" x="255"/>
        <item m="1" x="491"/>
        <item m="1" x="463"/>
        <item m="1" x="225"/>
        <item m="1" x="818"/>
        <item m="1" x="825"/>
        <item m="1" x="925"/>
        <item m="1" x="674"/>
        <item m="1" x="1174"/>
        <item m="1" x="583"/>
        <item m="1" x="1293"/>
        <item m="1" x="928"/>
        <item m="1" x="819"/>
        <item m="1" x="483"/>
        <item m="1" x="891"/>
        <item m="1" x="1189"/>
        <item m="1" x="1254"/>
        <item m="1" x="1233"/>
        <item m="1" x="1163"/>
        <item m="1" x="912"/>
        <item m="1" x="1025"/>
        <item m="1" x="538"/>
        <item m="1" x="987"/>
        <item m="1" x="812"/>
        <item m="1" x="771"/>
        <item m="1" x="769"/>
        <item m="1" x="770"/>
        <item m="1" x="467"/>
        <item m="1" x="511"/>
        <item m="1" x="1124"/>
        <item m="1" x="689"/>
        <item m="1" x="531"/>
        <item m="1" x="573"/>
        <item m="1" x="619"/>
        <item m="1" x="871"/>
        <item m="1" x="1209"/>
        <item m="1" x="1298"/>
        <item m="1" x="416"/>
        <item m="1" x="367"/>
        <item m="1" x="204"/>
        <item m="1" x="226"/>
        <item m="1" x="523"/>
        <item m="1" x="311"/>
        <item m="1" x="639"/>
        <item m="1" x="1175"/>
        <item m="1" x="516"/>
        <item m="1" x="308"/>
        <item m="1" x="1067"/>
        <item m="1" x="185"/>
        <item m="1" x="1193"/>
        <item m="1" x="1268"/>
        <item m="1" x="1332"/>
        <item m="1" x="1207"/>
        <item m="1" x="450"/>
        <item m="1" x="227"/>
        <item m="1" x="691"/>
        <item m="1" x="775"/>
        <item m="1" x="971"/>
        <item m="1" x="939"/>
        <item m="1" x="975"/>
        <item m="1" x="752"/>
        <item m="1" x="790"/>
        <item m="1" x="1231"/>
        <item m="1" x="994"/>
        <item m="1" x="964"/>
        <item m="1" x="903"/>
        <item m="1" x="976"/>
        <item m="1" x="177"/>
        <item m="1" x="182"/>
        <item m="1" x="785"/>
        <item m="1" x="1170"/>
        <item m="1" x="740"/>
        <item m="1" x="1310"/>
        <item m="1" x="709"/>
        <item m="1" x="885"/>
        <item m="1" x="956"/>
        <item m="1" x="570"/>
        <item m="1" x="402"/>
        <item m="1" x="778"/>
        <item m="1" x="464"/>
        <item m="1" x="1319"/>
        <item m="1" x="1234"/>
        <item m="1" x="1047"/>
        <item m="1" x="304"/>
        <item m="1" x="231"/>
        <item m="1" x="804"/>
        <item m="1" x="1048"/>
        <item m="1" x="1337"/>
        <item m="1" x="683"/>
        <item m="1" x="1284"/>
        <item m="1" x="218"/>
        <item m="1" x="332"/>
        <item m="1" x="644"/>
        <item m="1" x="735"/>
        <item m="1" x="1164"/>
        <item m="1" x="488"/>
        <item m="1" x="1167"/>
        <item m="1" x="584"/>
        <item m="1" x="1156"/>
        <item m="1" x="1320"/>
        <item m="1" x="248"/>
        <item m="1" x="1304"/>
        <item m="1" x="195"/>
        <item m="1" x="1057"/>
        <item m="1" x="675"/>
        <item m="1" x="506"/>
        <item m="1" x="469"/>
        <item m="1" x="613"/>
        <item m="1" x="212"/>
        <item m="1" x="1297"/>
        <item m="1" x="296"/>
        <item m="1" x="317"/>
        <item m="1" x="1190"/>
        <item m="1" x="1269"/>
        <item m="1" x="783"/>
        <item m="1" x="924"/>
        <item m="1" x="625"/>
        <item m="1" x="738"/>
        <item m="1" x="887"/>
        <item m="1" x="1004"/>
        <item m="1" x="591"/>
        <item m="1" x="867"/>
        <item m="1" x="686"/>
        <item m="1" x="1323"/>
        <item m="1" x="176"/>
        <item m="1" x="615"/>
        <item m="1" x="556"/>
        <item m="1" x="517"/>
        <item m="1" x="1311"/>
        <item m="1" x="1129"/>
        <item m="1" x="1260"/>
        <item m="1" x="273"/>
        <item m="1" x="1271"/>
        <item m="1" x="1258"/>
        <item m="1" x="1135"/>
        <item m="1" x="370"/>
        <item m="1" x="739"/>
        <item m="1" x="832"/>
        <item m="1" x="578"/>
        <item m="1" x="1176"/>
        <item m="1" x="962"/>
        <item m="1" x="982"/>
        <item m="1" x="876"/>
        <item m="1" x="219"/>
        <item m="1" x="1049"/>
        <item m="1" x="1211"/>
        <item m="1" x="616"/>
        <item m="1" x="1330"/>
        <item m="1" x="824"/>
        <item m="1" x="411"/>
        <item m="1" x="544"/>
        <item m="1" x="580"/>
        <item m="1" x="1239"/>
        <item m="1" x="1223"/>
        <item m="1" x="283"/>
        <item m="1" x="285"/>
        <item m="1" x="199"/>
        <item m="1" x="1159"/>
        <item m="1" x="201"/>
        <item m="1" x="618"/>
        <item m="1" x="518"/>
        <item m="1" x="974"/>
        <item m="1" x="917"/>
        <item m="1" x="1266"/>
        <item m="1" x="1198"/>
        <item m="1" x="690"/>
        <item m="1" x="904"/>
        <item m="1" x="1139"/>
        <item m="1" x="252"/>
        <item m="1" x="684"/>
        <item m="1" x="614"/>
        <item m="1" x="1308"/>
        <item m="1" x="1275"/>
        <item m="1" x="706"/>
        <item m="1" x="312"/>
        <item m="1" x="607"/>
        <item m="1" x="780"/>
        <item m="1" x="234"/>
        <item m="1" x="1070"/>
        <item m="1" x="664"/>
        <item m="1" x="474"/>
        <item m="1" x="568"/>
        <item m="1" x="1014"/>
        <item m="1" x="1313"/>
        <item m="1" x="392"/>
        <item m="1" x="1165"/>
        <item m="1" x="386"/>
        <item m="1" x="950"/>
        <item m="1" x="722"/>
        <item m="1" x="653"/>
        <item m="1" x="375"/>
        <item m="1" x="442"/>
        <item m="1" x="230"/>
        <item m="1" x="1030"/>
        <item m="1" x="543"/>
        <item m="1" x="267"/>
        <item m="1" x="881"/>
        <item m="1" x="1196"/>
        <item m="1" x="736"/>
        <item m="1" x="694"/>
        <item m="1" x="165"/>
        <item m="1" x="1301"/>
        <item m="1" x="551"/>
        <item m="1" x="611"/>
        <item m="1" x="1018"/>
        <item m="1" x="1295"/>
        <item m="1" x="1220"/>
        <item m="1" x="1071"/>
        <item m="1" x="1186"/>
        <item m="1" x="347"/>
        <item m="1" x="546"/>
        <item m="1" x="379"/>
        <item m="1" x="171"/>
        <item m="1" x="784"/>
        <item m="1" x="233"/>
        <item m="1" x="455"/>
        <item m="1" x="399"/>
        <item m="1" x="345"/>
        <item m="1" x="1300"/>
        <item m="1" x="396"/>
        <item m="1" x="998"/>
        <item m="1" x="1210"/>
        <item m="1" x="336"/>
        <item m="1" x="240"/>
        <item m="1" x="1033"/>
        <item m="1" x="1009"/>
        <item m="1" x="1050"/>
        <item m="1" x="969"/>
        <item m="1" x="313"/>
        <item m="1" x="669"/>
        <item m="1" x="937"/>
        <item m="1" x="1187"/>
        <item m="1" x="781"/>
        <item m="1" x="899"/>
        <item m="1" x="1243"/>
        <item m="1" x="655"/>
        <item m="1" x="499"/>
        <item m="1" x="732"/>
        <item m="1" x="679"/>
        <item m="1" x="609"/>
        <item m="1" x="1126"/>
        <item m="1" x="813"/>
        <item m="1" x="909"/>
        <item m="1" x="160"/>
        <item m="1" x="705"/>
        <item m="1" x="307"/>
        <item m="1" x="574"/>
        <item m="1" x="712"/>
        <item m="1" x="242"/>
        <item m="1" x="359"/>
        <item m="1" x="814"/>
        <item m="1" x="1011"/>
        <item m="1" x="1281"/>
        <item m="1" x="1324"/>
        <item m="1" x="934"/>
        <item m="1" x="282"/>
        <item m="1" x="210"/>
        <item m="1" x="796"/>
        <item m="1" x="418"/>
        <item m="1" x="692"/>
        <item m="1" x="320"/>
        <item m="1" x="423"/>
        <item m="1" x="850"/>
        <item m="1" x="1206"/>
        <item m="1" x="1137"/>
        <item m="1" x="553"/>
        <item m="1" x="588"/>
        <item m="1" x="864"/>
        <item m="1" x="1294"/>
        <item m="1" x="1020"/>
        <item m="1" x="186"/>
        <item m="1" x="1248"/>
        <item m="1" x="294"/>
        <item m="1" x="940"/>
        <item m="1" x="985"/>
        <item m="1" x="988"/>
        <item m="1" x="1328"/>
        <item m="1" x="221"/>
        <item m="1" x="999"/>
        <item m="1" x="1096"/>
        <item m="1" x="868"/>
        <item m="1" x="1038"/>
        <item m="1" x="280"/>
        <item m="1" x="672"/>
        <item m="1" x="519"/>
        <item m="1" x="1131"/>
        <item m="1" x="1226"/>
        <item m="1" x="755"/>
        <item m="1" x="1194"/>
        <item m="1" x="1242"/>
        <item m="1" x="595"/>
        <item m="1" x="1098"/>
        <item m="1" x="961"/>
        <item m="1" x="1244"/>
        <item m="1" x="1288"/>
        <item m="1" x="1026"/>
        <item m="1" x="636"/>
        <item m="1" x="441"/>
        <item m="1" x="1276"/>
        <item m="1" x="823"/>
        <item m="1" x="797"/>
        <item m="1" x="806"/>
        <item m="1" x="1327"/>
        <item m="1" x="1051"/>
        <item m="1" x="746"/>
        <item m="1" x="1015"/>
        <item m="1" x="992"/>
        <item m="1" x="608"/>
        <item m="1" x="509"/>
        <item m="1" x="1008"/>
        <item m="1" x="403"/>
        <item m="1" x="360"/>
        <item m="1" x="302"/>
        <item m="1" x="1289"/>
        <item m="1" x="905"/>
        <item m="1" x="640"/>
        <item m="1" x="721"/>
        <item m="1" x="202"/>
        <item m="1" x="1278"/>
        <item m="1" x="829"/>
        <item m="1" x="977"/>
        <item m="1" x="425"/>
        <item m="1" x="1109"/>
        <item m="1" x="612"/>
        <item m="1" x="505"/>
        <item m="1" x="1333"/>
        <item m="1" x="635"/>
        <item m="1" x="1274"/>
        <item m="1" x="860"/>
        <item m="1" x="536"/>
        <item m="1" x="327"/>
        <item m="1" x="270"/>
        <item m="1" x="564"/>
        <item m="1" x="261"/>
        <item m="1" x="232"/>
        <item m="1" x="249"/>
        <item m="1" x="528"/>
        <item m="1" x="373"/>
        <item m="1" x="680"/>
        <item m="1" x="737"/>
        <item m="1" x="836"/>
        <item m="1" x="707"/>
        <item m="1" x="1040"/>
        <item m="1" x="1104"/>
        <item m="1" x="316"/>
        <item m="1" x="326"/>
        <item m="1" x="515"/>
        <item m="1" x="657"/>
        <item m="1" x="447"/>
        <item m="1" x="1000"/>
        <item m="1" x="750"/>
        <item m="1" x="667"/>
        <item m="1" x="800"/>
        <item m="1" x="1106"/>
        <item m="1" x="1044"/>
        <item m="1" x="1130"/>
        <item m="1" x="886"/>
        <item m="1" x="306"/>
        <item m="1" x="1312"/>
        <item m="1" x="725"/>
        <item m="1" x="340"/>
        <item m="1" x="164"/>
        <item m="1" x="1309"/>
        <item m="1" x="793"/>
        <item m="1" x="760"/>
        <item m="1" x="532"/>
        <item m="1" x="412"/>
        <item m="1" x="496"/>
        <item m="1" x="650"/>
        <item m="1" x="1225"/>
        <item m="1" x="1144"/>
        <item m="1" x="520"/>
        <item m="1" x="593"/>
        <item m="1" x="600"/>
        <item m="1" x="1138"/>
        <item m="1" x="741"/>
        <item m="1" x="213"/>
        <item m="1" x="774"/>
        <item m="1" x="1053"/>
        <item m="1" x="1179"/>
        <item m="1" x="1072"/>
        <item m="1" x="880"/>
        <item m="1" x="1178"/>
        <item m="1" x="192"/>
        <item m="1" x="1095"/>
        <item m="1" x="174"/>
        <item m="1" x="514"/>
        <item m="1" x="178"/>
        <item m="1" x="337"/>
        <item m="1" x="427"/>
        <item m="1" x="433"/>
        <item m="1" x="851"/>
        <item m="1" x="1105"/>
        <item m="1" x="632"/>
        <item m="1" x="203"/>
        <item m="1" x="409"/>
        <item m="1" x="197"/>
        <item m="1" x="1192"/>
        <item m="1" x="417"/>
        <item m="1" x="753"/>
        <item m="1" x="1212"/>
        <item m="1" x="539"/>
        <item m="1" x="481"/>
        <item m="1" x="877"/>
        <item m="1" x="434"/>
        <item m="1" x="742"/>
        <item m="1" x="1036"/>
        <item m="1" x="175"/>
        <item m="1" x="688"/>
        <item m="1" x="807"/>
        <item m="1" x="299"/>
        <item m="1" x="641"/>
        <item m="1" x="776"/>
        <item m="1" x="527"/>
        <item m="1" x="565"/>
        <item m="1" x="292"/>
        <item m="1" x="698"/>
        <item m="1" x="162"/>
        <item m="1" x="834"/>
        <item m="1" x="1227"/>
        <item m="1" x="948"/>
        <item m="1" x="942"/>
        <item m="1" x="841"/>
        <item m="1" x="167"/>
        <item m="1" x="973"/>
        <item m="1" x="1016"/>
        <item m="1" x="822"/>
        <item m="1" x="166"/>
        <item m="1" x="1173"/>
        <item m="1" x="1140"/>
        <item m="1" x="170"/>
        <item m="1" x="449"/>
        <item m="1" x="839"/>
        <item m="1" x="1094"/>
        <item m="1" x="291"/>
        <item m="1" x="187"/>
        <item m="1" x="346"/>
        <item m="1" x="237"/>
        <item m="1" x="645"/>
        <item m="1" x="458"/>
        <item m="1" x="456"/>
        <item m="1" x="627"/>
        <item m="1" x="729"/>
        <item m="1" x="633"/>
        <item m="1" x="830"/>
        <item m="1" x="682"/>
        <item m="1" x="547"/>
        <item m="1" x="662"/>
        <item m="1" x="1155"/>
        <item m="1" x="1250"/>
        <item m="1" x="507"/>
        <item m="1" x="1230"/>
        <item m="1" x="272"/>
        <item m="1" x="1219"/>
        <item m="1" x="916"/>
        <item m="1" x="1087"/>
        <item m="1" x="1166"/>
        <item m="1" x="846"/>
        <item m="1" x="1058"/>
        <item m="1" x="350"/>
        <item m="1" x="333"/>
        <item m="1" x="955"/>
        <item m="1" x="927"/>
        <item m="1" x="489"/>
        <item m="1" x="1325"/>
        <item m="1" x="897"/>
        <item m="1" x="637"/>
        <item m="1" x="711"/>
        <item m="1" x="670"/>
        <item m="1" x="1180"/>
        <item m="1" x="1184"/>
        <item m="1" x="180"/>
        <item m="1" x="1064"/>
        <item m="1" x="1110"/>
        <item m="1" x="229"/>
        <item m="1" x="601"/>
        <item m="1" x="592"/>
        <item m="1" x="1099"/>
        <item m="1" x="798"/>
        <item m="1" x="1002"/>
        <item m="1" x="668"/>
        <item m="1" x="1019"/>
        <item m="1" x="207"/>
        <item m="1" x="330"/>
        <item m="1" x="1299"/>
        <item m="1" x="919"/>
        <item m="1" x="1291"/>
        <item m="1" x="211"/>
        <item m="1" x="471"/>
        <item m="1" x="287"/>
        <item m="1" x="220"/>
        <item m="1" x="235"/>
        <item m="1" x="787"/>
        <item m="1" x="820"/>
        <item m="1" x="492"/>
        <item m="1" x="910"/>
        <item m="1" x="1228"/>
        <item m="1" x="579"/>
        <item m="1" x="658"/>
        <item m="1" x="808"/>
        <item m="1" x="1296"/>
        <item m="1" x="473"/>
        <item m="1" x="485"/>
        <item m="1" x="495"/>
        <item m="1" x="1116"/>
        <item m="1" x="1252"/>
        <item m="1" x="169"/>
        <item m="1" x="996"/>
        <item m="1" x="1292"/>
        <item m="1" x="393"/>
        <item m="1" x="708"/>
        <item m="1" x="1329"/>
        <item m="1" x="1235"/>
        <item m="1" x="382"/>
        <item m="1" x="494"/>
        <item m="1" x="581"/>
        <item m="1" x="906"/>
        <item m="1" x="1103"/>
        <item m="1" x="338"/>
        <item m="1" x="809"/>
        <item m="1" x="334"/>
        <item m="1" x="303"/>
        <item m="1" x="251"/>
        <item m="1" x="1222"/>
        <item m="1" x="815"/>
        <item m="1" x="1263"/>
        <item m="1" x="656"/>
        <item m="1" x="1280"/>
        <item m="1" x="1032"/>
        <item m="1" x="321"/>
        <item m="1" x="1136"/>
        <item m="1" x="1150"/>
        <item m="1" x="810"/>
        <item m="1" x="1185"/>
        <item m="1" x="1023"/>
        <item m="1" x="888"/>
        <item m="1" x="205"/>
        <item m="1" x="1034"/>
        <item m="1" x="766"/>
        <item m="1" x="699"/>
        <item m="1" x="1042"/>
        <item m="1" x="626"/>
        <item m="1" x="260"/>
        <item m="1" x="432"/>
        <item m="1" x="209"/>
        <item m="1" x="558"/>
        <item m="1" x="936"/>
        <item m="1" x="521"/>
        <item m="1" x="384"/>
        <item m="1" x="599"/>
        <item m="1" x="277"/>
        <item m="1" x="529"/>
        <item m="1" x="400"/>
        <item m="1" x="751"/>
        <item m="1" x="1338"/>
        <item m="1" x="792"/>
        <item m="1" x="388"/>
        <item m="1" x="665"/>
        <item m="1" x="371"/>
        <item m="1" x="424"/>
        <item m="1" x="716"/>
        <item m="1" x="984"/>
        <item m="1" x="701"/>
        <item m="1" x="1151"/>
        <item m="1" x="713"/>
        <item m="1" x="947"/>
        <item m="1" x="262"/>
        <item m="1" x="745"/>
        <item m="1" x="385"/>
        <item m="1" x="315"/>
        <item m="1" x="1041"/>
        <item m="1" x="356"/>
        <item m="1" x="1065"/>
        <item m="1" x="257"/>
        <item m="1" x="882"/>
        <item m="1" x="889"/>
        <item m="1" x="293"/>
        <item m="1" x="811"/>
        <item m="1" x="189"/>
        <item m="1" x="1012"/>
        <item m="1" x="717"/>
        <item m="1" x="938"/>
        <item m="1" x="907"/>
        <item m="1" x="1127"/>
        <item m="1" x="900"/>
        <item m="1" x="478"/>
        <item m="1" x="979"/>
        <item m="1" x="1113"/>
        <item m="1" x="803"/>
        <item m="1" x="935"/>
        <item m="1" x="268"/>
        <item m="1" x="1101"/>
        <item m="1" x="758"/>
        <item m="1" x="623"/>
        <item m="1" x="1007"/>
        <item m="1" x="533"/>
        <item m="1" x="856"/>
        <item m="1" x="390"/>
        <item m="1" x="486"/>
        <item m="1" x="883"/>
        <item m="1" x="652"/>
        <item m="1" x="196"/>
        <item m="1" x="530"/>
        <item m="1" x="1010"/>
        <item m="1" x="1112"/>
        <item m="1" x="215"/>
        <item m="1" x="500"/>
        <item m="1" x="435"/>
        <item m="1" x="768"/>
        <item m="1" x="861"/>
        <item m="1" x="301"/>
        <item m="1" x="1283"/>
        <item m="1" x="266"/>
        <item m="1" x="339"/>
        <item m="1" x="1120"/>
        <item m="1" x="628"/>
        <item m="1" x="642"/>
        <item m="1" x="696"/>
        <item m="1" x="271"/>
        <item m="1" x="550"/>
        <item m="1" x="945"/>
        <item m="1" x="857"/>
        <item m="1" x="647"/>
        <item m="1" x="594"/>
        <item m="1" x="224"/>
        <item m="1" x="462"/>
        <item m="1" x="926"/>
        <item m="1" x="560"/>
        <item m="1" x="723"/>
        <item m="1" x="660"/>
        <item m="1" x="842"/>
        <item m="1" x="206"/>
        <item m="1" x="687"/>
        <item m="1" x="361"/>
        <item m="1" x="764"/>
        <item m="1" x="890"/>
        <item m="1" x="966"/>
        <item m="1" x="901"/>
        <item m="1" x="862"/>
        <item m="1" x="788"/>
        <item m="1" x="1199"/>
        <item m="1" x="1091"/>
        <item m="1" x="342"/>
        <item m="1" x="1083"/>
        <item m="1" x="537"/>
        <item m="1" x="847"/>
        <item m="1" x="253"/>
        <item m="1" x="826"/>
        <item m="1" x="693"/>
        <item m="1" x="1125"/>
        <item m="1" x="279"/>
        <item m="1" x="1336"/>
        <item m="1" x="318"/>
        <item m="1" x="258"/>
        <item m="1" x="828"/>
        <item m="1" x="1028"/>
        <item m="1" x="931"/>
        <item m="1" x="217"/>
        <item m="1" x="369"/>
        <item m="1" x="1157"/>
        <item m="1" x="1097"/>
        <item m="1" x="352"/>
        <item m="1" x="325"/>
        <item m="1" x="620"/>
        <item m="1" x="241"/>
        <item m="1" x="848"/>
        <item m="1" x="281"/>
        <item m="1" x="451"/>
        <item m="1" x="748"/>
        <item m="1" x="1279"/>
        <item m="1" x="319"/>
        <item m="1" x="589"/>
        <item m="1" x="436"/>
        <item m="1" x="598"/>
        <item m="1" x="1152"/>
        <item m="1" x="1035"/>
        <item m="1" x="497"/>
        <item m="1" x="250"/>
        <item m="1" x="1200"/>
        <item m="1" x="363"/>
        <item m="1" x="1145"/>
        <item m="1" x="702"/>
        <item m="1" x="1086"/>
        <item m="1" x="445"/>
        <item m="1" x="617"/>
        <item m="1" x="1102"/>
        <item m="1" x="1290"/>
        <item m="1" x="1066"/>
        <item m="1" x="465"/>
        <item m="1" x="408"/>
        <item m="1" x="1111"/>
        <item m="1" x="875"/>
        <item m="1" x="719"/>
        <item m="1" x="1143"/>
        <item m="1" x="191"/>
        <item m="1" x="188"/>
        <item m="1" x="863"/>
        <item m="1" x="1003"/>
        <item m="1" x="958"/>
        <item m="1" x="1141"/>
        <item m="1" x="666"/>
        <item m="1" x="413"/>
        <item m="1" x="487"/>
        <item m="1" x="1017"/>
        <item m="1" x="569"/>
        <item m="1" x="799"/>
        <item m="1" x="1214"/>
        <item m="1" x="452"/>
        <item m="1" x="789"/>
        <item m="1" x="173"/>
        <item m="1" x="502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54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x="153"/>
        <item x="152"/>
        <item x="157"/>
        <item x="156"/>
        <item x="155"/>
        <item m="1" x="490"/>
        <item m="1" x="1251"/>
        <item m="1" x="193"/>
        <item m="1" x="15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32"/>
    </i>
    <i r="2">
      <x v="8"/>
    </i>
    <i r="1">
      <x v="1333"/>
    </i>
    <i r="2">
      <x v="8"/>
    </i>
    <i r="1">
      <x v="133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79" totalsRowShown="0" totalsRowDxfId="26">
  <autoFilter ref="A1:C1079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42" totalsRowShown="0">
  <autoFilter ref="A1:S104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8" sqref="D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6</v>
      </c>
      <c r="C5"/>
      <c r="D5"/>
      <c r="E5"/>
    </row>
    <row r="6" spans="1:6">
      <c r="A6" s="67" t="s">
        <v>2932</v>
      </c>
      <c r="B6" s="73">
        <v>2</v>
      </c>
      <c r="C6"/>
      <c r="D6"/>
      <c r="E6"/>
    </row>
    <row r="7" spans="1:6">
      <c r="A7" s="68" t="s">
        <v>370</v>
      </c>
      <c r="B7" s="73">
        <v>2</v>
      </c>
      <c r="C7"/>
      <c r="D7"/>
      <c r="E7"/>
    </row>
    <row r="8" spans="1:6">
      <c r="A8" s="67" t="s">
        <v>2926</v>
      </c>
      <c r="B8" s="73">
        <v>2</v>
      </c>
      <c r="C8" s="56"/>
      <c r="D8"/>
      <c r="E8"/>
    </row>
    <row r="9" spans="1:6">
      <c r="A9" s="68" t="s">
        <v>370</v>
      </c>
      <c r="B9" s="73">
        <v>2</v>
      </c>
      <c r="C9"/>
      <c r="D9"/>
    </row>
    <row r="10" spans="1:6">
      <c r="A10" s="67" t="s">
        <v>2925</v>
      </c>
      <c r="B10" s="73">
        <v>2</v>
      </c>
      <c r="C10" s="53"/>
      <c r="D10"/>
    </row>
    <row r="11" spans="1:6">
      <c r="A11" s="68" t="s">
        <v>375</v>
      </c>
      <c r="B11" s="73">
        <v>2</v>
      </c>
      <c r="C11"/>
      <c r="D11"/>
    </row>
    <row r="12" spans="1:6">
      <c r="A12" s="17" t="s">
        <v>381</v>
      </c>
      <c r="B12" s="73">
        <v>6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79"/>
  <sheetViews>
    <sheetView topLeftCell="A1042" workbookViewId="0">
      <selection activeCell="G1074" sqref="G10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  <row r="1066" spans="1:3">
      <c r="A1066" t="s">
        <v>2903</v>
      </c>
      <c r="B1066">
        <v>1</v>
      </c>
      <c r="C1066" s="76" t="s">
        <v>4</v>
      </c>
    </row>
    <row r="1067" spans="1:3">
      <c r="A1067" t="s">
        <v>2868</v>
      </c>
      <c r="B1067">
        <v>1</v>
      </c>
      <c r="C1067" s="76" t="s">
        <v>4</v>
      </c>
    </row>
    <row r="1068" spans="1:3">
      <c r="A1068" t="s">
        <v>2862</v>
      </c>
      <c r="B1068">
        <v>1</v>
      </c>
      <c r="C1068" s="76" t="s">
        <v>4</v>
      </c>
    </row>
    <row r="1069" spans="1:3">
      <c r="A1069" t="s">
        <v>2859</v>
      </c>
      <c r="B1069">
        <v>1</v>
      </c>
      <c r="C1069" s="76" t="s">
        <v>4</v>
      </c>
    </row>
    <row r="1070" spans="1:3">
      <c r="A1070" t="s">
        <v>2857</v>
      </c>
      <c r="B1070">
        <v>1</v>
      </c>
      <c r="C1070" s="76" t="s">
        <v>4</v>
      </c>
    </row>
    <row r="1071" spans="1:3">
      <c r="A1071" t="s">
        <v>2866</v>
      </c>
      <c r="B1071">
        <v>8</v>
      </c>
      <c r="C1071" s="76" t="s">
        <v>4</v>
      </c>
    </row>
    <row r="1072" spans="1:3">
      <c r="A1072" t="s">
        <v>2895</v>
      </c>
      <c r="B1072">
        <v>3</v>
      </c>
      <c r="C1072" s="76" t="s">
        <v>4</v>
      </c>
    </row>
    <row r="1073" spans="1:3">
      <c r="A1073" t="s">
        <v>2883</v>
      </c>
      <c r="B1073">
        <v>4</v>
      </c>
      <c r="C1073" s="76" t="s">
        <v>4</v>
      </c>
    </row>
    <row r="1074" spans="1:3">
      <c r="A1074" t="s">
        <v>2882</v>
      </c>
      <c r="B1074">
        <v>4</v>
      </c>
      <c r="C1074" s="76" t="s">
        <v>4</v>
      </c>
    </row>
    <row r="1075" spans="1:3">
      <c r="A1075" t="s">
        <v>2873</v>
      </c>
      <c r="B1075">
        <v>1</v>
      </c>
      <c r="C1075" s="76" t="s">
        <v>4</v>
      </c>
    </row>
    <row r="1076" spans="1:3">
      <c r="A1076" t="s">
        <v>2896</v>
      </c>
      <c r="B1076">
        <v>1</v>
      </c>
      <c r="C1076" s="76" t="s">
        <v>4</v>
      </c>
    </row>
    <row r="1077" spans="1:3">
      <c r="A1077" t="s">
        <v>2910</v>
      </c>
      <c r="B1077">
        <v>5</v>
      </c>
      <c r="C1077" s="76" t="s">
        <v>4</v>
      </c>
    </row>
    <row r="1078" spans="1:3">
      <c r="A1078" t="s">
        <v>2905</v>
      </c>
      <c r="B1078">
        <v>2</v>
      </c>
      <c r="C1078" s="76" t="s">
        <v>4</v>
      </c>
    </row>
    <row r="1079" spans="1:3">
      <c r="A1079" t="s">
        <v>2923</v>
      </c>
      <c r="B1079">
        <v>1</v>
      </c>
      <c r="C1079" s="76" t="s">
        <v>4</v>
      </c>
    </row>
  </sheetData>
  <conditionalFormatting sqref="A2:A545 A548:A568 A570:A1036 A1038:A1048576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42"/>
  <sheetViews>
    <sheetView tabSelected="1" zoomScale="85" zoomScaleNormal="85" workbookViewId="0">
      <selection activeCell="D1026" sqref="D102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78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53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53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53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53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53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53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53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53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53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53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53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49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46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46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46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46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46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46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46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46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46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46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46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46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46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46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46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46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46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46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46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46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46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46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46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46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46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46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46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46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46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46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46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46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46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46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46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46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46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46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46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46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46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45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45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45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45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45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45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45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45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45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45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45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45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45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45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45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45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45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45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45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45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45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45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45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45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45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45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45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45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45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45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45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45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45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45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45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45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45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45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45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45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45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45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45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45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45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45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45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45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45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45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45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45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45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45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45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45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45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45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45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44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44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44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44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44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43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43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41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41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40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37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37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37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37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37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37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37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37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37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37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37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36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36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36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36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36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37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37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37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37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37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37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37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37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37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37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31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31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31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26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26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26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26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26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26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26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26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26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26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26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26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26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26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26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26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26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26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16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 hidden="1">
      <c r="A974" t="s">
        <v>2857</v>
      </c>
      <c r="B974" s="73" t="str">
        <f>IFERROR(VLOOKUP(Proc[[#This Row],[App]],Table2[],3,0),"open")</f>
        <v>ok</v>
      </c>
      <c r="C974" s="76" t="s">
        <v>369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N974" s="75">
        <v>45751</v>
      </c>
      <c r="O974" s="75">
        <v>45751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78" t="s">
        <v>538</v>
      </c>
      <c r="S974" s="73"/>
    </row>
    <row r="975" spans="1:19" hidden="1">
      <c r="A975" t="s">
        <v>2859</v>
      </c>
      <c r="B975" s="73" t="str">
        <f>IFERROR(VLOOKUP(Proc[[#This Row],[App]],Table2[],3,0),"open")</f>
        <v>ok</v>
      </c>
      <c r="C975" s="76" t="s">
        <v>369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N975" s="75">
        <v>45751</v>
      </c>
      <c r="O975" s="75">
        <v>45751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3</v>
      </c>
      <c r="R975" s="78" t="s">
        <v>554</v>
      </c>
      <c r="S975" s="73"/>
    </row>
    <row r="976" spans="1:19" hidden="1">
      <c r="A976" t="s">
        <v>2862</v>
      </c>
      <c r="B976" s="73" t="str">
        <f>IFERROR(VLOOKUP(Proc[[#This Row],[App]],Table2[],3,0),"open")</f>
        <v>ok</v>
      </c>
      <c r="C976" s="76" t="s">
        <v>369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N976" s="75">
        <v>45751</v>
      </c>
      <c r="O976" s="75">
        <v>45751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4</v>
      </c>
      <c r="R976" s="78" t="s">
        <v>1530</v>
      </c>
      <c r="S976" s="73"/>
    </row>
    <row r="977" spans="1:19" hidden="1">
      <c r="A977" t="s">
        <v>2866</v>
      </c>
      <c r="B977" s="73" t="str">
        <f>IFERROR(VLOOKUP(Proc[[#This Row],[App]],Table2[],3,0),"open")</f>
        <v>ok</v>
      </c>
      <c r="C977" s="76" t="s">
        <v>369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N977" s="75">
        <v>45751</v>
      </c>
      <c r="O977" s="75">
        <v>45751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78" t="s">
        <v>2807</v>
      </c>
      <c r="S977" s="73"/>
    </row>
    <row r="978" spans="1:19" hidden="1">
      <c r="A978" s="76" t="s">
        <v>2866</v>
      </c>
      <c r="B978" s="73" t="str">
        <f>IFERROR(VLOOKUP(Proc[[#This Row],[App]],Table2[],3,0),"open")</f>
        <v>ok</v>
      </c>
      <c r="C978" s="76" t="s">
        <v>369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N978" s="75">
        <v>45751</v>
      </c>
      <c r="O978" s="75">
        <v>45751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2</v>
      </c>
      <c r="R978" s="78" t="s">
        <v>2807</v>
      </c>
      <c r="S978" s="73"/>
    </row>
    <row r="979" spans="1:19" hidden="1">
      <c r="A979" s="76" t="s">
        <v>2866</v>
      </c>
      <c r="B979" s="73" t="str">
        <f>IFERROR(VLOOKUP(Proc[[#This Row],[App]],Table2[],3,0),"open")</f>
        <v>ok</v>
      </c>
      <c r="C979" s="76" t="s">
        <v>369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N979" s="75">
        <v>45751</v>
      </c>
      <c r="O979" s="75">
        <v>45751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8" t="s">
        <v>2807</v>
      </c>
      <c r="S979" s="73"/>
    </row>
    <row r="980" spans="1:19" hidden="1">
      <c r="A980" s="76" t="s">
        <v>2866</v>
      </c>
      <c r="B980" s="73" t="str">
        <f>IFERROR(VLOOKUP(Proc[[#This Row],[App]],Table2[],3,0),"open")</f>
        <v>ok</v>
      </c>
      <c r="C980" s="76" t="s">
        <v>369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N980" s="75">
        <v>45751</v>
      </c>
      <c r="O980" s="75">
        <v>45751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8" t="s">
        <v>2807</v>
      </c>
      <c r="S980" s="73"/>
    </row>
    <row r="981" spans="1:19" hidden="1">
      <c r="A981" s="76" t="s">
        <v>2866</v>
      </c>
      <c r="B981" s="73" t="str">
        <f>IFERROR(VLOOKUP(Proc[[#This Row],[App]],Table2[],3,0),"open")</f>
        <v>ok</v>
      </c>
      <c r="C981" s="76" t="s">
        <v>369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N981" s="75">
        <v>45751</v>
      </c>
      <c r="O981" s="75">
        <v>45751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8" t="s">
        <v>2807</v>
      </c>
      <c r="S981" s="73"/>
    </row>
    <row r="982" spans="1:19" hidden="1">
      <c r="A982" s="76" t="s">
        <v>2866</v>
      </c>
      <c r="B982" s="73" t="str">
        <f>IFERROR(VLOOKUP(Proc[[#This Row],[App]],Table2[],3,0),"open")</f>
        <v>ok</v>
      </c>
      <c r="C982" s="76" t="s">
        <v>369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N982" s="75">
        <v>45751</v>
      </c>
      <c r="O982" s="75">
        <v>45751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8" t="s">
        <v>2807</v>
      </c>
      <c r="S982" s="73"/>
    </row>
    <row r="983" spans="1:19" hidden="1">
      <c r="A983" s="76" t="s">
        <v>2866</v>
      </c>
      <c r="B983" s="73" t="str">
        <f>IFERROR(VLOOKUP(Proc[[#This Row],[App]],Table2[],3,0),"open")</f>
        <v>ok</v>
      </c>
      <c r="C983" s="76" t="s">
        <v>369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N983" s="75">
        <v>45751</v>
      </c>
      <c r="O983" s="75">
        <v>45751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8" t="s">
        <v>2807</v>
      </c>
      <c r="S983" s="73"/>
    </row>
    <row r="984" spans="1:19" hidden="1">
      <c r="A984" s="76" t="s">
        <v>2866</v>
      </c>
      <c r="B984" s="73" t="str">
        <f>IFERROR(VLOOKUP(Proc[[#This Row],[App]],Table2[],3,0),"open")</f>
        <v>ok</v>
      </c>
      <c r="C984" s="76" t="s">
        <v>369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N984" s="75">
        <v>45751</v>
      </c>
      <c r="O984" s="75">
        <v>45751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8" t="s">
        <v>2807</v>
      </c>
      <c r="S984" s="73"/>
    </row>
    <row r="985" spans="1:19" hidden="1">
      <c r="A985" t="s">
        <v>2868</v>
      </c>
      <c r="B985" s="73" t="str">
        <f>IFERROR(VLOOKUP(Proc[[#This Row],[App]],Table2[],3,0),"open")</f>
        <v>ok</v>
      </c>
      <c r="C985" s="76" t="s">
        <v>369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N985" s="75">
        <v>45751</v>
      </c>
      <c r="O985" s="75">
        <v>45751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78" t="s">
        <v>554</v>
      </c>
      <c r="S985" s="73"/>
    </row>
    <row r="986" spans="1:19" hidden="1">
      <c r="A986" t="s">
        <v>2873</v>
      </c>
      <c r="B986" s="73" t="str">
        <f>IFERROR(VLOOKUP(Proc[[#This Row],[App]],Table2[],3,0),"open")</f>
        <v>ok</v>
      </c>
      <c r="C986" t="s">
        <v>369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N986" s="75">
        <v>45751</v>
      </c>
      <c r="O986" s="75">
        <v>45751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1</v>
      </c>
      <c r="R986" s="78" t="s">
        <v>538</v>
      </c>
      <c r="S986" s="73"/>
    </row>
    <row r="987" spans="1:19" hidden="1">
      <c r="A987" t="s">
        <v>2882</v>
      </c>
      <c r="B987" s="73" t="str">
        <f>IFERROR(VLOOKUP(Proc[[#This Row],[App]],Table2[],3,0),"open")</f>
        <v>ok</v>
      </c>
      <c r="C987" s="76" t="s">
        <v>369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N987" s="75">
        <v>45751</v>
      </c>
      <c r="O987" s="75">
        <v>45751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8" t="s">
        <v>508</v>
      </c>
      <c r="S987" s="73"/>
    </row>
    <row r="988" spans="1:19" hidden="1">
      <c r="A988" s="76" t="s">
        <v>2882</v>
      </c>
      <c r="B988" s="73" t="str">
        <f>IFERROR(VLOOKUP(Proc[[#This Row],[App]],Table2[],3,0),"open")</f>
        <v>ok</v>
      </c>
      <c r="C988" s="76" t="s">
        <v>369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N988" s="75">
        <v>45751</v>
      </c>
      <c r="O988" s="75">
        <v>45751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8" t="s">
        <v>508</v>
      </c>
      <c r="S988" s="73"/>
    </row>
    <row r="989" spans="1:19" hidden="1">
      <c r="A989" s="76" t="s">
        <v>2882</v>
      </c>
      <c r="B989" s="73" t="str">
        <f>IFERROR(VLOOKUP(Proc[[#This Row],[App]],Table2[],3,0),"open")</f>
        <v>ok</v>
      </c>
      <c r="C989" s="76" t="s">
        <v>369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N989" s="75">
        <v>45751</v>
      </c>
      <c r="O989" s="75">
        <v>45751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8" t="s">
        <v>508</v>
      </c>
      <c r="S989" s="73"/>
    </row>
    <row r="990" spans="1:19" hidden="1">
      <c r="A990" s="76" t="s">
        <v>2882</v>
      </c>
      <c r="B990" s="73" t="str">
        <f>IFERROR(VLOOKUP(Proc[[#This Row],[App]],Table2[],3,0),"open")</f>
        <v>ok</v>
      </c>
      <c r="C990" s="76" t="s">
        <v>369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N990" s="75">
        <v>45751</v>
      </c>
      <c r="O990" s="75">
        <v>45751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8" t="s">
        <v>508</v>
      </c>
      <c r="S990" s="73"/>
    </row>
    <row r="991" spans="1:19" hidden="1">
      <c r="A991" t="s">
        <v>2883</v>
      </c>
      <c r="B991" s="73" t="str">
        <f>IFERROR(VLOOKUP(Proc[[#This Row],[App]],Table2[],3,0),"open")</f>
        <v>ok</v>
      </c>
      <c r="C991" s="76" t="s">
        <v>369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N991" s="75">
        <v>45751</v>
      </c>
      <c r="O991" s="75">
        <v>45751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8" t="s">
        <v>508</v>
      </c>
      <c r="S991" s="73"/>
    </row>
    <row r="992" spans="1:19" hidden="1">
      <c r="A992" s="76" t="s">
        <v>2883</v>
      </c>
      <c r="B992" s="73" t="str">
        <f>IFERROR(VLOOKUP(Proc[[#This Row],[App]],Table2[],3,0),"open")</f>
        <v>ok</v>
      </c>
      <c r="C992" s="76" t="s">
        <v>369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N992" s="75">
        <v>45751</v>
      </c>
      <c r="O992" s="75">
        <v>45751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8" t="s">
        <v>508</v>
      </c>
      <c r="S992" s="73"/>
    </row>
    <row r="993" spans="1:19" hidden="1">
      <c r="A993" s="76" t="s">
        <v>2883</v>
      </c>
      <c r="B993" s="73" t="str">
        <f>IFERROR(VLOOKUP(Proc[[#This Row],[App]],Table2[],3,0),"open")</f>
        <v>ok</v>
      </c>
      <c r="C993" s="76" t="s">
        <v>369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N993" s="75">
        <v>45751</v>
      </c>
      <c r="O993" s="75">
        <v>45751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8" t="s">
        <v>508</v>
      </c>
      <c r="S993" s="73"/>
    </row>
    <row r="994" spans="1:19" hidden="1">
      <c r="A994" s="76" t="s">
        <v>2883</v>
      </c>
      <c r="B994" s="73" t="str">
        <f>IFERROR(VLOOKUP(Proc[[#This Row],[App]],Table2[],3,0),"open")</f>
        <v>ok</v>
      </c>
      <c r="C994" s="76" t="s">
        <v>369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N994" s="75">
        <v>45751</v>
      </c>
      <c r="O994" s="75">
        <v>45751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8" t="s">
        <v>508</v>
      </c>
      <c r="S994" s="73"/>
    </row>
    <row r="995" spans="1:19" hidden="1">
      <c r="A995" t="s">
        <v>2895</v>
      </c>
      <c r="B995" s="73" t="str">
        <f>IFERROR(VLOOKUP(Proc[[#This Row],[App]],Table2[],3,0),"open")</f>
        <v>ok</v>
      </c>
      <c r="C995" s="76" t="s">
        <v>369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N995" s="75">
        <v>45751</v>
      </c>
      <c r="O995" s="75">
        <v>45751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8" t="s">
        <v>1003</v>
      </c>
      <c r="S995" s="73"/>
    </row>
    <row r="996" spans="1:19" hidden="1">
      <c r="A996" s="76" t="s">
        <v>2895</v>
      </c>
      <c r="B996" s="73" t="str">
        <f>IFERROR(VLOOKUP(Proc[[#This Row],[App]],Table2[],3,0),"open")</f>
        <v>ok</v>
      </c>
      <c r="C996" s="76" t="s">
        <v>369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N996" s="75">
        <v>45751</v>
      </c>
      <c r="O996" s="75">
        <v>45751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8" t="s">
        <v>1003</v>
      </c>
      <c r="S996" s="73"/>
    </row>
    <row r="997" spans="1:19" hidden="1">
      <c r="A997" s="76" t="s">
        <v>2895</v>
      </c>
      <c r="B997" s="73" t="str">
        <f>IFERROR(VLOOKUP(Proc[[#This Row],[App]],Table2[],3,0),"open")</f>
        <v>ok</v>
      </c>
      <c r="C997" s="76" t="s">
        <v>369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N997" s="75">
        <v>45751</v>
      </c>
      <c r="O997" s="75">
        <v>45751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8" t="s">
        <v>1003</v>
      </c>
      <c r="S997" s="73"/>
    </row>
    <row r="998" spans="1:19" hidden="1">
      <c r="A998" t="s">
        <v>2896</v>
      </c>
      <c r="B998" s="73" t="str">
        <f>IFERROR(VLOOKUP(Proc[[#This Row],[App]],Table2[],3,0),"open")</f>
        <v>ok</v>
      </c>
      <c r="C998" s="76" t="s">
        <v>369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N998" s="75">
        <v>45751</v>
      </c>
      <c r="O998" s="75">
        <v>45751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1</v>
      </c>
      <c r="R998" s="78" t="s">
        <v>538</v>
      </c>
      <c r="S998" s="73"/>
    </row>
    <row r="999" spans="1:19" hidden="1">
      <c r="A999" t="s">
        <v>2903</v>
      </c>
      <c r="B999" s="73" t="str">
        <f>IFERROR(VLOOKUP(Proc[[#This Row],[App]],Table2[],3,0),"open")</f>
        <v>ok</v>
      </c>
      <c r="C999" t="s">
        <v>369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N999" s="75">
        <v>45751</v>
      </c>
      <c r="O999" s="75">
        <v>45751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5</v>
      </c>
      <c r="R999" s="78" t="s">
        <v>554</v>
      </c>
      <c r="S999" s="73"/>
    </row>
    <row r="1000" spans="1:19" hidden="1">
      <c r="A1000" t="s">
        <v>2905</v>
      </c>
      <c r="B1000" s="73" t="str">
        <f>IFERROR(VLOOKUP(Proc[[#This Row],[App]],Table2[],3,0),"open")</f>
        <v>ok</v>
      </c>
      <c r="C1000" t="s">
        <v>369</v>
      </c>
      <c r="D1000" t="s">
        <v>2906</v>
      </c>
      <c r="E1000" t="s">
        <v>2785</v>
      </c>
      <c r="F1000" s="73" t="s">
        <v>2909</v>
      </c>
      <c r="G1000" t="s">
        <v>400</v>
      </c>
      <c r="H1000" s="73" t="str">
        <f>IF(Proc[[#This Row],[type]]="LFF (MDG-F)",MID(Proc[[#This Row],[Obj]],13,10),"")</f>
        <v/>
      </c>
      <c r="J1000" s="73" t="b">
        <f>Proc[[#This Row],[Requested]]=Proc[[#This Row],[CurrentParent]]</f>
        <v>0</v>
      </c>
      <c r="K1000" s="73" t="str">
        <f>IF(Proc[[#This Row],[Author]]="Marcela Urrego",VLOOKUP(LEFT(Proc[[#This Row],[Requested]],1),Table3[#All],2,0),VLOOKUP(Proc[[#This Row],[Author]],Table4[],2,0))</f>
        <v>MGF</v>
      </c>
      <c r="L1000" s="73" t="s">
        <v>2856</v>
      </c>
      <c r="M1000" s="75">
        <v>45750.696215277778</v>
      </c>
      <c r="N1000" s="75">
        <v>45754</v>
      </c>
      <c r="O1000" s="75">
        <v>45754</v>
      </c>
      <c r="P1000" s="78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2</v>
      </c>
      <c r="R1000" s="78" t="s">
        <v>538</v>
      </c>
      <c r="S1000" s="73"/>
    </row>
    <row r="1001" spans="1:19" hidden="1">
      <c r="A1001" s="76" t="s">
        <v>2905</v>
      </c>
      <c r="B1001" s="73" t="str">
        <f>IFERROR(VLOOKUP(Proc[[#This Row],[App]],Table2[],3,0),"open")</f>
        <v>ok</v>
      </c>
      <c r="C1001" s="76" t="s">
        <v>369</v>
      </c>
      <c r="D1001" t="s">
        <v>2907</v>
      </c>
      <c r="E1001" t="s">
        <v>2908</v>
      </c>
      <c r="F1001" s="73" t="s">
        <v>2909</v>
      </c>
      <c r="G1001" s="76" t="s">
        <v>400</v>
      </c>
      <c r="H1001" s="73" t="str">
        <f>IF(Proc[[#This Row],[type]]="LFF (MDG-F)",MID(Proc[[#This Row],[Obj]],13,10),"")</f>
        <v/>
      </c>
      <c r="J1001" s="73" t="b">
        <f>Proc[[#This Row],[Requested]]=Proc[[#This Row],[CurrentParent]]</f>
        <v>0</v>
      </c>
      <c r="K1001" s="73" t="str">
        <f>IF(Proc[[#This Row],[Author]]="Marcela Urrego",VLOOKUP(LEFT(Proc[[#This Row],[Requested]],1),Table3[#All],2,0),VLOOKUP(Proc[[#This Row],[Author]],Table4[],2,0))</f>
        <v>MGF</v>
      </c>
      <c r="L1001" s="73" t="s">
        <v>2856</v>
      </c>
      <c r="M1001" s="75">
        <v>45750.696215277778</v>
      </c>
      <c r="N1001" s="75">
        <v>45754</v>
      </c>
      <c r="O1001" s="75">
        <v>45754</v>
      </c>
      <c r="P1001" s="78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8" t="s">
        <v>538</v>
      </c>
      <c r="S1001" s="73"/>
    </row>
    <row r="1002" spans="1:19" hidden="1">
      <c r="A1002" t="s">
        <v>2910</v>
      </c>
      <c r="B1002" s="73" t="str">
        <f>IFERROR(VLOOKUP(Proc[[#This Row],[App]],Table2[],3,0),"open")</f>
        <v>ok</v>
      </c>
      <c r="C1002" s="76" t="s">
        <v>369</v>
      </c>
      <c r="D1002" t="s">
        <v>2911</v>
      </c>
      <c r="E1002" t="s">
        <v>429</v>
      </c>
      <c r="F1002" s="73" t="s">
        <v>2918</v>
      </c>
      <c r="G1002" s="76" t="s">
        <v>400</v>
      </c>
      <c r="H1002" s="73" t="str">
        <f>IF(Proc[[#This Row],[type]]="LFF (MDG-F)",MID(Proc[[#This Row],[Obj]],13,10),"")</f>
        <v/>
      </c>
      <c r="J1002" s="73" t="b">
        <f>Proc[[#This Row],[Requested]]=Proc[[#This Row],[CurrentParent]]</f>
        <v>0</v>
      </c>
      <c r="K1002" s="73" t="str">
        <f>IF(Proc[[#This Row],[Author]]="Marcela Urrego",VLOOKUP(LEFT(Proc[[#This Row],[Requested]],1),Table3[#All],2,0),VLOOKUP(Proc[[#This Row],[Author]],Table4[],2,0))</f>
        <v>MGF</v>
      </c>
      <c r="L1002" s="73" t="s">
        <v>2856</v>
      </c>
      <c r="M1002" s="75">
        <v>45750.463703703703</v>
      </c>
      <c r="N1002" s="75">
        <v>45754</v>
      </c>
      <c r="O1002" s="75">
        <v>45754</v>
      </c>
      <c r="P1002" s="78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8" t="s">
        <v>1530</v>
      </c>
      <c r="S1002" s="73"/>
    </row>
    <row r="1003" spans="1:19" hidden="1">
      <c r="A1003" s="76" t="s">
        <v>2910</v>
      </c>
      <c r="B1003" s="73" t="str">
        <f>IFERROR(VLOOKUP(Proc[[#This Row],[App]],Table2[],3,0),"open")</f>
        <v>ok</v>
      </c>
      <c r="C1003" s="76" t="s">
        <v>369</v>
      </c>
      <c r="D1003" t="s">
        <v>2912</v>
      </c>
      <c r="E1003" t="s">
        <v>2916</v>
      </c>
      <c r="F1003" s="73" t="s">
        <v>2919</v>
      </c>
      <c r="G1003" t="s">
        <v>406</v>
      </c>
      <c r="H1003" s="73" t="str">
        <f>IF(Proc[[#This Row],[type]]="LFF (MDG-F)",MID(Proc[[#This Row],[Obj]],13,10),"")</f>
        <v>DE10600470</v>
      </c>
      <c r="I1003" t="s">
        <v>2921</v>
      </c>
      <c r="J1003" s="73" t="b">
        <f>Proc[[#This Row],[Requested]]=Proc[[#This Row],[CurrentParent]]</f>
        <v>0</v>
      </c>
      <c r="K1003" s="73" t="str">
        <f>IF(Proc[[#This Row],[Author]]="Marcela Urrego",VLOOKUP(LEFT(Proc[[#This Row],[Requested]],1),Table3[#All],2,0),VLOOKUP(Proc[[#This Row],[Author]],Table4[],2,0))</f>
        <v>MGF</v>
      </c>
      <c r="L1003" s="73" t="s">
        <v>2856</v>
      </c>
      <c r="M1003" s="75">
        <v>45750.463703703703</v>
      </c>
      <c r="N1003" s="75">
        <v>45754</v>
      </c>
      <c r="O1003" s="75">
        <v>45754</v>
      </c>
      <c r="P1003" s="78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8" t="s">
        <v>1530</v>
      </c>
      <c r="S1003" s="73"/>
    </row>
    <row r="1004" spans="1:19" hidden="1">
      <c r="A1004" s="76" t="s">
        <v>2910</v>
      </c>
      <c r="B1004" s="73" t="str">
        <f>IFERROR(VLOOKUP(Proc[[#This Row],[App]],Table2[],3,0),"open")</f>
        <v>ok</v>
      </c>
      <c r="C1004" s="76" t="s">
        <v>369</v>
      </c>
      <c r="D1004" t="s">
        <v>2913</v>
      </c>
      <c r="E1004" t="s">
        <v>2917</v>
      </c>
      <c r="F1004" s="73" t="s">
        <v>2920</v>
      </c>
      <c r="G1004" s="76" t="s">
        <v>406</v>
      </c>
      <c r="H1004" s="73" t="str">
        <f>IF(Proc[[#This Row],[type]]="LFF (MDG-F)",MID(Proc[[#This Row],[Obj]],13,10),"")</f>
        <v>DE10GIT705</v>
      </c>
      <c r="I1004" s="76" t="s">
        <v>2921</v>
      </c>
      <c r="J1004" s="73" t="b">
        <f>Proc[[#This Row],[Requested]]=Proc[[#This Row],[CurrentParent]]</f>
        <v>0</v>
      </c>
      <c r="K1004" s="73" t="str">
        <f>IF(Proc[[#This Row],[Author]]="Marcela Urrego",VLOOKUP(LEFT(Proc[[#This Row],[Requested]],1),Table3[#All],2,0),VLOOKUP(Proc[[#This Row],[Author]],Table4[],2,0))</f>
        <v>MGF</v>
      </c>
      <c r="L1004" s="73" t="s">
        <v>2856</v>
      </c>
      <c r="M1004" s="75">
        <v>45750.463703703703</v>
      </c>
      <c r="N1004" s="75">
        <v>45754</v>
      </c>
      <c r="O1004" s="75">
        <v>45754</v>
      </c>
      <c r="P1004" s="78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8" t="s">
        <v>1530</v>
      </c>
      <c r="S1004" s="73"/>
    </row>
    <row r="1005" spans="1:19" hidden="1">
      <c r="A1005" s="76" t="s">
        <v>2910</v>
      </c>
      <c r="B1005" s="73" t="str">
        <f>IFERROR(VLOOKUP(Proc[[#This Row],[App]],Table2[],3,0),"open")</f>
        <v>ok</v>
      </c>
      <c r="C1005" s="76" t="s">
        <v>369</v>
      </c>
      <c r="D1005" t="s">
        <v>2914</v>
      </c>
      <c r="E1005" t="s">
        <v>787</v>
      </c>
      <c r="F1005" s="73" t="s">
        <v>689</v>
      </c>
      <c r="G1005" t="s">
        <v>400</v>
      </c>
      <c r="H1005" s="73" t="str">
        <f>IF(Proc[[#This Row],[type]]="LFF (MDG-F)",MID(Proc[[#This Row],[Obj]],13,10),"")</f>
        <v/>
      </c>
      <c r="J1005" s="73" t="b">
        <f>Proc[[#This Row],[Requested]]=Proc[[#This Row],[CurrentParent]]</f>
        <v>0</v>
      </c>
      <c r="K1005" s="73" t="str">
        <f>IF(Proc[[#This Row],[Author]]="Marcela Urrego",VLOOKUP(LEFT(Proc[[#This Row],[Requested]],1),Table3[#All],2,0),VLOOKUP(Proc[[#This Row],[Author]],Table4[],2,0))</f>
        <v>MGF</v>
      </c>
      <c r="L1005" s="73" t="s">
        <v>2856</v>
      </c>
      <c r="M1005" s="75">
        <v>45750.463703703703</v>
      </c>
      <c r="N1005" s="75">
        <v>45754</v>
      </c>
      <c r="O1005" s="75">
        <v>45754</v>
      </c>
      <c r="P1005" s="78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8" t="s">
        <v>1530</v>
      </c>
      <c r="S1005" s="73"/>
    </row>
    <row r="1006" spans="1:19" hidden="1">
      <c r="A1006" s="76" t="s">
        <v>2910</v>
      </c>
      <c r="B1006" s="73" t="str">
        <f>IFERROR(VLOOKUP(Proc[[#This Row],[App]],Table2[],3,0),"open")</f>
        <v>ok</v>
      </c>
      <c r="C1006" s="76" t="s">
        <v>369</v>
      </c>
      <c r="D1006" t="s">
        <v>2915</v>
      </c>
      <c r="E1006" t="s">
        <v>2917</v>
      </c>
      <c r="F1006" s="73" t="s">
        <v>2920</v>
      </c>
      <c r="G1006" s="76" t="s">
        <v>406</v>
      </c>
      <c r="H1006" s="73" t="str">
        <f>IF(Proc[[#This Row],[type]]="LFF (MDG-F)",MID(Proc[[#This Row],[Obj]],13,10),"")</f>
        <v>2123GIT261</v>
      </c>
      <c r="I1006" s="76" t="s">
        <v>2921</v>
      </c>
      <c r="J1006" s="73" t="b">
        <f>Proc[[#This Row],[Requested]]=Proc[[#This Row],[CurrentParent]]</f>
        <v>0</v>
      </c>
      <c r="K1006" s="73" t="str">
        <f>IF(Proc[[#This Row],[Author]]="Marcela Urrego",VLOOKUP(LEFT(Proc[[#This Row],[Requested]],1),Table3[#All],2,0),VLOOKUP(Proc[[#This Row],[Author]],Table4[],2,0))</f>
        <v>MGF</v>
      </c>
      <c r="L1006" s="73" t="s">
        <v>2856</v>
      </c>
      <c r="M1006" s="75">
        <v>45750.463703703703</v>
      </c>
      <c r="N1006" s="75">
        <v>45754</v>
      </c>
      <c r="O1006" s="75">
        <v>45754</v>
      </c>
      <c r="P1006" s="78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8" t="s">
        <v>1530</v>
      </c>
      <c r="S1006" s="73"/>
    </row>
    <row r="1007" spans="1:19" hidden="1">
      <c r="A1007" t="s">
        <v>2923</v>
      </c>
      <c r="B1007" s="73" t="str">
        <f>IFERROR(VLOOKUP(Proc[[#This Row],[App]],Table2[],3,0),"open")</f>
        <v>ok</v>
      </c>
      <c r="C1007" s="76" t="s">
        <v>369</v>
      </c>
      <c r="D1007" t="s">
        <v>2922</v>
      </c>
      <c r="E1007" t="s">
        <v>2851</v>
      </c>
      <c r="F1007" s="73" t="s">
        <v>2840</v>
      </c>
      <c r="G1007" s="76" t="s">
        <v>400</v>
      </c>
      <c r="H1007" s="73" t="str">
        <f>IF(Proc[[#This Row],[type]]="LFF (MDG-F)",MID(Proc[[#This Row],[Obj]],13,10),"")</f>
        <v/>
      </c>
      <c r="J1007" s="73" t="b">
        <f>Proc[[#This Row],[Requested]]=Proc[[#This Row],[CurrentParent]]</f>
        <v>0</v>
      </c>
      <c r="K1007" s="73" t="str">
        <f>IF(Proc[[#This Row],[Author]]="Marcela Urrego",VLOOKUP(LEFT(Proc[[#This Row],[Requested]],1),Table3[#All],2,0),VLOOKUP(Proc[[#This Row],[Author]],Table4[],2,0))</f>
        <v>MGF</v>
      </c>
      <c r="L1007" s="73" t="s">
        <v>2856</v>
      </c>
      <c r="M1007" s="75">
        <v>45744.635370370372</v>
      </c>
      <c r="N1007" s="75">
        <v>45754</v>
      </c>
      <c r="O1007" s="75">
        <v>45754</v>
      </c>
      <c r="P1007" s="78" t="str">
        <f ca="1">IF(Proc[[#This Row],[DaysAgeing]]&gt;5,"yep","on track")</f>
        <v>yep</v>
      </c>
      <c r="Q1007" s="3">
        <f ca="1">IF(Proc[[#This Row],[DateClosed]]="",ABS(NETWORKDAYS(Proc[[#This Row],[DateOpened]],TODAY()))-1,ABS(NETWORKDAYS(Proc[[#This Row],[DateOpened]],Proc[[#This Row],[DateClosed]]))-1)</f>
        <v>6</v>
      </c>
      <c r="R1007" s="78" t="s">
        <v>554</v>
      </c>
      <c r="S1007" s="73"/>
    </row>
    <row r="1008" spans="1:19">
      <c r="A1008" t="s">
        <v>2925</v>
      </c>
      <c r="B1008" s="73" t="str">
        <f>IFERROR(VLOOKUP(Proc[[#This Row],[App]],Table2[],3,0),"open")</f>
        <v>open</v>
      </c>
      <c r="C1008" t="s">
        <v>375</v>
      </c>
      <c r="D1008" t="s">
        <v>505</v>
      </c>
      <c r="E1008" t="s">
        <v>2924</v>
      </c>
      <c r="F1008" s="73" t="s">
        <v>658</v>
      </c>
      <c r="G1008" s="76" t="s">
        <v>406</v>
      </c>
      <c r="H1008" s="73" t="str">
        <f>IF(Proc[[#This Row],[type]]="LFF (MDG-F)",MID(Proc[[#This Row],[Obj]],13,10),"")</f>
        <v>DE10566400</v>
      </c>
      <c r="I1008" t="s">
        <v>2935</v>
      </c>
      <c r="J1008" s="73" t="b">
        <f>Proc[[#This Row],[Requested]]=Proc[[#This Row],[CurrentParent]]</f>
        <v>0</v>
      </c>
      <c r="K1008" s="73" t="str">
        <f>IF(Proc[[#This Row],[Author]]="Marcela Urrego",VLOOKUP(LEFT(Proc[[#This Row],[Requested]],1),Table3[#All],2,0),VLOOKUP(Proc[[#This Row],[Author]],Table4[],2,0))</f>
        <v>MGF</v>
      </c>
      <c r="L1008" s="73" t="s">
        <v>2856</v>
      </c>
      <c r="M1008" s="75">
        <v>45754.873298611114</v>
      </c>
      <c r="P1008" s="78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2</v>
      </c>
      <c r="R1008" s="78" t="s">
        <v>575</v>
      </c>
      <c r="S1008" s="73"/>
    </row>
    <row r="1009" spans="1:19">
      <c r="A1009" s="76" t="s">
        <v>2925</v>
      </c>
      <c r="B1009" s="73" t="str">
        <f>IFERROR(VLOOKUP(Proc[[#This Row],[App]],Table2[],3,0),"open")</f>
        <v>open</v>
      </c>
      <c r="C1009" s="76" t="s">
        <v>375</v>
      </c>
      <c r="D1009" t="s">
        <v>2532</v>
      </c>
      <c r="E1009" t="s">
        <v>2924</v>
      </c>
      <c r="F1009" s="73" t="s">
        <v>658</v>
      </c>
      <c r="G1009" s="76" t="s">
        <v>406</v>
      </c>
      <c r="H1009" s="73" t="str">
        <f>IF(Proc[[#This Row],[type]]="LFF (MDG-F)",MID(Proc[[#This Row],[Obj]],13,10),"")</f>
        <v>DE10566910</v>
      </c>
      <c r="I1009" s="76" t="s">
        <v>2935</v>
      </c>
      <c r="J1009" s="73" t="b">
        <f>Proc[[#This Row],[Requested]]=Proc[[#This Row],[CurrentParent]]</f>
        <v>0</v>
      </c>
      <c r="K1009" s="73" t="str">
        <f>IF(Proc[[#This Row],[Author]]="Marcela Urrego",VLOOKUP(LEFT(Proc[[#This Row],[Requested]],1),Table3[#All],2,0),VLOOKUP(Proc[[#This Row],[Author]],Table4[],2,0))</f>
        <v>MGF</v>
      </c>
      <c r="L1009" s="73" t="s">
        <v>2856</v>
      </c>
      <c r="M1009" s="75">
        <v>45754.873298611114</v>
      </c>
      <c r="P1009" s="78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2</v>
      </c>
      <c r="R1009" s="78" t="s">
        <v>575</v>
      </c>
      <c r="S1009" s="73"/>
    </row>
    <row r="1010" spans="1:19">
      <c r="A1010" t="s">
        <v>2926</v>
      </c>
      <c r="B1010" s="73" t="str">
        <f>IFERROR(VLOOKUP(Proc[[#This Row],[App]],Table2[],3,0),"open")</f>
        <v>open</v>
      </c>
      <c r="C1010" s="76" t="s">
        <v>370</v>
      </c>
      <c r="D1010" t="s">
        <v>2927</v>
      </c>
      <c r="E1010" t="s">
        <v>2929</v>
      </c>
      <c r="F1010" s="73" t="s">
        <v>2930</v>
      </c>
      <c r="G1010" t="s">
        <v>400</v>
      </c>
      <c r="H1010" s="73" t="str">
        <f>IF(Proc[[#This Row],[type]]="LFF (MDG-F)",MID(Proc[[#This Row],[Obj]],13,10),"")</f>
        <v/>
      </c>
      <c r="J1010" s="73" t="b">
        <f>Proc[[#This Row],[Requested]]=Proc[[#This Row],[CurrentParent]]</f>
        <v>0</v>
      </c>
      <c r="K1010" s="73" t="str">
        <f>IF(Proc[[#This Row],[Author]]="Marcela Urrego",VLOOKUP(LEFT(Proc[[#This Row],[Requested]],1),Table3[#All],2,0),VLOOKUP(Proc[[#This Row],[Author]],Table4[],2,0))</f>
        <v>MGF</v>
      </c>
      <c r="L1010" s="73" t="s">
        <v>2856</v>
      </c>
      <c r="M1010" s="75">
        <v>45754.739930555559</v>
      </c>
      <c r="P1010" s="78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2</v>
      </c>
      <c r="R1010" s="78" t="s">
        <v>1530</v>
      </c>
      <c r="S1010" s="73"/>
    </row>
    <row r="1011" spans="1:19">
      <c r="A1011" s="76" t="s">
        <v>2926</v>
      </c>
      <c r="B1011" s="73" t="str">
        <f>IFERROR(VLOOKUP(Proc[[#This Row],[App]],Table2[],3,0),"open")</f>
        <v>open</v>
      </c>
      <c r="C1011" s="76" t="s">
        <v>370</v>
      </c>
      <c r="D1011" t="s">
        <v>2928</v>
      </c>
      <c r="E1011" t="s">
        <v>426</v>
      </c>
      <c r="F1011" s="73" t="s">
        <v>2931</v>
      </c>
      <c r="G1011" s="76" t="s">
        <v>400</v>
      </c>
      <c r="H1011" s="73" t="str">
        <f>IF(Proc[[#This Row],[type]]="LFF (MDG-F)",MID(Proc[[#This Row],[Obj]],13,10),"")</f>
        <v/>
      </c>
      <c r="J1011" s="73" t="b">
        <f>Proc[[#This Row],[Requested]]=Proc[[#This Row],[CurrentParent]]</f>
        <v>0</v>
      </c>
      <c r="K1011" s="73" t="str">
        <f>IF(Proc[[#This Row],[Author]]="Marcela Urrego",VLOOKUP(LEFT(Proc[[#This Row],[Requested]],1),Table3[#All],2,0),VLOOKUP(Proc[[#This Row],[Author]],Table4[],2,0))</f>
        <v>MGF</v>
      </c>
      <c r="L1011" s="73" t="s">
        <v>2856</v>
      </c>
      <c r="M1011" s="75">
        <v>45754.739930555559</v>
      </c>
      <c r="P1011" s="78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2</v>
      </c>
      <c r="R1011" s="78" t="s">
        <v>1530</v>
      </c>
      <c r="S1011" s="73"/>
    </row>
    <row r="1012" spans="1:19">
      <c r="A1012" t="s">
        <v>2932</v>
      </c>
      <c r="B1012" s="73" t="str">
        <f>IFERROR(VLOOKUP(Proc[[#This Row],[App]],Table2[],3,0),"open")</f>
        <v>open</v>
      </c>
      <c r="C1012" s="76" t="s">
        <v>370</v>
      </c>
      <c r="D1012" t="s">
        <v>2933</v>
      </c>
      <c r="E1012" t="s">
        <v>649</v>
      </c>
      <c r="F1012" s="73" t="s">
        <v>1316</v>
      </c>
      <c r="G1012" s="76" t="s">
        <v>400</v>
      </c>
      <c r="H1012" s="73" t="str">
        <f>IF(Proc[[#This Row],[type]]="LFF (MDG-F)",MID(Proc[[#This Row],[Obj]],13,10),"")</f>
        <v/>
      </c>
      <c r="J1012" s="73" t="b">
        <f>Proc[[#This Row],[Requested]]=Proc[[#This Row],[CurrentParent]]</f>
        <v>0</v>
      </c>
      <c r="K1012" s="73" t="str">
        <f>IF(Proc[[#This Row],[Author]]="Marcela Urrego",VLOOKUP(LEFT(Proc[[#This Row],[Requested]],1),Table3[#All],2,0),VLOOKUP(Proc[[#This Row],[Author]],Table4[],2,0))</f>
        <v>LS</v>
      </c>
      <c r="L1012" s="73" t="s">
        <v>2856</v>
      </c>
      <c r="M1012" s="75">
        <v>45754.504537037035</v>
      </c>
      <c r="P1012" s="78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2</v>
      </c>
      <c r="R1012" s="78" t="s">
        <v>1003</v>
      </c>
      <c r="S1012" s="73"/>
    </row>
    <row r="1013" spans="1:19">
      <c r="A1013" t="s">
        <v>2932</v>
      </c>
      <c r="B1013" s="73" t="str">
        <f>IFERROR(VLOOKUP(Proc[[#This Row],[App]],Table2[],3,0),"open")</f>
        <v>open</v>
      </c>
      <c r="C1013" s="76" t="s">
        <v>370</v>
      </c>
      <c r="D1013" t="s">
        <v>2934</v>
      </c>
      <c r="E1013" t="s">
        <v>486</v>
      </c>
      <c r="F1013" s="73" t="s">
        <v>1316</v>
      </c>
      <c r="G1013" s="76" t="s">
        <v>400</v>
      </c>
      <c r="H1013" s="73" t="str">
        <f>IF(Proc[[#This Row],[type]]="LFF (MDG-F)",MID(Proc[[#This Row],[Obj]],13,10),"")</f>
        <v/>
      </c>
      <c r="J1013" s="73" t="b">
        <f>Proc[[#This Row],[Requested]]=Proc[[#This Row],[CurrentParent]]</f>
        <v>0</v>
      </c>
      <c r="K1013" s="73" t="str">
        <f>IF(Proc[[#This Row],[Author]]="Marcela Urrego",VLOOKUP(LEFT(Proc[[#This Row],[Requested]],1),Table3[#All],2,0),VLOOKUP(Proc[[#This Row],[Author]],Table4[],2,0))</f>
        <v>LS</v>
      </c>
      <c r="L1013" s="73" t="s">
        <v>2856</v>
      </c>
      <c r="M1013" s="75">
        <v>45754.504537037035</v>
      </c>
      <c r="P1013" s="78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2</v>
      </c>
      <c r="R1013" s="78" t="s">
        <v>1003</v>
      </c>
      <c r="S1013" s="73"/>
    </row>
    <row r="1014" spans="1:19">
      <c r="B1014" s="73" t="str">
        <f>IFERROR(VLOOKUP(Proc[[#This Row],[App]],Table2[],3,0),"open")</f>
        <v>open</v>
      </c>
      <c r="C1014" s="76" t="s">
        <v>370</v>
      </c>
      <c r="D1014" s="80" t="s">
        <v>2936</v>
      </c>
      <c r="E1014" s="76" t="s">
        <v>1955</v>
      </c>
      <c r="F1014" s="73"/>
      <c r="G1014" t="s">
        <v>400</v>
      </c>
      <c r="H1014" s="73" t="str">
        <f>IF(Proc[[#This Row],[type]]="LFF (MDG-F)",MID(Proc[[#This Row],[Obj]],13,10),"")</f>
        <v/>
      </c>
      <c r="J1014" s="73" t="b">
        <f>Proc[[#This Row],[Requested]]=Proc[[#This Row],[CurrentParent]]</f>
        <v>0</v>
      </c>
      <c r="K1014" s="73" t="str">
        <f>IF(Proc[[#This Row],[Author]]="Marcela Urrego",VLOOKUP(LEFT(Proc[[#This Row],[Requested]],1),Table3[#All],2,0),VLOOKUP(Proc[[#This Row],[Author]],Table4[],2,0))</f>
        <v>LS</v>
      </c>
      <c r="L1014" s="73" t="s">
        <v>2856</v>
      </c>
      <c r="M1014" s="78">
        <v>45755.504537037035</v>
      </c>
      <c r="N1014" s="81"/>
      <c r="O1014" s="81"/>
      <c r="P1014" s="78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1</v>
      </c>
      <c r="R1014" s="78" t="s">
        <v>508</v>
      </c>
      <c r="S1014" s="73"/>
    </row>
    <row r="1015" spans="1:19">
      <c r="B1015" s="73" t="str">
        <f>IFERROR(VLOOKUP(Proc[[#This Row],[App]],Table2[],3,0),"open")</f>
        <v>open</v>
      </c>
      <c r="C1015" s="76" t="s">
        <v>370</v>
      </c>
      <c r="D1015" s="80" t="s">
        <v>2937</v>
      </c>
      <c r="E1015" s="76" t="s">
        <v>1955</v>
      </c>
      <c r="F1015" s="73"/>
      <c r="G1015" s="76" t="s">
        <v>400</v>
      </c>
      <c r="H1015" s="73" t="str">
        <f>IF(Proc[[#This Row],[type]]="LFF (MDG-F)",MID(Proc[[#This Row],[Obj]],13,10),"")</f>
        <v/>
      </c>
      <c r="J1015" s="73" t="b">
        <f>Proc[[#This Row],[Requested]]=Proc[[#This Row],[CurrentParent]]</f>
        <v>0</v>
      </c>
      <c r="K1015" s="73" t="str">
        <f>IF(Proc[[#This Row],[Author]]="Marcela Urrego",VLOOKUP(LEFT(Proc[[#This Row],[Requested]],1),Table3[#All],2,0),VLOOKUP(Proc[[#This Row],[Author]],Table4[],2,0))</f>
        <v>LS</v>
      </c>
      <c r="L1015" s="73" t="s">
        <v>2856</v>
      </c>
      <c r="M1015" s="78">
        <v>45755.504537037035</v>
      </c>
      <c r="N1015" s="81"/>
      <c r="O1015" s="81"/>
      <c r="P1015" s="78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1</v>
      </c>
      <c r="R1015" s="78" t="s">
        <v>508</v>
      </c>
      <c r="S1015" s="73"/>
    </row>
    <row r="1016" spans="1:19">
      <c r="B1016" s="73" t="str">
        <f>IFERROR(VLOOKUP(Proc[[#This Row],[App]],Table2[],3,0),"open")</f>
        <v>open</v>
      </c>
      <c r="C1016" s="76" t="s">
        <v>370</v>
      </c>
      <c r="D1016" s="80" t="s">
        <v>2938</v>
      </c>
      <c r="E1016" s="76" t="s">
        <v>1955</v>
      </c>
      <c r="F1016" s="73"/>
      <c r="G1016" s="76" t="s">
        <v>400</v>
      </c>
      <c r="H1016" s="73" t="str">
        <f>IF(Proc[[#This Row],[type]]="LFF (MDG-F)",MID(Proc[[#This Row],[Obj]],13,10),"")</f>
        <v/>
      </c>
      <c r="J1016" s="73" t="b">
        <f>Proc[[#This Row],[Requested]]=Proc[[#This Row],[CurrentParent]]</f>
        <v>0</v>
      </c>
      <c r="K1016" s="73" t="str">
        <f>IF(Proc[[#This Row],[Author]]="Marcela Urrego",VLOOKUP(LEFT(Proc[[#This Row],[Requested]],1),Table3[#All],2,0),VLOOKUP(Proc[[#This Row],[Author]],Table4[],2,0))</f>
        <v>LS</v>
      </c>
      <c r="L1016" s="73" t="s">
        <v>2856</v>
      </c>
      <c r="M1016" s="78">
        <v>45755.504537037035</v>
      </c>
      <c r="N1016" s="81"/>
      <c r="O1016" s="81"/>
      <c r="P1016" s="78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1</v>
      </c>
      <c r="R1016" s="78" t="s">
        <v>508</v>
      </c>
      <c r="S1016" s="73"/>
    </row>
    <row r="1017" spans="1:19">
      <c r="A1017" s="76" t="s">
        <v>2939</v>
      </c>
      <c r="B1017" s="73" t="str">
        <f>IFERROR(VLOOKUP(Proc[[#This Row],[App]],Table2[],3,0),"open")</f>
        <v>open</v>
      </c>
      <c r="C1017" s="76" t="s">
        <v>370</v>
      </c>
      <c r="D1017" s="80" t="s">
        <v>2940</v>
      </c>
      <c r="E1017" s="76" t="s">
        <v>1955</v>
      </c>
      <c r="F1017" s="73"/>
      <c r="G1017" s="76" t="s">
        <v>400</v>
      </c>
      <c r="H1017" s="73" t="str">
        <f>IF(Proc[[#This Row],[type]]="LFF (MDG-F)",MID(Proc[[#This Row],[Obj]],13,10),"")</f>
        <v/>
      </c>
      <c r="J1017" s="73" t="b">
        <f>Proc[[#This Row],[Requested]]=Proc[[#This Row],[CurrentParent]]</f>
        <v>0</v>
      </c>
      <c r="K1017" s="73" t="str">
        <f>IF(Proc[[#This Row],[Author]]="Marcela Urrego",VLOOKUP(LEFT(Proc[[#This Row],[Requested]],1),Table3[#All],2,0),VLOOKUP(Proc[[#This Row],[Author]],Table4[],2,0))</f>
        <v>LS</v>
      </c>
      <c r="L1017" s="73" t="s">
        <v>2856</v>
      </c>
      <c r="M1017" s="78">
        <v>45756.504537037035</v>
      </c>
      <c r="N1017" s="81"/>
      <c r="O1017" s="81"/>
      <c r="P1017" s="78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0</v>
      </c>
      <c r="R1017" s="78" t="s">
        <v>508</v>
      </c>
      <c r="S1017" s="73"/>
    </row>
    <row r="1018" spans="1:19">
      <c r="A1018" s="76" t="s">
        <v>2939</v>
      </c>
      <c r="B1018" s="73" t="str">
        <f>IFERROR(VLOOKUP(Proc[[#This Row],[App]],Table2[],3,0),"open")</f>
        <v>open</v>
      </c>
      <c r="C1018" s="76" t="s">
        <v>370</v>
      </c>
      <c r="D1018" s="80" t="s">
        <v>2941</v>
      </c>
      <c r="E1018" s="76" t="s">
        <v>1955</v>
      </c>
      <c r="F1018" s="73"/>
      <c r="G1018" s="76" t="s">
        <v>400</v>
      </c>
      <c r="H1018" s="73" t="str">
        <f>IF(Proc[[#This Row],[type]]="LFF (MDG-F)",MID(Proc[[#This Row],[Obj]],13,10),"")</f>
        <v/>
      </c>
      <c r="J1018" s="73" t="b">
        <f>Proc[[#This Row],[Requested]]=Proc[[#This Row],[CurrentParent]]</f>
        <v>0</v>
      </c>
      <c r="K1018" s="73" t="str">
        <f>IF(Proc[[#This Row],[Author]]="Marcela Urrego",VLOOKUP(LEFT(Proc[[#This Row],[Requested]],1),Table3[#All],2,0),VLOOKUP(Proc[[#This Row],[Author]],Table4[],2,0))</f>
        <v>LS</v>
      </c>
      <c r="L1018" s="73" t="s">
        <v>2856</v>
      </c>
      <c r="M1018" s="78">
        <v>45756.504537037035</v>
      </c>
      <c r="N1018" s="81"/>
      <c r="O1018" s="81"/>
      <c r="P1018" s="78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0</v>
      </c>
      <c r="R1018" s="78" t="s">
        <v>508</v>
      </c>
      <c r="S1018" s="73"/>
    </row>
    <row r="1019" spans="1:19">
      <c r="A1019" s="76" t="s">
        <v>2939</v>
      </c>
      <c r="B1019" s="73" t="str">
        <f>IFERROR(VLOOKUP(Proc[[#This Row],[App]],Table2[],3,0),"open")</f>
        <v>open</v>
      </c>
      <c r="C1019" s="76" t="s">
        <v>370</v>
      </c>
      <c r="D1019" s="76" t="s">
        <v>2942</v>
      </c>
      <c r="E1019" s="76" t="s">
        <v>1955</v>
      </c>
      <c r="F1019" s="73"/>
      <c r="G1019" s="76" t="s">
        <v>400</v>
      </c>
      <c r="H1019" s="73" t="str">
        <f>IF(Proc[[#This Row],[type]]="LFF (MDG-F)",MID(Proc[[#This Row],[Obj]],13,10),"")</f>
        <v/>
      </c>
      <c r="J1019" s="73" t="b">
        <f>Proc[[#This Row],[Requested]]=Proc[[#This Row],[CurrentParent]]</f>
        <v>0</v>
      </c>
      <c r="K1019" s="73" t="str">
        <f>IF(Proc[[#This Row],[Author]]="Marcela Urrego",VLOOKUP(LEFT(Proc[[#This Row],[Requested]],1),Table3[#All],2,0),VLOOKUP(Proc[[#This Row],[Author]],Table4[],2,0))</f>
        <v>LS</v>
      </c>
      <c r="L1019" s="73" t="s">
        <v>2856</v>
      </c>
      <c r="M1019" s="78">
        <v>45756.504537037035</v>
      </c>
      <c r="N1019" s="81"/>
      <c r="O1019" s="81"/>
      <c r="P1019" s="78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0</v>
      </c>
      <c r="R1019" s="78" t="s">
        <v>508</v>
      </c>
      <c r="S1019" s="73"/>
    </row>
    <row r="1020" spans="1:19">
      <c r="A1020" s="76" t="s">
        <v>2939</v>
      </c>
      <c r="B1020" s="73" t="str">
        <f>IFERROR(VLOOKUP(Proc[[#This Row],[App]],Table2[],3,0),"open")</f>
        <v>open</v>
      </c>
      <c r="C1020" s="76" t="s">
        <v>370</v>
      </c>
      <c r="D1020" s="76" t="s">
        <v>2943</v>
      </c>
      <c r="E1020" s="76" t="s">
        <v>1955</v>
      </c>
      <c r="F1020" s="73"/>
      <c r="G1020" s="76" t="s">
        <v>400</v>
      </c>
      <c r="H1020" s="73" t="str">
        <f>IF(Proc[[#This Row],[type]]="LFF (MDG-F)",MID(Proc[[#This Row],[Obj]],13,10),"")</f>
        <v/>
      </c>
      <c r="J1020" s="73" t="b">
        <f>Proc[[#This Row],[Requested]]=Proc[[#This Row],[CurrentParent]]</f>
        <v>0</v>
      </c>
      <c r="K1020" s="73" t="str">
        <f>IF(Proc[[#This Row],[Author]]="Marcela Urrego",VLOOKUP(LEFT(Proc[[#This Row],[Requested]],1),Table3[#All],2,0),VLOOKUP(Proc[[#This Row],[Author]],Table4[],2,0))</f>
        <v>LS</v>
      </c>
      <c r="L1020" s="73" t="s">
        <v>2856</v>
      </c>
      <c r="M1020" s="78">
        <v>45756.504537037035</v>
      </c>
      <c r="N1020" s="81"/>
      <c r="O1020" s="81"/>
      <c r="P1020" s="78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0</v>
      </c>
      <c r="R1020" s="78" t="s">
        <v>508</v>
      </c>
      <c r="S1020" s="73"/>
    </row>
    <row r="1021" spans="1:19">
      <c r="A1021" s="76" t="s">
        <v>2939</v>
      </c>
      <c r="B1021" s="73" t="str">
        <f>IFERROR(VLOOKUP(Proc[[#This Row],[App]],Table2[],3,0),"open")</f>
        <v>open</v>
      </c>
      <c r="C1021" s="76" t="s">
        <v>370</v>
      </c>
      <c r="D1021" s="76" t="s">
        <v>2944</v>
      </c>
      <c r="E1021" s="76" t="s">
        <v>1955</v>
      </c>
      <c r="F1021" s="73"/>
      <c r="G1021" s="76" t="s">
        <v>400</v>
      </c>
      <c r="H1021" s="73" t="str">
        <f>IF(Proc[[#This Row],[type]]="LFF (MDG-F)",MID(Proc[[#This Row],[Obj]],13,10),"")</f>
        <v/>
      </c>
      <c r="J1021" s="73" t="b">
        <f>Proc[[#This Row],[Requested]]=Proc[[#This Row],[CurrentParent]]</f>
        <v>0</v>
      </c>
      <c r="K1021" s="73" t="str">
        <f>IF(Proc[[#This Row],[Author]]="Marcela Urrego",VLOOKUP(LEFT(Proc[[#This Row],[Requested]],1),Table3[#All],2,0),VLOOKUP(Proc[[#This Row],[Author]],Table4[],2,0))</f>
        <v>LS</v>
      </c>
      <c r="L1021" s="73" t="s">
        <v>2856</v>
      </c>
      <c r="M1021" s="78">
        <v>45756.504537037035</v>
      </c>
      <c r="N1021" s="81"/>
      <c r="O1021" s="81"/>
      <c r="P1021" s="78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0</v>
      </c>
      <c r="R1021" s="78" t="s">
        <v>508</v>
      </c>
      <c r="S1021" s="73"/>
    </row>
    <row r="1022" spans="1:19">
      <c r="A1022" s="76" t="s">
        <v>2939</v>
      </c>
      <c r="B1022" s="73" t="str">
        <f>IFERROR(VLOOKUP(Proc[[#This Row],[App]],Table2[],3,0),"open")</f>
        <v>open</v>
      </c>
      <c r="C1022" s="76" t="s">
        <v>370</v>
      </c>
      <c r="D1022" s="76" t="s">
        <v>2945</v>
      </c>
      <c r="E1022" s="76" t="s">
        <v>1955</v>
      </c>
      <c r="F1022" s="73"/>
      <c r="G1022" s="76" t="s">
        <v>400</v>
      </c>
      <c r="H1022" s="73" t="str">
        <f>IF(Proc[[#This Row],[type]]="LFF (MDG-F)",MID(Proc[[#This Row],[Obj]],13,10),"")</f>
        <v/>
      </c>
      <c r="J1022" s="73" t="b">
        <f>Proc[[#This Row],[Requested]]=Proc[[#This Row],[CurrentParent]]</f>
        <v>0</v>
      </c>
      <c r="K1022" s="73" t="str">
        <f>IF(Proc[[#This Row],[Author]]="Marcela Urrego",VLOOKUP(LEFT(Proc[[#This Row],[Requested]],1),Table3[#All],2,0),VLOOKUP(Proc[[#This Row],[Author]],Table4[],2,0))</f>
        <v>LS</v>
      </c>
      <c r="L1022" s="73" t="s">
        <v>2856</v>
      </c>
      <c r="M1022" s="78">
        <v>45756.504537037035</v>
      </c>
      <c r="N1022" s="81"/>
      <c r="O1022" s="81"/>
      <c r="P1022" s="78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0</v>
      </c>
      <c r="R1022" s="78" t="s">
        <v>508</v>
      </c>
      <c r="S1022" s="73"/>
    </row>
    <row r="1023" spans="1:19">
      <c r="A1023" s="76" t="s">
        <v>2939</v>
      </c>
      <c r="B1023" s="73" t="str">
        <f>IFERROR(VLOOKUP(Proc[[#This Row],[App]],Table2[],3,0),"open")</f>
        <v>open</v>
      </c>
      <c r="C1023" s="76" t="s">
        <v>370</v>
      </c>
      <c r="D1023" s="76" t="s">
        <v>2946</v>
      </c>
      <c r="E1023" s="76" t="s">
        <v>1955</v>
      </c>
      <c r="F1023" s="73"/>
      <c r="G1023" s="76" t="s">
        <v>400</v>
      </c>
      <c r="H1023" s="73" t="str">
        <f>IF(Proc[[#This Row],[type]]="LFF (MDG-F)",MID(Proc[[#This Row],[Obj]],13,10),"")</f>
        <v/>
      </c>
      <c r="J1023" s="73" t="b">
        <f>Proc[[#This Row],[Requested]]=Proc[[#This Row],[CurrentParent]]</f>
        <v>0</v>
      </c>
      <c r="K1023" s="73" t="str">
        <f>IF(Proc[[#This Row],[Author]]="Marcela Urrego",VLOOKUP(LEFT(Proc[[#This Row],[Requested]],1),Table3[#All],2,0),VLOOKUP(Proc[[#This Row],[Author]],Table4[],2,0))</f>
        <v>LS</v>
      </c>
      <c r="L1023" s="73" t="s">
        <v>2856</v>
      </c>
      <c r="M1023" s="78">
        <v>45756.504537037035</v>
      </c>
      <c r="N1023" s="81"/>
      <c r="O1023" s="81"/>
      <c r="P1023" s="78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0</v>
      </c>
      <c r="R1023" s="78" t="s">
        <v>508</v>
      </c>
      <c r="S1023" s="73"/>
    </row>
    <row r="1024" spans="1:19">
      <c r="A1024" s="76" t="s">
        <v>2939</v>
      </c>
      <c r="B1024" s="73" t="str">
        <f>IFERROR(VLOOKUP(Proc[[#This Row],[App]],Table2[],3,0),"open")</f>
        <v>open</v>
      </c>
      <c r="C1024" s="76" t="s">
        <v>370</v>
      </c>
      <c r="D1024" s="76" t="s">
        <v>2947</v>
      </c>
      <c r="E1024" s="76" t="s">
        <v>1955</v>
      </c>
      <c r="F1024" s="73"/>
      <c r="G1024" s="76" t="s">
        <v>400</v>
      </c>
      <c r="H1024" s="73" t="str">
        <f>IF(Proc[[#This Row],[type]]="LFF (MDG-F)",MID(Proc[[#This Row],[Obj]],13,10),"")</f>
        <v/>
      </c>
      <c r="J1024" s="73" t="b">
        <f>Proc[[#This Row],[Requested]]=Proc[[#This Row],[CurrentParent]]</f>
        <v>0</v>
      </c>
      <c r="K1024" s="73" t="str">
        <f>IF(Proc[[#This Row],[Author]]="Marcela Urrego",VLOOKUP(LEFT(Proc[[#This Row],[Requested]],1),Table3[#All],2,0),VLOOKUP(Proc[[#This Row],[Author]],Table4[],2,0))</f>
        <v>LS</v>
      </c>
      <c r="L1024" s="73" t="s">
        <v>2856</v>
      </c>
      <c r="M1024" s="78">
        <v>45756.504537037035</v>
      </c>
      <c r="N1024" s="81"/>
      <c r="O1024" s="81"/>
      <c r="P1024" s="78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0</v>
      </c>
      <c r="R1024" s="78" t="s">
        <v>508</v>
      </c>
      <c r="S1024" s="73"/>
    </row>
    <row r="1025" spans="1:19">
      <c r="A1025" s="76" t="s">
        <v>2939</v>
      </c>
      <c r="B1025" s="73" t="str">
        <f>IFERROR(VLOOKUP(Proc[[#This Row],[App]],Table2[],3,0),"open")</f>
        <v>open</v>
      </c>
      <c r="C1025" s="76" t="s">
        <v>370</v>
      </c>
      <c r="D1025" s="76" t="s">
        <v>2948</v>
      </c>
      <c r="E1025" s="76" t="s">
        <v>1955</v>
      </c>
      <c r="F1025" s="73"/>
      <c r="G1025" s="76" t="s">
        <v>400</v>
      </c>
      <c r="H1025" s="73" t="str">
        <f>IF(Proc[[#This Row],[type]]="LFF (MDG-F)",MID(Proc[[#This Row],[Obj]],13,10),"")</f>
        <v/>
      </c>
      <c r="J1025" s="73" t="b">
        <f>Proc[[#This Row],[Requested]]=Proc[[#This Row],[CurrentParent]]</f>
        <v>0</v>
      </c>
      <c r="K1025" s="73" t="str">
        <f>IF(Proc[[#This Row],[Author]]="Marcela Urrego",VLOOKUP(LEFT(Proc[[#This Row],[Requested]],1),Table3[#All],2,0),VLOOKUP(Proc[[#This Row],[Author]],Table4[],2,0))</f>
        <v>LS</v>
      </c>
      <c r="L1025" s="73" t="s">
        <v>2856</v>
      </c>
      <c r="M1025" s="78">
        <v>45756.504537037035</v>
      </c>
      <c r="N1025" s="81"/>
      <c r="O1025" s="81"/>
      <c r="P1025" s="78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0</v>
      </c>
      <c r="R1025" s="78" t="s">
        <v>508</v>
      </c>
      <c r="S1025" s="73"/>
    </row>
    <row r="1026" spans="1:19">
      <c r="A1026" s="76" t="s">
        <v>2939</v>
      </c>
      <c r="B1026" s="73" t="str">
        <f>IFERROR(VLOOKUP(Proc[[#This Row],[App]],Table2[],3,0),"open")</f>
        <v>open</v>
      </c>
      <c r="C1026" s="76" t="s">
        <v>370</v>
      </c>
      <c r="D1026" s="76" t="s">
        <v>2949</v>
      </c>
      <c r="E1026" s="76" t="s">
        <v>1955</v>
      </c>
      <c r="F1026" s="73"/>
      <c r="G1026" s="76" t="s">
        <v>400</v>
      </c>
      <c r="H1026" s="73" t="str">
        <f>IF(Proc[[#This Row],[type]]="LFF (MDG-F)",MID(Proc[[#This Row],[Obj]],13,10),"")</f>
        <v/>
      </c>
      <c r="J1026" s="73" t="b">
        <f>Proc[[#This Row],[Requested]]=Proc[[#This Row],[CurrentParent]]</f>
        <v>0</v>
      </c>
      <c r="K1026" s="73" t="str">
        <f>IF(Proc[[#This Row],[Author]]="Marcela Urrego",VLOOKUP(LEFT(Proc[[#This Row],[Requested]],1),Table3[#All],2,0),VLOOKUP(Proc[[#This Row],[Author]],Table4[],2,0))</f>
        <v>LS</v>
      </c>
      <c r="L1026" s="73" t="s">
        <v>2856</v>
      </c>
      <c r="M1026" s="78">
        <v>45756.504537037035</v>
      </c>
      <c r="N1026" s="81"/>
      <c r="O1026" s="81"/>
      <c r="P1026" s="78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0</v>
      </c>
      <c r="R1026" s="78" t="s">
        <v>508</v>
      </c>
      <c r="S1026" s="73"/>
    </row>
    <row r="1027" spans="1:19">
      <c r="A1027" s="76" t="s">
        <v>2939</v>
      </c>
      <c r="B1027" s="73" t="str">
        <f>IFERROR(VLOOKUP(Proc[[#This Row],[App]],Table2[],3,0),"open")</f>
        <v>open</v>
      </c>
      <c r="C1027" s="76" t="s">
        <v>370</v>
      </c>
      <c r="D1027" s="76" t="s">
        <v>2950</v>
      </c>
      <c r="E1027" s="76" t="s">
        <v>1955</v>
      </c>
      <c r="F1027" s="73"/>
      <c r="G1027" s="76" t="s">
        <v>400</v>
      </c>
      <c r="H1027" s="73" t="str">
        <f>IF(Proc[[#This Row],[type]]="LFF (MDG-F)",MID(Proc[[#This Row],[Obj]],13,10),"")</f>
        <v/>
      </c>
      <c r="J1027" s="73" t="b">
        <f>Proc[[#This Row],[Requested]]=Proc[[#This Row],[CurrentParent]]</f>
        <v>0</v>
      </c>
      <c r="K1027" s="73" t="str">
        <f>IF(Proc[[#This Row],[Author]]="Marcela Urrego",VLOOKUP(LEFT(Proc[[#This Row],[Requested]],1),Table3[#All],2,0),VLOOKUP(Proc[[#This Row],[Author]],Table4[],2,0))</f>
        <v>LS</v>
      </c>
      <c r="L1027" s="73" t="s">
        <v>2856</v>
      </c>
      <c r="M1027" s="78">
        <v>45756.504537037035</v>
      </c>
      <c r="N1027" s="81"/>
      <c r="O1027" s="81"/>
      <c r="P1027" s="78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0</v>
      </c>
      <c r="R1027" s="78" t="s">
        <v>508</v>
      </c>
      <c r="S1027" s="73"/>
    </row>
    <row r="1028" spans="1:19">
      <c r="A1028" s="76" t="s">
        <v>2939</v>
      </c>
      <c r="B1028" s="73" t="str">
        <f>IFERROR(VLOOKUP(Proc[[#This Row],[App]],Table2[],3,0),"open")</f>
        <v>open</v>
      </c>
      <c r="C1028" s="76" t="s">
        <v>370</v>
      </c>
      <c r="D1028" s="76" t="s">
        <v>2951</v>
      </c>
      <c r="E1028" s="76" t="s">
        <v>1955</v>
      </c>
      <c r="F1028" s="73"/>
      <c r="G1028" s="76" t="s">
        <v>400</v>
      </c>
      <c r="H1028" s="73" t="str">
        <f>IF(Proc[[#This Row],[type]]="LFF (MDG-F)",MID(Proc[[#This Row],[Obj]],13,10),"")</f>
        <v/>
      </c>
      <c r="J1028" s="73" t="b">
        <f>Proc[[#This Row],[Requested]]=Proc[[#This Row],[CurrentParent]]</f>
        <v>0</v>
      </c>
      <c r="K1028" s="73" t="str">
        <f>IF(Proc[[#This Row],[Author]]="Marcela Urrego",VLOOKUP(LEFT(Proc[[#This Row],[Requested]],1),Table3[#All],2,0),VLOOKUP(Proc[[#This Row],[Author]],Table4[],2,0))</f>
        <v>LS</v>
      </c>
      <c r="L1028" s="73" t="s">
        <v>2856</v>
      </c>
      <c r="M1028" s="78">
        <v>45756.504537037035</v>
      </c>
      <c r="N1028" s="81"/>
      <c r="O1028" s="81"/>
      <c r="P1028" s="78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0</v>
      </c>
      <c r="R1028" s="78" t="s">
        <v>508</v>
      </c>
      <c r="S1028" s="73"/>
    </row>
    <row r="1029" spans="1:19">
      <c r="A1029" s="76" t="s">
        <v>2939</v>
      </c>
      <c r="B1029" s="73" t="str">
        <f>IFERROR(VLOOKUP(Proc[[#This Row],[App]],Table2[],3,0),"open")</f>
        <v>open</v>
      </c>
      <c r="C1029" s="76" t="s">
        <v>370</v>
      </c>
      <c r="D1029" s="76" t="s">
        <v>2952</v>
      </c>
      <c r="E1029" s="76" t="s">
        <v>1955</v>
      </c>
      <c r="F1029" s="73"/>
      <c r="G1029" s="76" t="s">
        <v>400</v>
      </c>
      <c r="H1029" s="73" t="str">
        <f>IF(Proc[[#This Row],[type]]="LFF (MDG-F)",MID(Proc[[#This Row],[Obj]],13,10),"")</f>
        <v/>
      </c>
      <c r="J1029" s="73" t="b">
        <f>Proc[[#This Row],[Requested]]=Proc[[#This Row],[CurrentParent]]</f>
        <v>0</v>
      </c>
      <c r="K1029" s="73" t="str">
        <f>IF(Proc[[#This Row],[Author]]="Marcela Urrego",VLOOKUP(LEFT(Proc[[#This Row],[Requested]],1),Table3[#All],2,0),VLOOKUP(Proc[[#This Row],[Author]],Table4[],2,0))</f>
        <v>LS</v>
      </c>
      <c r="L1029" s="73" t="s">
        <v>2856</v>
      </c>
      <c r="M1029" s="78">
        <v>45756.504537037035</v>
      </c>
      <c r="N1029" s="81"/>
      <c r="O1029" s="81"/>
      <c r="P1029" s="78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0</v>
      </c>
      <c r="R1029" s="78" t="s">
        <v>508</v>
      </c>
      <c r="S1029" s="73"/>
    </row>
    <row r="1030" spans="1:19">
      <c r="A1030" s="76" t="s">
        <v>2939</v>
      </c>
      <c r="B1030" s="73" t="str">
        <f>IFERROR(VLOOKUP(Proc[[#This Row],[App]],Table2[],3,0),"open")</f>
        <v>open</v>
      </c>
      <c r="C1030" s="76" t="s">
        <v>370</v>
      </c>
      <c r="D1030" s="76" t="s">
        <v>2953</v>
      </c>
      <c r="E1030" s="76" t="s">
        <v>1955</v>
      </c>
      <c r="F1030" s="73"/>
      <c r="G1030" s="76" t="s">
        <v>400</v>
      </c>
      <c r="H1030" s="73" t="str">
        <f>IF(Proc[[#This Row],[type]]="LFF (MDG-F)",MID(Proc[[#This Row],[Obj]],13,10),"")</f>
        <v/>
      </c>
      <c r="J1030" s="73" t="b">
        <f>Proc[[#This Row],[Requested]]=Proc[[#This Row],[CurrentParent]]</f>
        <v>0</v>
      </c>
      <c r="K1030" s="73" t="str">
        <f>IF(Proc[[#This Row],[Author]]="Marcela Urrego",VLOOKUP(LEFT(Proc[[#This Row],[Requested]],1),Table3[#All],2,0),VLOOKUP(Proc[[#This Row],[Author]],Table4[],2,0))</f>
        <v>LS</v>
      </c>
      <c r="L1030" s="73" t="s">
        <v>2856</v>
      </c>
      <c r="M1030" s="78">
        <v>45756.504537037035</v>
      </c>
      <c r="N1030" s="81"/>
      <c r="O1030" s="81"/>
      <c r="P1030" s="78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0</v>
      </c>
      <c r="R1030" s="78" t="s">
        <v>508</v>
      </c>
      <c r="S1030" s="73"/>
    </row>
    <row r="1031" spans="1:19">
      <c r="A1031" s="76" t="s">
        <v>2939</v>
      </c>
      <c r="B1031" s="73" t="str">
        <f>IFERROR(VLOOKUP(Proc[[#This Row],[App]],Table2[],3,0),"open")</f>
        <v>open</v>
      </c>
      <c r="C1031" s="76" t="s">
        <v>370</v>
      </c>
      <c r="D1031" s="76" t="s">
        <v>2954</v>
      </c>
      <c r="E1031" s="76" t="s">
        <v>1955</v>
      </c>
      <c r="F1031" s="73"/>
      <c r="G1031" s="76" t="s">
        <v>400</v>
      </c>
      <c r="H1031" s="73" t="str">
        <f>IF(Proc[[#This Row],[type]]="LFF (MDG-F)",MID(Proc[[#This Row],[Obj]],13,10),"")</f>
        <v/>
      </c>
      <c r="J1031" s="73" t="b">
        <f>Proc[[#This Row],[Requested]]=Proc[[#This Row],[CurrentParent]]</f>
        <v>0</v>
      </c>
      <c r="K1031" s="73" t="str">
        <f>IF(Proc[[#This Row],[Author]]="Marcela Urrego",VLOOKUP(LEFT(Proc[[#This Row],[Requested]],1),Table3[#All],2,0),VLOOKUP(Proc[[#This Row],[Author]],Table4[],2,0))</f>
        <v>LS</v>
      </c>
      <c r="L1031" s="73" t="s">
        <v>2856</v>
      </c>
      <c r="M1031" s="78">
        <v>45756.504537037035</v>
      </c>
      <c r="N1031" s="81"/>
      <c r="O1031" s="81"/>
      <c r="P1031" s="78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0</v>
      </c>
      <c r="R1031" s="78" t="s">
        <v>508</v>
      </c>
      <c r="S1031" s="73"/>
    </row>
    <row r="1032" spans="1:19">
      <c r="A1032" s="76" t="s">
        <v>2939</v>
      </c>
      <c r="B1032" s="73" t="str">
        <f>IFERROR(VLOOKUP(Proc[[#This Row],[App]],Table2[],3,0),"open")</f>
        <v>open</v>
      </c>
      <c r="C1032" s="76" t="s">
        <v>370</v>
      </c>
      <c r="D1032" s="76" t="s">
        <v>2955</v>
      </c>
      <c r="E1032" s="76" t="s">
        <v>1955</v>
      </c>
      <c r="F1032" s="73"/>
      <c r="G1032" s="76" t="s">
        <v>400</v>
      </c>
      <c r="H1032" s="73" t="str">
        <f>IF(Proc[[#This Row],[type]]="LFF (MDG-F)",MID(Proc[[#This Row],[Obj]],13,10),"")</f>
        <v/>
      </c>
      <c r="J1032" s="73" t="b">
        <f>Proc[[#This Row],[Requested]]=Proc[[#This Row],[CurrentParent]]</f>
        <v>0</v>
      </c>
      <c r="K1032" s="73" t="str">
        <f>IF(Proc[[#This Row],[Author]]="Marcela Urrego",VLOOKUP(LEFT(Proc[[#This Row],[Requested]],1),Table3[#All],2,0),VLOOKUP(Proc[[#This Row],[Author]],Table4[],2,0))</f>
        <v>LS</v>
      </c>
      <c r="L1032" s="73" t="s">
        <v>2856</v>
      </c>
      <c r="M1032" s="78">
        <v>45756.504537037035</v>
      </c>
      <c r="N1032" s="81"/>
      <c r="O1032" s="81"/>
      <c r="P1032" s="78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0</v>
      </c>
      <c r="R1032" s="78" t="s">
        <v>508</v>
      </c>
      <c r="S1032" s="73"/>
    </row>
    <row r="1033" spans="1:19">
      <c r="A1033" s="76" t="s">
        <v>2939</v>
      </c>
      <c r="B1033" s="73" t="str">
        <f>IFERROR(VLOOKUP(Proc[[#This Row],[App]],Table2[],3,0),"open")</f>
        <v>open</v>
      </c>
      <c r="C1033" s="76" t="s">
        <v>370</v>
      </c>
      <c r="D1033" s="76" t="s">
        <v>2956</v>
      </c>
      <c r="E1033" s="76" t="s">
        <v>1955</v>
      </c>
      <c r="F1033" s="73"/>
      <c r="G1033" s="76" t="s">
        <v>400</v>
      </c>
      <c r="H1033" s="73" t="str">
        <f>IF(Proc[[#This Row],[type]]="LFF (MDG-F)",MID(Proc[[#This Row],[Obj]],13,10),"")</f>
        <v/>
      </c>
      <c r="J1033" s="73" t="b">
        <f>Proc[[#This Row],[Requested]]=Proc[[#This Row],[CurrentParent]]</f>
        <v>0</v>
      </c>
      <c r="K1033" s="73" t="str">
        <f>IF(Proc[[#This Row],[Author]]="Marcela Urrego",VLOOKUP(LEFT(Proc[[#This Row],[Requested]],1),Table3[#All],2,0),VLOOKUP(Proc[[#This Row],[Author]],Table4[],2,0))</f>
        <v>LS</v>
      </c>
      <c r="L1033" s="73" t="s">
        <v>2856</v>
      </c>
      <c r="M1033" s="78">
        <v>45756.504537037035</v>
      </c>
      <c r="N1033" s="81"/>
      <c r="O1033" s="81"/>
      <c r="P1033" s="78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0</v>
      </c>
      <c r="R1033" s="78" t="s">
        <v>508</v>
      </c>
      <c r="S1033" s="73"/>
    </row>
    <row r="1034" spans="1:19">
      <c r="A1034" s="76" t="s">
        <v>2939</v>
      </c>
      <c r="B1034" s="73" t="str">
        <f>IFERROR(VLOOKUP(Proc[[#This Row],[App]],Table2[],3,0),"open")</f>
        <v>open</v>
      </c>
      <c r="C1034" s="76" t="s">
        <v>370</v>
      </c>
      <c r="D1034" s="76" t="s">
        <v>2957</v>
      </c>
      <c r="E1034" s="76" t="s">
        <v>1955</v>
      </c>
      <c r="F1034" s="73"/>
      <c r="G1034" s="76" t="s">
        <v>400</v>
      </c>
      <c r="H1034" s="73" t="str">
        <f>IF(Proc[[#This Row],[type]]="LFF (MDG-F)",MID(Proc[[#This Row],[Obj]],13,10),"")</f>
        <v/>
      </c>
      <c r="J1034" s="73" t="b">
        <f>Proc[[#This Row],[Requested]]=Proc[[#This Row],[CurrentParent]]</f>
        <v>0</v>
      </c>
      <c r="K1034" s="73" t="str">
        <f>IF(Proc[[#This Row],[Author]]="Marcela Urrego",VLOOKUP(LEFT(Proc[[#This Row],[Requested]],1),Table3[#All],2,0),VLOOKUP(Proc[[#This Row],[Author]],Table4[],2,0))</f>
        <v>LS</v>
      </c>
      <c r="L1034" s="73" t="s">
        <v>2856</v>
      </c>
      <c r="M1034" s="78">
        <v>45756.504537037035</v>
      </c>
      <c r="N1034" s="81"/>
      <c r="O1034" s="81"/>
      <c r="P1034" s="78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0</v>
      </c>
      <c r="R1034" s="78" t="s">
        <v>508</v>
      </c>
      <c r="S1034" s="73"/>
    </row>
    <row r="1035" spans="1:19">
      <c r="A1035" s="76" t="s">
        <v>2939</v>
      </c>
      <c r="B1035" s="73" t="str">
        <f>IFERROR(VLOOKUP(Proc[[#This Row],[App]],Table2[],3,0),"open")</f>
        <v>open</v>
      </c>
      <c r="C1035" s="76" t="s">
        <v>370</v>
      </c>
      <c r="D1035" s="76" t="s">
        <v>2958</v>
      </c>
      <c r="E1035" s="76" t="s">
        <v>1955</v>
      </c>
      <c r="F1035" s="73"/>
      <c r="G1035" s="76" t="s">
        <v>400</v>
      </c>
      <c r="H1035" s="73" t="str">
        <f>IF(Proc[[#This Row],[type]]="LFF (MDG-F)",MID(Proc[[#This Row],[Obj]],13,10),"")</f>
        <v/>
      </c>
      <c r="J1035" s="73" t="b">
        <f>Proc[[#This Row],[Requested]]=Proc[[#This Row],[CurrentParent]]</f>
        <v>0</v>
      </c>
      <c r="K1035" s="73" t="str">
        <f>IF(Proc[[#This Row],[Author]]="Marcela Urrego",VLOOKUP(LEFT(Proc[[#This Row],[Requested]],1),Table3[#All],2,0),VLOOKUP(Proc[[#This Row],[Author]],Table4[],2,0))</f>
        <v>LS</v>
      </c>
      <c r="L1035" s="73" t="s">
        <v>2856</v>
      </c>
      <c r="M1035" s="78">
        <v>45756.504537037035</v>
      </c>
      <c r="N1035" s="81"/>
      <c r="O1035" s="81"/>
      <c r="P1035" s="78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0</v>
      </c>
      <c r="R1035" s="78" t="s">
        <v>508</v>
      </c>
      <c r="S1035" s="73"/>
    </row>
    <row r="1036" spans="1:19">
      <c r="A1036" s="76" t="s">
        <v>2939</v>
      </c>
      <c r="B1036" s="73" t="str">
        <f>IFERROR(VLOOKUP(Proc[[#This Row],[App]],Table2[],3,0),"open")</f>
        <v>open</v>
      </c>
      <c r="C1036" s="76" t="s">
        <v>370</v>
      </c>
      <c r="D1036" s="76" t="s">
        <v>2959</v>
      </c>
      <c r="E1036" s="76" t="s">
        <v>1955</v>
      </c>
      <c r="F1036" s="73"/>
      <c r="G1036" s="76" t="s">
        <v>400</v>
      </c>
      <c r="H1036" s="73" t="str">
        <f>IF(Proc[[#This Row],[type]]="LFF (MDG-F)",MID(Proc[[#This Row],[Obj]],13,10),"")</f>
        <v/>
      </c>
      <c r="J1036" s="73" t="b">
        <f>Proc[[#This Row],[Requested]]=Proc[[#This Row],[CurrentParent]]</f>
        <v>0</v>
      </c>
      <c r="K1036" s="73" t="str">
        <f>IF(Proc[[#This Row],[Author]]="Marcela Urrego",VLOOKUP(LEFT(Proc[[#This Row],[Requested]],1),Table3[#All],2,0),VLOOKUP(Proc[[#This Row],[Author]],Table4[],2,0))</f>
        <v>LS</v>
      </c>
      <c r="L1036" s="73" t="s">
        <v>2856</v>
      </c>
      <c r="M1036" s="78">
        <v>45756.504537037035</v>
      </c>
      <c r="N1036" s="81"/>
      <c r="O1036" s="81"/>
      <c r="P1036" s="78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0</v>
      </c>
      <c r="R1036" s="78" t="s">
        <v>508</v>
      </c>
      <c r="S1036" s="73"/>
    </row>
    <row r="1037" spans="1:19">
      <c r="A1037" s="76" t="s">
        <v>2939</v>
      </c>
      <c r="B1037" s="73" t="str">
        <f>IFERROR(VLOOKUP(Proc[[#This Row],[App]],Table2[],3,0),"open")</f>
        <v>open</v>
      </c>
      <c r="C1037" s="76" t="s">
        <v>370</v>
      </c>
      <c r="D1037" s="76" t="s">
        <v>2960</v>
      </c>
      <c r="E1037" s="76" t="s">
        <v>1955</v>
      </c>
      <c r="F1037" s="73"/>
      <c r="G1037" s="76" t="s">
        <v>400</v>
      </c>
      <c r="H1037" s="73" t="str">
        <f>IF(Proc[[#This Row],[type]]="LFF (MDG-F)",MID(Proc[[#This Row],[Obj]],13,10),"")</f>
        <v/>
      </c>
      <c r="J1037" s="73" t="b">
        <f>Proc[[#This Row],[Requested]]=Proc[[#This Row],[CurrentParent]]</f>
        <v>0</v>
      </c>
      <c r="K1037" s="73" t="str">
        <f>IF(Proc[[#This Row],[Author]]="Marcela Urrego",VLOOKUP(LEFT(Proc[[#This Row],[Requested]],1),Table3[#All],2,0),VLOOKUP(Proc[[#This Row],[Author]],Table4[],2,0))</f>
        <v>LS</v>
      </c>
      <c r="L1037" s="73" t="s">
        <v>2856</v>
      </c>
      <c r="M1037" s="78">
        <v>45756.504537037035</v>
      </c>
      <c r="N1037" s="81"/>
      <c r="O1037" s="81"/>
      <c r="P1037" s="78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0</v>
      </c>
      <c r="R1037" s="78" t="s">
        <v>508</v>
      </c>
      <c r="S1037" s="73"/>
    </row>
    <row r="1038" spans="1:19">
      <c r="A1038" s="76" t="s">
        <v>2939</v>
      </c>
      <c r="B1038" s="73" t="str">
        <f>IFERROR(VLOOKUP(Proc[[#This Row],[App]],Table2[],3,0),"open")</f>
        <v>open</v>
      </c>
      <c r="C1038" s="76" t="s">
        <v>370</v>
      </c>
      <c r="D1038" s="76" t="s">
        <v>2961</v>
      </c>
      <c r="E1038" s="76" t="s">
        <v>1955</v>
      </c>
      <c r="F1038" s="73"/>
      <c r="G1038" s="76" t="s">
        <v>400</v>
      </c>
      <c r="H1038" s="73" t="str">
        <f>IF(Proc[[#This Row],[type]]="LFF (MDG-F)",MID(Proc[[#This Row],[Obj]],13,10),"")</f>
        <v/>
      </c>
      <c r="J1038" s="73" t="b">
        <f>Proc[[#This Row],[Requested]]=Proc[[#This Row],[CurrentParent]]</f>
        <v>0</v>
      </c>
      <c r="K1038" s="73" t="str">
        <f>IF(Proc[[#This Row],[Author]]="Marcela Urrego",VLOOKUP(LEFT(Proc[[#This Row],[Requested]],1),Table3[#All],2,0),VLOOKUP(Proc[[#This Row],[Author]],Table4[],2,0))</f>
        <v>LS</v>
      </c>
      <c r="L1038" s="73" t="s">
        <v>2856</v>
      </c>
      <c r="M1038" s="78">
        <v>45756.504537037035</v>
      </c>
      <c r="N1038" s="81"/>
      <c r="O1038" s="81"/>
      <c r="P1038" s="78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0</v>
      </c>
      <c r="R1038" s="78" t="s">
        <v>508</v>
      </c>
      <c r="S1038" s="73"/>
    </row>
    <row r="1039" spans="1:19">
      <c r="A1039" s="76" t="s">
        <v>2939</v>
      </c>
      <c r="B1039" s="73" t="str">
        <f>IFERROR(VLOOKUP(Proc[[#This Row],[App]],Table2[],3,0),"open")</f>
        <v>open</v>
      </c>
      <c r="C1039" s="76" t="s">
        <v>370</v>
      </c>
      <c r="D1039" s="76" t="s">
        <v>2962</v>
      </c>
      <c r="E1039" s="76" t="s">
        <v>1955</v>
      </c>
      <c r="F1039" s="73"/>
      <c r="G1039" s="76" t="s">
        <v>400</v>
      </c>
      <c r="H1039" s="73" t="str">
        <f>IF(Proc[[#This Row],[type]]="LFF (MDG-F)",MID(Proc[[#This Row],[Obj]],13,10),"")</f>
        <v/>
      </c>
      <c r="J1039" s="73" t="b">
        <f>Proc[[#This Row],[Requested]]=Proc[[#This Row],[CurrentParent]]</f>
        <v>0</v>
      </c>
      <c r="K1039" s="73" t="str">
        <f>IF(Proc[[#This Row],[Author]]="Marcela Urrego",VLOOKUP(LEFT(Proc[[#This Row],[Requested]],1),Table3[#All],2,0),VLOOKUP(Proc[[#This Row],[Author]],Table4[],2,0))</f>
        <v>LS</v>
      </c>
      <c r="L1039" s="73" t="s">
        <v>2856</v>
      </c>
      <c r="M1039" s="78">
        <v>45756.504537037035</v>
      </c>
      <c r="N1039" s="81"/>
      <c r="O1039" s="81"/>
      <c r="P1039" s="78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0</v>
      </c>
      <c r="R1039" s="78" t="s">
        <v>508</v>
      </c>
      <c r="S1039" s="73"/>
    </row>
    <row r="1040" spans="1:19">
      <c r="A1040" s="76" t="s">
        <v>2939</v>
      </c>
      <c r="B1040" s="73" t="str">
        <f>IFERROR(VLOOKUP(Proc[[#This Row],[App]],Table2[],3,0),"open")</f>
        <v>open</v>
      </c>
      <c r="C1040" s="76" t="s">
        <v>370</v>
      </c>
      <c r="D1040" s="76" t="s">
        <v>2963</v>
      </c>
      <c r="E1040" s="76" t="s">
        <v>1955</v>
      </c>
      <c r="F1040" s="73"/>
      <c r="G1040" s="76" t="s">
        <v>400</v>
      </c>
      <c r="H1040" s="73" t="str">
        <f>IF(Proc[[#This Row],[type]]="LFF (MDG-F)",MID(Proc[[#This Row],[Obj]],13,10),"")</f>
        <v/>
      </c>
      <c r="J1040" s="73" t="b">
        <f>Proc[[#This Row],[Requested]]=Proc[[#This Row],[CurrentParent]]</f>
        <v>0</v>
      </c>
      <c r="K1040" s="73" t="str">
        <f>IF(Proc[[#This Row],[Author]]="Marcela Urrego",VLOOKUP(LEFT(Proc[[#This Row],[Requested]],1),Table3[#All],2,0),VLOOKUP(Proc[[#This Row],[Author]],Table4[],2,0))</f>
        <v>LS</v>
      </c>
      <c r="L1040" s="73" t="s">
        <v>2856</v>
      </c>
      <c r="M1040" s="78">
        <v>45756.504537037035</v>
      </c>
      <c r="N1040" s="81"/>
      <c r="O1040" s="81"/>
      <c r="P1040" s="78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0</v>
      </c>
      <c r="R1040" s="78" t="s">
        <v>508</v>
      </c>
      <c r="S1040" s="73"/>
    </row>
    <row r="1041" spans="1:19">
      <c r="A1041" s="76" t="s">
        <v>2939</v>
      </c>
      <c r="B1041" s="73" t="str">
        <f>IFERROR(VLOOKUP(Proc[[#This Row],[App]],Table2[],3,0),"open")</f>
        <v>open</v>
      </c>
      <c r="C1041" s="76" t="s">
        <v>370</v>
      </c>
      <c r="D1041" s="76" t="s">
        <v>2964</v>
      </c>
      <c r="E1041" s="76" t="s">
        <v>1955</v>
      </c>
      <c r="F1041" s="73"/>
      <c r="G1041" s="76" t="s">
        <v>400</v>
      </c>
      <c r="H1041" s="73" t="str">
        <f>IF(Proc[[#This Row],[type]]="LFF (MDG-F)",MID(Proc[[#This Row],[Obj]],13,10),"")</f>
        <v/>
      </c>
      <c r="J1041" s="73" t="b">
        <f>Proc[[#This Row],[Requested]]=Proc[[#This Row],[CurrentParent]]</f>
        <v>0</v>
      </c>
      <c r="K1041" s="73" t="str">
        <f>IF(Proc[[#This Row],[Author]]="Marcela Urrego",VLOOKUP(LEFT(Proc[[#This Row],[Requested]],1),Table3[#All],2,0),VLOOKUP(Proc[[#This Row],[Author]],Table4[],2,0))</f>
        <v>LS</v>
      </c>
      <c r="L1041" s="73" t="s">
        <v>2856</v>
      </c>
      <c r="M1041" s="78">
        <v>45756.504537037035</v>
      </c>
      <c r="N1041" s="81"/>
      <c r="O1041" s="81"/>
      <c r="P1041" s="78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0</v>
      </c>
      <c r="R1041" s="78" t="s">
        <v>508</v>
      </c>
      <c r="S1041" s="73"/>
    </row>
    <row r="1042" spans="1:19">
      <c r="A1042" s="76" t="s">
        <v>2939</v>
      </c>
      <c r="B1042" s="73" t="str">
        <f>IFERROR(VLOOKUP(Proc[[#This Row],[App]],Table2[],3,0),"open")</f>
        <v>open</v>
      </c>
      <c r="C1042" s="76" t="s">
        <v>370</v>
      </c>
      <c r="D1042" s="76" t="s">
        <v>2965</v>
      </c>
      <c r="E1042" s="76" t="s">
        <v>1955</v>
      </c>
      <c r="F1042" s="73"/>
      <c r="G1042" s="76" t="s">
        <v>400</v>
      </c>
      <c r="H1042" s="73" t="str">
        <f>IF(Proc[[#This Row],[type]]="LFF (MDG-F)",MID(Proc[[#This Row],[Obj]],13,10),"")</f>
        <v/>
      </c>
      <c r="J1042" s="73" t="b">
        <f>Proc[[#This Row],[Requested]]=Proc[[#This Row],[CurrentParent]]</f>
        <v>0</v>
      </c>
      <c r="K1042" s="73" t="str">
        <f>IF(Proc[[#This Row],[Author]]="Marcela Urrego",VLOOKUP(LEFT(Proc[[#This Row],[Requested]],1),Table3[#All],2,0),VLOOKUP(Proc[[#This Row],[Author]],Table4[],2,0))</f>
        <v>LS</v>
      </c>
      <c r="L1042" s="73" t="s">
        <v>2856</v>
      </c>
      <c r="M1042" s="78">
        <v>45756.504537037035</v>
      </c>
      <c r="N1042" s="81"/>
      <c r="O1042" s="81"/>
      <c r="P1042" s="78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0</v>
      </c>
      <c r="R1042" s="78" t="s">
        <v>508</v>
      </c>
      <c r="S1042" s="73"/>
    </row>
  </sheetData>
  <phoneticPr fontId="0" type="noConversion"/>
  <conditionalFormatting sqref="D642">
    <cfRule type="duplicateValues" dxfId="3" priority="3"/>
  </conditionalFormatting>
  <conditionalFormatting sqref="D1017:D1042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F9D1D-7EA4-482E-8FF7-AA7F43428A07}">
  <dimension ref="A1:A26"/>
  <sheetViews>
    <sheetView workbookViewId="0">
      <selection sqref="A1:A26"/>
    </sheetView>
  </sheetViews>
  <sheetFormatPr defaultRowHeight="15"/>
  <sheetData>
    <row r="1" spans="1:1">
      <c r="A1" s="80" t="s">
        <v>2940</v>
      </c>
    </row>
    <row r="2" spans="1:1">
      <c r="A2" s="80" t="s">
        <v>2941</v>
      </c>
    </row>
    <row r="3" spans="1:1">
      <c r="A3" s="76" t="s">
        <v>2942</v>
      </c>
    </row>
    <row r="4" spans="1:1">
      <c r="A4" s="76" t="s">
        <v>2943</v>
      </c>
    </row>
    <row r="5" spans="1:1">
      <c r="A5" s="76" t="s">
        <v>2944</v>
      </c>
    </row>
    <row r="6" spans="1:1">
      <c r="A6" s="76" t="s">
        <v>2945</v>
      </c>
    </row>
    <row r="7" spans="1:1">
      <c r="A7" s="76" t="s">
        <v>2946</v>
      </c>
    </row>
    <row r="8" spans="1:1">
      <c r="A8" s="76" t="s">
        <v>2947</v>
      </c>
    </row>
    <row r="9" spans="1:1">
      <c r="A9" s="76" t="s">
        <v>2948</v>
      </c>
    </row>
    <row r="10" spans="1:1">
      <c r="A10" s="76" t="s">
        <v>2949</v>
      </c>
    </row>
    <row r="11" spans="1:1">
      <c r="A11" s="76" t="s">
        <v>2950</v>
      </c>
    </row>
    <row r="12" spans="1:1">
      <c r="A12" s="76" t="s">
        <v>2951</v>
      </c>
    </row>
    <row r="13" spans="1:1">
      <c r="A13" s="76" t="s">
        <v>2952</v>
      </c>
    </row>
    <row r="14" spans="1:1">
      <c r="A14" s="76" t="s">
        <v>2953</v>
      </c>
    </row>
    <row r="15" spans="1:1">
      <c r="A15" s="76" t="s">
        <v>2954</v>
      </c>
    </row>
    <row r="16" spans="1:1">
      <c r="A16" s="76" t="s">
        <v>2955</v>
      </c>
    </row>
    <row r="17" spans="1:1">
      <c r="A17" s="76" t="s">
        <v>2956</v>
      </c>
    </row>
    <row r="18" spans="1:1">
      <c r="A18" s="76" t="s">
        <v>2957</v>
      </c>
    </row>
    <row r="19" spans="1:1">
      <c r="A19" s="76" t="s">
        <v>2958</v>
      </c>
    </row>
    <row r="20" spans="1:1">
      <c r="A20" s="76" t="s">
        <v>2959</v>
      </c>
    </row>
    <row r="21" spans="1:1">
      <c r="A21" s="76" t="s">
        <v>2960</v>
      </c>
    </row>
    <row r="22" spans="1:1">
      <c r="A22" s="76" t="s">
        <v>2961</v>
      </c>
    </row>
    <row r="23" spans="1:1">
      <c r="A23" s="76" t="s">
        <v>2962</v>
      </c>
    </row>
    <row r="24" spans="1:1">
      <c r="A24" s="76" t="s">
        <v>2963</v>
      </c>
    </row>
    <row r="25" spans="1:1">
      <c r="A25" s="76" t="s">
        <v>2964</v>
      </c>
    </row>
    <row r="26" spans="1:1">
      <c r="A26" s="76" t="s">
        <v>2965</v>
      </c>
    </row>
  </sheetData>
  <conditionalFormatting sqref="A1:A2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2025-04-09T14:25:41Z</dcterms:modified>
  <cp:category/>
  <cp:contentStatus/>
</cp:coreProperties>
</file>