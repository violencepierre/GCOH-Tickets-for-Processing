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63AFDC79-8DB9-4822-94D3-9283F97A1AA2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12" i="1" l="1"/>
  <c r="J4712" i="1"/>
  <c r="K4712" i="1"/>
  <c r="Q4712" i="1"/>
  <c r="P4712" i="1" s="1"/>
  <c r="B4712" i="1"/>
  <c r="H4711" i="1"/>
  <c r="J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J4709" i="1"/>
  <c r="K4709" i="1"/>
  <c r="B4708" i="1"/>
  <c r="H4708" i="1"/>
  <c r="J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J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J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<sst xmlns="http://schemas.openxmlformats.org/spreadsheetml/2006/main" count="41639" uniqueCount="6941">
  <si>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</si>
  <si>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</si>
  <si>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</si>
  <si>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</si>
  <si>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</si>
  <si>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</si>
  <si>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</si>
  <si>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</si>
  <si>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</si>
  <si>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</si>
  <si>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</si>
  <si>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</si>
  <si>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</si>
  <si>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</si>
  <si>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</si>
  <si>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</si>
  <si>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</si>
  <si>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</si>
  <si>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</si>
  <si>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</si>
  <si>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</si>
  <si>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</si>
  <si>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</si>
  <si>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</si>
  <si>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</si>
  <si>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</si>
  <si>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</si>
  <si>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</si>
  <si>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</si>
  <si>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</si>
  <si>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</si>
  <si>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</si>
  <si>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</si>
  <si>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</si>
  <si>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</si>
  <si>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</si>
  <si>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</si>
  <si>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</si>
  <si>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</si>
  <si>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</si>
  <si>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</si>
  <si>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</si>
  <si>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</si>
  <si>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</si>
  <si>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</si>
  <si>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</si>
  <si>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</si>
  <si>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</si>
  <si>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</si>
  <si>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</si>
  <si>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</si>
  <si>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</si>
  <si>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</si>
  <si>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</si>
  <si>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</si>
  <si>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</si>
  <si>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</si>
  <si>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</si>
  <si>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</si>
  <si>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</si>
  <si>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</si>
  <si>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</si>
  <si>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</si>
  <si>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</si>
  <si>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</si>
  <si>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</si>
  <si>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</si>
  <si>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</si>
  <si>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</si>
  <si>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</si>
  <si>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</si>
  <si>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</si>
  <si>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</si>
  <si>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</si>
  <si>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</si>
  <si>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</si>
  <si>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</si>
  <si>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</si>
  <si>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</si>
  <si>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</si>
  <si>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</si>
  <si>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</si>
  <si>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</si>
  <si>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</si>
  <si>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</si>
  <si>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</si>
  <si>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</si>
  <si>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</si>
  <si>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</si>
  <si>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</si>
  <si>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</si>
  <si>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</si>
  <si>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</si>
  <si>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</si>
  <si>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</si>
  <si>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</si>
  <si>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</si>
  <si>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</si>
  <si>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</si>
  <si>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</si>
  <si>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</si>
  <si>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</si>
  <si>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</si>
  <si>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</si>
  <si>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</si>
  <si>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</si>
  <si>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</si>
  <si>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</si>
  <si>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</si>
  <si>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</si>
  <si>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</si>
  <si>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</si>
  <si>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</si>
  <si>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</si>
  <si>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</si>
  <si>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</si>
  <si>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</si>
  <si>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</si>
  <si>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</si>
  <si>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</si>
  <si>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</si>
  <si>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</si>
  <si>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</si>
  <si>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</si>
  <si>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</si>
  <si>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</si>
  <si>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</si>
  <si>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</si>
  <si>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</si>
  <si>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</si>
  <si>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</si>
  <si>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</si>
  <si>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</si>
  <si>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</si>
  <si>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</si>
  <si>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</si>
  <si>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</si>
  <si>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</si>
  <si>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</si>
  <si>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</si>
  <si>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</si>
  <si>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</si>
  <si>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</si>
  <si>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</si>
  <si>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</si>
  <si>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</si>
  <si>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</si>
  <si>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</si>
  <si>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</si>
  <si>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</si>
  <si>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</si>
  <si>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</si>
  <si>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</si>
  <si>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</si>
  <si>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</si>
  <si>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</si>
  <si>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</si>
  <si>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</si>
  <si>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</si>
  <si>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</si>
  <si>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</si>
  <si>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</si>
  <si>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</si>
  <si>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</si>
  <si>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</si>
  <si>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</si>
  <si>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</si>
  <si>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</si>
  <si>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</si>
  <si>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</si>
  <si>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</si>
  <si>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</si>
  <si>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</si>
  <si>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</si>
  <si>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</si>
  <si>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</si>
  <si>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</si>
  <si>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</si>
  <si>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</si>
  <si>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</si>
  <si>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</si>
  <si>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</si>
  <si>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</si>
  <si>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</si>
  <si>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</si>
  <si>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</si>
  <si>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</si>
  <si>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</si>
  <si>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</si>
  <si>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</si>
  <si>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</si>
  <si>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</si>
  <si>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</si>
  <si>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</si>
  <si>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</si>
  <si>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</si>
  <si>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</si>
  <si>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</si>
  <si>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</si>
  <si>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</si>
  <si>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</si>
  <si>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</si>
  <si>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</si>
  <si>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</si>
  <si>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</si>
  <si>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</si>
  <si>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</si>
  <si>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</si>
  <si>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</si>
  <si>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</si>
  <si>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</si>
  <si>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</si>
  <si>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</si>
  <si>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</si>
  <si>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</si>
  <si>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</si>
  <si>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</si>
  <si>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</si>
  <si>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</si>
  <si>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</si>
  <si>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</si>
  <si>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</si>
  <si>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</si>
  <si>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</si>
  <si>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</si>
  <si>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</si>
  <si>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</si>
  <si>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</si>
  <si>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</si>
  <si>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</si>
  <si>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</si>
  <si>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</si>
  <si>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</si>
  <si>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</si>
  <si>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</si>
  <si>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</si>
  <si>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</si>
  <si>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</si>
  <si>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</si>
  <si>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</si>
  <si>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</si>
  <si>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</si>
  <si>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</si>
  <si>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</si>
  <si>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</si>
  <si>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</si>
  <si>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</si>
  <si>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</si>
  <si>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</si>
  <si>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</si>
  <si>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</si>
  <si>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</si>
  <si>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</si>
  <si>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</si>
  <si>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</si>
  <si>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</si>
  <si>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</si>
  <si>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</si>
  <si>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</si>
  <si>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</si>
  <si>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</si>
  <si>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</si>
  <si>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</si>
  <si>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</si>
  <si>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</si>
  <si>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</si>
  <si>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</si>
  <si>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</si>
  <si>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</si>
  <si>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</si>
  <si>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</si>
  <si>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</si>
  <si>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</si>
  <si>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</si>
  <si>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</si>
  <si>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</si>
  <si>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</si>
  <si>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</si>
  <si>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</si>
  <si>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</si>
  <si>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</si>
  <si>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</si>
  <si>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</si>
  <si>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</si>
  <si>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</si>
  <si>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</si>
  <si>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</si>
  <si>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</si>
  <si>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</si>
  <si>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</si>
  <si>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</si>
  <si>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</si>
  <si>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</si>
  <si>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</si>
  <si>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</si>
  <si>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</si>
  <si>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</si>
  <si>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</si>
  <si>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</si>
  <si>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</si>
  <si>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</si>
  <si>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</si>
  <si>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</si>
  <si>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</si>
  <si>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</si>
  <si>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</si>
  <si>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</si>
  <si>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</si>
  <si>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</si>
  <si>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</si>
  <si>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</si>
  <si>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</si>
  <si>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</si>
  <si>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</si>
  <si>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</si>
  <si>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</si>
  <si>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</si>
  <si>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</si>
  <si>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</si>
  <si>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</si>
  <si>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</si>
  <si>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</si>
  <si>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</si>
  <si>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</si>
  <si>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</si>
  <si>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</si>
  <si>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</si>
  <si>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</si>
  <si>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</si>
  <si>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</si>
  <si>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</si>
  <si>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</si>
  <si>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</si>
  <si>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</si>
  <si>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</si>
  <si>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</si>
  <si>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</si>
  <si>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</si>
  <si>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</si>
  <si>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</si>
  <si>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</si>
  <si>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</si>
  <si>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</si>
  <si>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</si>
  <si>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</si>
  <si>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</si>
  <si>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</si>
  <si>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</si>
  <si>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</si>
  <si>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</si>
  <si>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</si>
  <si>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</si>
  <si>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</si>
  <si>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</si>
  <si>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</si>
  <si>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</si>
  <si>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</si>
  <si>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</si>
  <si>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</si>
  <si>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</si>
  <si>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</si>
  <si>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</si>
  <si>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</si>
  <si>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</si>
  <si>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</si>
  <si>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</si>
  <si>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</si>
  <si>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</si>
  <si>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</si>
  <si>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</si>
  <si>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</si>
  <si>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</si>
  <si>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</si>
  <si>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</si>
  <si>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</si>
  <si>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</si>
  <si>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</si>
  <si>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</si>
  <si>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</si>
  <si>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</si>
  <si>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</si>
  <si>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</si>
  <si>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</si>
  <si>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</si>
  <si>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</si>
  <si>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</si>
  <si>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</si>
  <si>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</si>
  <si>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</si>
  <si>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</si>
  <si>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</si>
  <si>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</si>
  <si>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</si>
  <si>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</si>
  <si>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</si>
  <si>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</si>
  <si>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</si>
  <si>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</si>
  <si>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</si>
  <si>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</si>
  <si>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</si>
  <si>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</si>
  <si>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</si>
  <si>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</si>
  <si>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</si>
  <si>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</si>
  <si>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</si>
  <si>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</si>
  <si>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</si>
  <si>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</si>
  <si>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</si>
  <si>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</si>
  <si>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</si>
  <si>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</si>
  <si>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</si>
  <si>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</si>
  <si>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</si>
  <si>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</si>
  <si>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</si>
  <si>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</si>
  <si>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</si>
  <si>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</si>
  <si>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</si>
  <si>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</si>
  <si>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</si>
  <si>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</si>
  <si>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</si>
  <si>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</si>
  <si>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</si>
  <si>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</si>
  <si>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</si>
  <si>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</si>
  <si>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</si>
  <si>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</si>
  <si>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</si>
  <si>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</si>
  <si>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</si>
  <si>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</si>
  <si>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</si>
  <si>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</si>
  <si>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</si>
  <si>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</si>
  <si>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</si>
  <si>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</si>
  <si>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</si>
  <si>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</si>
  <si>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</si>
  <si>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</si>
  <si>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</si>
  <si>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</si>
  <si>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</si>
  <si>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</si>
  <si>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</si>
  <si>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</si>
  <si>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</si>
  <si>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</si>
  <si>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</si>
  <si>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</si>
  <si>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</si>
  <si>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</si>
  <si>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</si>
  <si>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</si>
  <si>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</si>
  <si>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</si>
  <si>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</si>
  <si>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</si>
  <si>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</si>
  <si>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</si>
  <si>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</si>
  <si>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</si>
  <si>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</si>
  <si>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</si>
  <si>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</si>
  <si>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</si>
  <si>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</si>
  <si>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</si>
  <si>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</si>
  <si>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</si>
  <si>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</si>
  <si>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</si>
  <si>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</si>
  <si>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</si>
  <si>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</si>
  <si>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</si>
  <si>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</si>
  <si>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</si>
  <si>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</si>
  <si>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</si>
  <si>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</si>
  <si>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</si>
  <si>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</si>
  <si>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</si>
  <si>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</si>
  <si>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</si>
  <si>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</si>
  <si>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</si>
  <si>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</si>
  <si>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</si>
  <si>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</si>
  <si>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</si>
  <si>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</si>
  <si>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</si>
  <si>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</si>
  <si>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</si>
  <si>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</si>
  <si>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</si>
  <si>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</si>
  <si>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</si>
  <si>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</si>
  <si>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</si>
  <si>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</si>
  <si>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</si>
  <si>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</si>
  <si>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</si>
  <si>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</si>
  <si>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</si>
  <si>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</si>
  <si>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</si>
  <si>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</si>
  <si>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</si>
  <si>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</si>
  <si>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</si>
  <si>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</si>
  <si>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</si>
  <si>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</si>
  <si>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</si>
  <si>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</si>
  <si>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</si>
  <si>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</si>
  <si>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</si>
  <si>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</si>
  <si>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</si>
  <si>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</si>
  <si>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</si>
  <si>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</si>
  <si>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</si>
  <si>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</si>
  <si>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</si>
  <si>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</si>
  <si>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</si>
  <si>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</si>
  <si>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</si>
  <si>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</si>
  <si>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</si>
  <si>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</si>
  <si>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</si>
  <si>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</si>
  <si>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</si>
  <si>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</si>
  <si>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</si>
  <si>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</si>
  <si>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</si>
  <si>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</si>
  <si>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</si>
  <si>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</si>
  <si>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</si>
  <si>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</si>
  <si>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</si>
  <si>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</si>
  <si>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</si>
  <si>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</si>
  <si>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</si>
  <si>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</si>
  <si>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</si>
  <si>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</si>
  <si>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</si>
  <si>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</si>
  <si>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</si>
  <si>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</si>
  <si>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</si>
  <si>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</si>
  <si>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</si>
  <si>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</si>
  <si>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</si>
  <si>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</si>
  <si>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</si>
  <si>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</si>
  <si>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</si>
  <si>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</si>
  <si>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</si>
  <si>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</si>
  <si>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</si>
  <si>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</si>
  <si>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</si>
  <si>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</si>
  <si>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</si>
  <si>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</si>
  <si>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</si>
  <si>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</si>
  <si>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</si>
  <si>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</si>
  <si>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</si>
  <si>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</si>
  <si>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</si>
  <si>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</si>
  <si>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</si>
  <si>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</si>
  <si>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</si>
  <si>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</si>
  <si>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</si>
  <si>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</si>
  <si>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</si>
  <si>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</si>
  <si>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</si>
  <si>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</si>
  <si>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</si>
  <si>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</si>
  <si>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</si>
  <si>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</si>
  <si>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</si>
  <si>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</si>
  <si>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</si>
  <si>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</si>
  <si>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</si>
  <si>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</si>
  <si>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</si>
  <si>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</si>
  <si>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</si>
  <si>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</si>
  <si>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</si>
  <si>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</si>
  <si>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</si>
  <si>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</si>
  <si>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</si>
  <si>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</si>
  <si>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</si>
  <si>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</si>
  <si>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</si>
  <si>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</si>
  <si>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</si>
  <si>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</si>
  <si>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</si>
  <si>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</si>
  <si>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</si>
  <si>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</si>
  <si>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</si>
  <si>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</si>
  <si>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</si>
  <si>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</si>
  <si>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</si>
  <si>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</si>
  <si>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</si>
  <si>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</si>
  <si>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</si>
  <si>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</si>
  <si>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</si>
  <si>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</si>
  <si>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</si>
  <si>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</si>
  <si>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</si>
  <si>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</si>
  <si>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</si>
  <si>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</si>
  <si>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</si>
  <si>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</si>
  <si>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</si>
  <si>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</si>
  <si>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</si>
  <si>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</si>
  <si>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</si>
  <si>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</si>
  <si>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</si>
  <si>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</si>
  <si>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</si>
  <si>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</si>
  <si>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</si>
  <si>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</si>
  <si>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</si>
  <si>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</si>
  <si>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</si>
  <si>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</si>
  <si>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</si>
  <si>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</si>
  <si>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</si>
  <si>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</si>
  <si>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</si>
  <si>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</si>
  <si>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</si>
  <si>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</si>
  <si>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</si>
  <si>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</si>
  <si>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</si>
  <si>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</si>
  <si>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</si>
  <si>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</si>
  <si>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</si>
  <si>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</si>
  <si>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</si>
  <si>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</si>
  <si>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</si>
  <si>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</si>
  <si>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</si>
  <si>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</si>
  <si>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</si>
  <si>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</si>
  <si>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</si>
  <si>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</si>
  <si>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</si>
  <si>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</si>
  <si>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</si>
  <si>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</si>
  <si>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</si>
  <si>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</si>
  <si>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</si>
  <si>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</si>
  <si>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</si>
  <si>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</si>
  <si>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</si>
  <si>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</si>
  <si>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</si>
  <si>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</si>
  <si>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</si>
  <si>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</si>
  <si>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</si>
  <si>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</si>
  <si>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</si>
  <si>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</si>
  <si>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</si>
  <si>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</si>
  <si>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</si>
  <si>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</si>
  <si>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</si>
  <si>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</si>
  <si>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</si>
  <si>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</si>
  <si>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</si>
  <si>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</si>
  <si>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</si>
  <si>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</si>
  <si>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</si>
  <si>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</si>
  <si>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</si>
  <si>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</si>
  <si>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</si>
  <si>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</si>
  <si>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</si>
  <si>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</si>
  <si>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</si>
  <si>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</si>
  <si>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</si>
  <si>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</si>
  <si>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</si>
  <si>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</si>
  <si>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</si>
  <si>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</si>
  <si>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</si>
  <si>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</si>
  <si>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</si>
  <si>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</si>
  <si>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</si>
  <si>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</si>
  <si>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</si>
  <si>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</si>
  <si>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</si>
  <si>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</si>
  <si>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</si>
  <si>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</si>
  <si>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</si>
  <si>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</si>
  <si>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</si>
  <si>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</si>
  <si>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</si>
  <si>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</si>
  <si>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</si>
  <si>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</si>
  <si>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</si>
  <si>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</si>
  <si>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</si>
  <si>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</si>
  <si>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</si>
  <si>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</si>
  <si>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</si>
  <si>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</si>
  <si>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</si>
  <si>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</si>
  <si>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</si>
  <si>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</si>
  <si>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</si>
  <si>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</si>
  <si>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</si>
  <si>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</si>
  <si>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</si>
  <si>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</si>
  <si>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</si>
  <si>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</si>
  <si>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</si>
  <si>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</si>
  <si>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</si>
  <si>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</si>
  <si>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</si>
  <si>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</si>
  <si>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</si>
  <si>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</si>
  <si>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</si>
  <si>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</si>
  <si>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</si>
  <si>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</si>
  <si>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</si>
  <si>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</si>
  <si>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</si>
  <si>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</si>
  <si>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</si>
  <si>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</si>
  <si>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</si>
  <si>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</si>
  <si>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</si>
  <si>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</si>
  <si>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</si>
  <si>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</si>
  <si>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</si>
  <si>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</si>
  <si>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</si>
  <si>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</si>
  <si>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</si>
  <si>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</si>
  <si>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</si>
  <si>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</si>
  <si>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</si>
  <si>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</si>
  <si>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</si>
  <si>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</si>
  <si>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</si>
  <si>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</si>
  <si>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</si>
  <si>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</si>
  <si>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</si>
  <si>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</si>
  <si>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</si>
  <si>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</si>
  <si>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</si>
  <si>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</si>
  <si>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</si>
  <si>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</si>
  <si>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</si>
  <si>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</si>
  <si>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</si>
  <si>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</si>
  <si>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</si>
  <si>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</si>
  <si>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</si>
  <si>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</si>
  <si>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</si>
  <si>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</si>
  <si>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</si>
  <si>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</si>
  <si>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</si>
  <si>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</si>
  <si>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</si>
  <si>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</si>
  <si>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</si>
  <si>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</si>
  <si>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</si>
  <si>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</si>
  <si>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</si>
  <si>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</si>
  <si>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</si>
  <si>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</si>
  <si>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</si>
  <si>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</si>
  <si>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</si>
  <si>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</si>
  <si>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</si>
  <si>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</si>
  <si>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</si>
  <si>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</si>
  <si>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</si>
  <si>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</si>
  <si>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</si>
  <si>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</si>
  <si>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</si>
  <si>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</si>
  <si>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</si>
  <si>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</si>
  <si>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</si>
  <si>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</si>
  <si>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</si>
  <si>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</si>
  <si>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</si>
  <si>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</si>
  <si>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</si>
  <si>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</si>
  <si>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</si>
  <si>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</si>
  <si>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</si>
  <si>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</si>
  <si>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</si>
  <si>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</si>
  <si>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</si>
  <si>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</si>
  <si>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</si>
  <si>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</si>
  <si>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</si>
  <si>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</si>
  <si>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</si>
  <si>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</si>
  <si>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</si>
  <si>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</si>
  <si>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</si>
  <si>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</si>
  <si>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</si>
  <si>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</si>
  <si>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</si>
  <si>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</si>
  <si>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</si>
  <si>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</si>
  <si>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</si>
  <si>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</si>
  <si>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</si>
  <si>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</si>
  <si>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</si>
  <si>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</si>
  <si>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</si>
  <si>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</si>
  <si>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</si>
  <si>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</si>
  <si>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</si>
  <si>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</si>
  <si>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</si>
  <si>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</si>
  <si>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</si>
  <si>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</si>
  <si>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</si>
  <si>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</si>
  <si>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</si>
  <si>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</si>
  <si>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</si>
  <si>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</si>
  <si>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</si>
  <si>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</si>
  <si>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</si>
  <si>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</si>
  <si>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</si>
  <si>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</si>
  <si>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</si>
  <si>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</si>
  <si>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</si>
  <si>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</si>
  <si>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</si>
  <si>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</si>
  <si>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</si>
  <si>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</si>
  <si>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</si>
  <si>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</si>
  <si>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</si>
  <si>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</si>
  <si>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</si>
  <si>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</si>
  <si>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</si>
  <si>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</si>
  <si>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</si>
  <si>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</si>
  <si>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</si>
  <si>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</si>
  <si>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</si>
  <si>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</si>
  <si>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</si>
  <si>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</si>
  <si>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</si>
  <si>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</si>
  <si>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</si>
  <si>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</si>
  <si>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</si>
  <si>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</si>
  <si>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</si>
  <si>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</si>
  <si>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</si>
  <si>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</si>
  <si>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</si>
  <si>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</si>
  <si>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</si>
  <si>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</si>
  <si>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</si>
  <si>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</si>
  <si>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</si>
  <si>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</si>
  <si>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</si>
  <si>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</si>
  <si>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</si>
  <si>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</si>
  <si>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</si>
  <si>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</si>
  <si>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</si>
  <si>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</si>
  <si>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</si>
  <si>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</si>
  <si>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</si>
  <si>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</si>
  <si>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</si>
  <si>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</si>
  <si>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</si>
  <si>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</si>
  <si>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</si>
  <si>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</si>
  <si>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</si>
  <si>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</si>
  <si>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</si>
  <si>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</si>
  <si>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</si>
  <si>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</si>
  <si>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</si>
  <si>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</si>
  <si>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</si>
  <si>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</si>
  <si>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</si>
  <si>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</si>
  <si>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</si>
  <si>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</si>
  <si>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</si>
  <si>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</si>
  <si>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</si>
  <si>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</si>
  <si>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</si>
  <si>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</si>
  <si>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</si>
  <si>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</si>
  <si>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</si>
  <si>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</si>
  <si>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</si>
  <si>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</si>
  <si>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</si>
  <si>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</si>
  <si>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</si>
  <si>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</si>
  <si>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</si>
  <si>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</si>
  <si>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</si>
  <si>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</si>
  <si>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</si>
  <si>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</si>
  <si>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</si>
  <si>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</si>
  <si>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</si>
  <si>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</si>
  <si>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</si>
  <si>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</si>
  <si>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</si>
  <si>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</si>
  <si>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</si>
  <si>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</si>
  <si>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</si>
  <si>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</si>
  <si>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</si>
  <si>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</si>
  <si>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</si>
  <si>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</si>
  <si>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</si>
  <si>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</si>
  <si>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</si>
  <si>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</si>
  <si>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</si>
  <si>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</si>
  <si>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</si>
  <si>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</si>
  <si>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</si>
  <si>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</si>
  <si>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</si>
  <si>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</si>
  <si>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</si>
  <si>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</si>
  <si>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</si>
  <si>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</si>
  <si>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</si>
  <si>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</si>
  <si>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</si>
  <si>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</si>
  <si>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</si>
  <si>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</si>
  <si>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</si>
  <si>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</si>
  <si>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</si>
  <si>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</si>
  <si>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</si>
  <si>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</si>
  <si>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</si>
  <si>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</si>
  <si>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</si>
  <si>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</si>
  <si>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</si>
  <si>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</si>
  <si>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</si>
  <si>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</si>
  <si>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</si>
  <si>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</si>
  <si>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</si>
  <si>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</si>
  <si>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</si>
  <si>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</si>
  <si>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</si>
  <si>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</si>
  <si>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</si>
  <si>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</si>
  <si>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</si>
  <si>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</si>
  <si>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</si>
  <si>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</si>
  <si>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</si>
  <si>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</si>
  <si>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</si>
  <si>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</si>
  <si>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</si>
  <si>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</si>
  <si>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</si>
  <si>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</si>
  <si>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</si>
  <si>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</si>
  <si>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</si>
  <si>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</si>
  <si>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</si>
  <si>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</si>
  <si>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</si>
  <si>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</si>
  <si>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</si>
  <si>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</si>
  <si>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</si>
  <si>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</si>
  <si>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</si>
  <si>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</si>
  <si>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</si>
  <si>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</si>
  <si>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</si>
  <si>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</si>
  <si>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</si>
  <si>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</si>
  <si>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</si>
  <si>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</si>
  <si>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</si>
  <si>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</si>
  <si>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</si>
  <si>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</si>
  <si>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</si>
  <si>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</si>
  <si>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</si>
  <si>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</si>
  <si>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</si>
  <si>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</si>
  <si>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</si>
  <si>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</si>
  <si>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</si>
  <si>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</si>
  <si>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</si>
  <si>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</si>
  <si>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</si>
  <si>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</si>
  <si>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</si>
  <si>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</si>
  <si>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</si>
  <si>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</si>
  <si>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</si>
  <si>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</si>
  <si>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</si>
  <si>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</si>
  <si>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</si>
  <si>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</si>
  <si>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</si>
  <si>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</si>
  <si>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</si>
  <si>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</si>
  <si>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</si>
  <si>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</si>
  <si>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</si>
  <si>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</si>
  <si>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</si>
  <si>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</si>
  <si>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</si>
  <si>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</si>
  <si>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</si>
  <si>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</si>
  <si>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</si>
  <si>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</si>
  <si>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</si>
  <si>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</si>
  <si>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</si>
  <si>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</si>
  <si>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</si>
  <si>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</si>
  <si>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</si>
  <si>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</si>
  <si>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</si>
  <si>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</si>
  <si>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</si>
  <si>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</si>
  <si>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</si>
  <si>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</si>
  <si>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</si>
  <si>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</si>
  <si>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</si>
  <si>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</si>
  <si>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</si>
  <si>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</si>
  <si>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</si>
  <si>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</si>
  <si>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</si>
  <si>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</si>
  <si>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</si>
  <si>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</si>
  <si>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</si>
  <si>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</si>
  <si>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</si>
  <si>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</si>
  <si>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</si>
  <si>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</si>
  <si>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</si>
  <si>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</si>
  <si>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</si>
  <si>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</si>
  <si>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</si>
  <si>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</si>
  <si>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</si>
  <si>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</si>
  <si>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</si>
  <si>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</si>
  <si>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</si>
  <si>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</si>
  <si>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</si>
  <si>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</si>
  <si>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</si>
  <si>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</si>
  <si>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</si>
  <si>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</si>
  <si>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</si>
  <si>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</si>
  <si>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</si>
  <si>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</si>
  <si>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</si>
  <si>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</si>
  <si>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</si>
  <si>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</si>
  <si>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</si>
  <si>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</si>
  <si>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</si>
  <si>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</si>
  <si>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</si>
  <si>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</si>
  <si>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</si>
  <si>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</si>
  <si>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</si>
  <si>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</si>
  <si>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</si>
  <si>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</si>
  <si>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</si>
  <si>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</si>
  <si>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</si>
  <si>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</si>
  <si>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</si>
  <si>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</si>
  <si>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</si>
  <si>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</si>
  <si>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</si>
  <si>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</si>
  <si>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</si>
  <si>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</si>
  <si>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</si>
  <si>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</si>
  <si>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</si>
  <si>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</si>
  <si>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</si>
  <si>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</si>
  <si>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</si>
  <si>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</si>
  <si>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</si>
  <si>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</si>
  <si>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</si>
  <si>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</si>
  <si>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</si>
  <si>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</si>
  <si>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</si>
  <si>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</si>
  <si>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</si>
  <si>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</si>
  <si>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</si>
  <si>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</si>
  <si>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</si>
  <si>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</si>
  <si>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</si>
  <si>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</si>
  <si>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</si>
  <si>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</si>
  <si>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</si>
  <si>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</si>
  <si>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</si>
  <si>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</si>
  <si>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</si>
  <si>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</si>
  <si>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</si>
  <si>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</si>
  <si>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</si>
  <si>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</si>
  <si>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</si>
  <si>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</si>
  <si>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</si>
  <si>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</si>
  <si>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</si>
  <si>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</si>
  <si>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</si>
  <si>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</si>
  <si>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</si>
  <si>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</si>
  <si>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</si>
  <si>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</si>
  <si>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</si>
  <si>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</si>
  <si>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</si>
  <si>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</si>
  <si>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</si>
  <si>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</si>
  <si>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</si>
  <si>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</si>
  <si>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</si>
  <si>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</si>
  <si>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</si>
  <si>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</si>
  <si>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</si>
  <si>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</si>
  <si>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</si>
  <si>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</si>
  <si>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</si>
  <si>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</si>
  <si>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</si>
  <si>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</si>
  <si>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</si>
  <si>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</si>
  <si>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</si>
  <si>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</si>
  <si>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</si>
  <si>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</si>
  <si>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</si>
  <si>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</si>
  <si>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</si>
  <si>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</si>
  <si>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</si>
  <si>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</si>
  <si>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</si>
  <si>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</si>
  <si>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</si>
  <si>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</si>
  <si>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</si>
  <si>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</si>
  <si>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</si>
  <si>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</si>
  <si>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</si>
  <si>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</si>
  <si>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</si>
  <si>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</si>
  <si>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</si>
  <si>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</si>
  <si>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</si>
  <si>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</si>
  <si>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</si>
  <si>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</si>
  <si>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</si>
  <si>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</si>
  <si>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</si>
  <si>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</si>
  <si>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</si>
  <si>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</si>
  <si>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</si>
  <si>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</si>
  <si>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</si>
  <si>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</si>
  <si>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</si>
  <si>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</si>
  <si>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</si>
  <si>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</si>
  <si>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</si>
  <si>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</si>
  <si>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</si>
  <si>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</si>
  <si>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</si>
  <si>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</si>
  <si>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</si>
  <si>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</si>
  <si>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</si>
  <si>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</si>
  <si>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</si>
  <si>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</si>
  <si>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</si>
  <si>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</si>
  <si>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</si>
  <si>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</si>
  <si>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</si>
  <si>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</si>
  <si>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</si>
  <si>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</si>
  <si>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</si>
  <si>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</si>
  <si>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</si>
  <si>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</si>
  <si>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</si>
  <si>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</si>
  <si>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</si>
  <si>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</si>
  <si>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</si>
  <si>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</si>
  <si>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</si>
  <si>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</si>
  <si>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</si>
  <si>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</si>
  <si>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</si>
  <si>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</si>
  <si>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</si>
  <si>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</si>
  <si>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</si>
  <si>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</si>
  <si>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</si>
  <si>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</si>
  <si>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</si>
  <si>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</si>
  <si>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</si>
  <si>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</si>
  <si>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</si>
  <si>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</si>
  <si>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</si>
  <si>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</si>
  <si>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</si>
  <si>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</si>
  <si>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</si>
  <si>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</si>
  <si>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</si>
  <si>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</si>
  <si>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</si>
  <si>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</si>
  <si>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</si>
  <si>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</si>
  <si>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</si>
  <si>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</si>
  <si>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</si>
  <si>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</si>
  <si>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</si>
  <si>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</si>
  <si>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</si>
  <si>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</si>
  <si>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</si>
  <si>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</si>
  <si>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</si>
  <si>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</si>
  <si>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</si>
  <si>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</si>
  <si>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</si>
  <si>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</si>
  <si>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</si>
  <si>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</si>
  <si>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</si>
  <si>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</si>
  <si>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</si>
  <si>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</si>
  <si>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</si>
  <si>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</si>
  <si>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</si>
  <si>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</si>
  <si>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</si>
  <si>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</si>
  <si>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</si>
  <si>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</si>
  <si>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</si>
  <si>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</si>
  <si>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</si>
  <si>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</si>
  <si>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</si>
  <si>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</si>
  <si>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</si>
  <si>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</si>
  <si>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</si>
  <si>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</si>
  <si>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</si>
  <si>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</si>
  <si>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</si>
  <si>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</si>
  <si>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</si>
  <si>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</si>
  <si>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</si>
  <si>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</si>
  <si>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</si>
  <si>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</si>
  <si>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</si>
  <si>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</si>
  <si>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</si>
  <si>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</si>
  <si>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</si>
  <si>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</si>
  <si>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</si>
  <si>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</si>
  <si>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</si>
  <si>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</si>
  <si>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</si>
  <si>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</si>
  <si>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</si>
  <si>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</si>
  <si>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</si>
  <si>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</si>
  <si>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</si>
  <si>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</si>
  <si>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</si>
  <si>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</si>
  <si>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</si>
  <si>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</si>
  <si>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</si>
  <si>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</si>
  <si>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</si>
  <si>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</si>
  <si>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</si>
  <si>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</si>
  <si>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</si>
  <si>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</si>
  <si>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</si>
  <si>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</si>
  <si>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</si>
  <si>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</si>
  <si>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</si>
  <si>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</si>
  <si>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</si>
  <si>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</si>
  <si>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</si>
  <si>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</si>
  <si>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</si>
  <si>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</si>
  <si>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</si>
  <si>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</si>
  <si>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</si>
  <si>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</si>
  <si>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</si>
  <si>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</si>
  <si>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</si>
  <si>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</si>
  <si>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</si>
  <si>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</si>
  <si>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</si>
  <si>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</si>
  <si>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</si>
  <si>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</si>
  <si>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</si>
  <si>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</si>
  <si>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</si>
  <si>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</si>
  <si>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</si>
  <si>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</si>
  <si>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</si>
  <si>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</si>
  <si>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</si>
  <si>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</si>
  <si>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</si>
  <si>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</si>
  <si>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</si>
  <si>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</si>
  <si>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</si>
  <si>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</si>
  <si>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</si>
  <si>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</si>
  <si>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</si>
  <si>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</si>
  <si>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</si>
  <si>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</si>
  <si>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</si>
  <si>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</si>
  <si>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</si>
  <si>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</si>
  <si>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</si>
  <si>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</si>
  <si>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</si>
  <si>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</si>
  <si>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</si>
  <si>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</si>
  <si>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</si>
  <si>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</si>
  <si>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</si>
  <si>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</si>
  <si>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</si>
  <si>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</si>
  <si>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</si>
  <si>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</si>
  <si>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</si>
  <si>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</si>
  <si>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</si>
  <si>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</si>
  <si>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</si>
  <si>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</si>
  <si>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</si>
  <si>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</si>
  <si>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</si>
  <si>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</si>
  <si>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</si>
  <si>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</si>
  <si>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</si>
  <si>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</si>
  <si>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</si>
  <si>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</si>
  <si>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</si>
  <si>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</si>
  <si>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</si>
  <si>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</si>
  <si>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</si>
  <si>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</si>
  <si>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</si>
  <si>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</si>
  <si>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</si>
  <si>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</si>
  <si>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</si>
  <si>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</si>
  <si>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</si>
  <si>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</si>
  <si>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</si>
  <si>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</si>
  <si>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</si>
  <si>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</si>
  <si>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</si>
  <si>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</si>
  <si>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</si>
  <si>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</si>
  <si>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</si>
  <si>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</si>
  <si>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</si>
  <si>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</si>
  <si>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</si>
  <si>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</si>
  <si>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</si>
  <si>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</si>
  <si>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</si>
  <si>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</si>
  <si>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</si>
  <si>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</si>
  <si>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</si>
  <si>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</si>
  <si>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</si>
  <si>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</si>
  <si>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</si>
  <si>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</si>
  <si>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</si>
  <si>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</si>
  <si>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</si>
  <si>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</si>
  <si>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</si>
  <si>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</si>
  <si>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</si>
  <si>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</si>
  <si>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</si>
  <si>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</si>
  <si>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</si>
  <si>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</si>
  <si>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</si>
  <si>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</si>
  <si>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</si>
  <si>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</si>
  <si>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</si>
  <si>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</si>
  <si>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</si>
  <si>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</si>
  <si>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</si>
  <si>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</si>
  <si>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</si>
  <si>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</si>
  <si>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</si>
  <si>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</si>
  <si>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</si>
  <si>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</si>
  <si>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</si>
  <si>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</si>
  <si>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</si>
  <si>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</si>
  <si>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</si>
  <si>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</si>
  <si>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</si>
  <si>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</si>
  <si>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</si>
  <si>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</si>
  <si>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</si>
  <si>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</si>
  <si>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</si>
  <si>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</si>
  <si>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</si>
  <si>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</si>
  <si>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</si>
  <si>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</si>
  <si>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</si>
  <si>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</si>
  <si>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</si>
  <si>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</si>
  <si>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</si>
  <si>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</si>
  <si>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</si>
  <si>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</si>
  <si>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</si>
  <si>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</si>
  <si>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</si>
  <si>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</si>
  <si>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</si>
  <si>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</si>
  <si>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</si>
  <si>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</si>
  <si>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</si>
  <si>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</si>
  <si>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</si>
  <si>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</si>
  <si>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</si>
  <si>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</si>
  <si>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</si>
  <si>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</si>
  <si>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</si>
  <si>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</si>
  <si>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</si>
  <si>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</si>
  <si>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</si>
  <si>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</si>
  <si>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</si>
  <si>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</si>
  <si>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</si>
  <si>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</si>
  <si>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</si>
  <si>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</si>
  <si>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</si>
  <si>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</si>
  <si>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</si>
  <si>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</si>
  <si>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</si>
  <si>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</si>
  <si>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</si>
  <si>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</si>
  <si>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</si>
  <si>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</si>
  <si>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</si>
  <si>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</si>
  <si>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</si>
  <si>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</si>
  <si>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</si>
  <si>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</si>
  <si>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</si>
  <si>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</si>
  <si>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</si>
  <si>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</si>
  <si>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</si>
  <si>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</si>
  <si>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</si>
  <si>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</si>
  <si>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</si>
  <si>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</si>
  <si>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</si>
  <si>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</si>
  <si>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</si>
  <si>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</si>
  <si>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</si>
  <si>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</si>
  <si>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</si>
  <si>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</si>
  <si>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</si>
  <si>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</si>
  <si>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</si>
  <si>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</si>
  <si>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</si>
  <si>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</si>
  <si>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</si>
  <si>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</si>
  <si>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</si>
  <si>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</si>
  <si>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</si>
  <si>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</si>
  <si>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</si>
  <si>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</si>
  <si>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</si>
  <si>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</si>
  <si>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</si>
  <si>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</si>
  <si>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</si>
  <si>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</si>
  <si>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</si>
  <si>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</si>
  <si>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</si>
  <si>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</si>
  <si>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</si>
  <si>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</si>
  <si>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</si>
  <si>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</si>
  <si>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</si>
  <si>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</si>
  <si>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</si>
  <si>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</si>
  <si>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</si>
  <si>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</si>
  <si>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</si>
  <si>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</si>
  <si>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</si>
  <si>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</si>
  <si>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</si>
  <si>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</si>
  <si>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</si>
  <si>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</si>
  <si>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</si>
  <si>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</si>
  <si>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</si>
  <si>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</si>
  <si>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</si>
  <si>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</si>
  <si>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</si>
  <si>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</si>
  <si>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</si>
  <si>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</si>
  <si>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</si>
  <si>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</si>
  <si>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</si>
  <si>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</si>
  <si>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</si>
  <si>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</si>
  <si>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</si>
  <si>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</si>
  <si>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</si>
  <si>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</si>
  <si>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</si>
  <si>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</si>
  <si>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</si>
  <si>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</si>
  <si>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</si>
  <si>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</si>
  <si>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</si>
  <si>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</si>
  <si>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</si>
  <si>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</si>
  <si>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</si>
  <si>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</si>
  <si>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</si>
  <si>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</si>
  <si>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</si>
  <si>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</si>
  <si>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</si>
  <si>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</si>
  <si>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</si>
  <si>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</si>
  <si>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</si>
  <si>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</si>
  <si>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</si>
  <si>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</si>
  <si>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</si>
  <si>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</si>
  <si>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</si>
  <si>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</si>
  <si>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</si>
  <si>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</si>
  <si>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</si>
  <si>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</si>
  <si>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</si>
  <si>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</si>
  <si>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</si>
  <si>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</si>
  <si>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</si>
  <si>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</si>
  <si>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</si>
  <si>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</si>
  <si>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</si>
  <si>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</si>
  <si>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</si>
  <si>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</si>
  <si>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</si>
  <si>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</si>
  <si>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</si>
  <si>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</si>
  <si>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</si>
  <si>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</si>
  <si>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</si>
  <si>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</si>
  <si>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</si>
  <si>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</si>
  <si>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</si>
  <si>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</si>
  <si>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</si>
  <si>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</si>
  <si>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</si>
  <si>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</si>
  <si>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</si>
  <si>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</si>
  <si>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</si>
  <si>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</si>
  <si>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</si>
  <si>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</si>
  <si>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</si>
  <si>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</si>
  <si>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</si>
  <si>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</si>
  <si>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</si>
  <si>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</si>
  <si>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</si>
  <si>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</si>
  <si>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</si>
  <si>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</si>
  <si>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</si>
  <si>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</si>
  <si>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</si>
  <si>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</si>
  <si>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</si>
  <si>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</si>
  <si>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</si>
  <si>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</si>
  <si>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</si>
  <si>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</si>
  <si>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</si>
  <si>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</si>
  <si>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</si>
  <si>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</si>
  <si>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</si>
  <si>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</si>
  <si>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</si>
  <si>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</si>
  <si>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</si>
  <si>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</si>
  <si>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</si>
  <si>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</si>
  <si>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</si>
  <si>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</si>
  <si>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</si>
  <si>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</si>
  <si>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</si>
  <si>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</si>
  <si>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</si>
  <si>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</si>
  <si>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</si>
  <si>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</si>
  <si>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</si>
  <si>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</si>
  <si>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</si>
  <si>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</si>
  <si>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</si>
  <si>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</si>
  <si>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</si>
  <si>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</si>
  <si>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</si>
  <si>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</si>
  <si>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</si>
  <si>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</si>
  <si>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</si>
  <si>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</si>
  <si>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</si>
  <si>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</si>
  <si>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</si>
  <si>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</si>
  <si>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</si>
  <si>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</si>
  <si>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</si>
  <si>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</si>
  <si>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</si>
  <si>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</si>
  <si>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</si>
  <si>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</si>
  <si>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</si>
  <si>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</si>
  <si>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</si>
  <si>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</si>
  <si>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</si>
  <si>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</si>
  <si>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</si>
  <si>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</si>
  <si>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</si>
  <si>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</si>
  <si>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</si>
  <si>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</si>
  <si>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</si>
  <si>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</si>
  <si>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</si>
  <si>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</si>
  <si>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</si>
  <si>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</si>
  <si>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</si>
  <si>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</si>
  <si>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</si>
  <si>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</si>
  <si>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</si>
  <si>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</si>
  <si>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</si>
  <si>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</si>
  <si>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</si>
  <si>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</si>
  <si>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</si>
  <si>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</si>
  <si>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</si>
  <si>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</si>
  <si>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</si>
  <si>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</si>
  <si>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</si>
  <si>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</si>
  <si>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</si>
  <si>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</si>
  <si>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</si>
  <si>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</si>
  <si>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</si>
  <si>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</si>
  <si>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</si>
  <si>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</si>
  <si>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</si>
  <si>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</si>
  <si>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</si>
  <si>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</si>
  <si>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</si>
  <si>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</si>
  <si>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</si>
  <si>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</si>
  <si>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</si>
  <si>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</si>
  <si>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</si>
  <si>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</si>
  <si>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</si>
  <si>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</si>
  <si>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</si>
  <si>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</si>
  <si>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</si>
  <si>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</si>
  <si>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</si>
  <si>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</si>
  <si>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</si>
  <si>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</si>
  <si>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</si>
  <si>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</si>
  <si>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</si>
  <si>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</si>
  <si>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</si>
  <si>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</si>
  <si>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</si>
  <si>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</si>
  <si>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</si>
  <si>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</si>
  <si>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</si>
  <si>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</si>
  <si>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</si>
  <si>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</si>
  <si>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</si>
  <si>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</si>
  <si>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</si>
  <si>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</si>
  <si>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</si>
  <si>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</si>
  <si>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</si>
  <si>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</si>
  <si>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</si>
  <si>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</si>
  <si>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</si>
  <si>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</si>
  <si>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</si>
  <si>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</si>
  <si>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</si>
  <si>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</si>
  <si>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</si>
  <si>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</si>
  <si>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</si>
  <si>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</si>
  <si>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</si>
  <si>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</si>
  <si>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</si>
  <si>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</si>
  <si>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</si>
  <si>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</si>
  <si>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</si>
  <si>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</si>
  <si>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</si>
  <si>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</si>
  <si>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</si>
  <si>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</si>
  <si>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</si>
  <si>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</si>
  <si>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</si>
  <si>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</si>
  <si>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</si>
  <si>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</si>
  <si>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</si>
  <si>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</si>
  <si>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</si>
  <si>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</si>
  <si>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</si>
  <si>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</si>
  <si>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</si>
  <si>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</si>
  <si>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</si>
  <si>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</si>
  <si>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</si>
  <si>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</si>
  <si>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</si>
  <si>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</si>
  <si>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</si>
  <si>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</si>
  <si>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</si>
  <si>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</si>
  <si>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</si>
  <si>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</si>
  <si>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</si>
  <si>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</si>
  <si>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</si>
  <si>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</si>
  <si>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</si>
  <si>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</si>
  <si>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</si>
  <si>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</si>
  <si>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</si>
  <si>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</si>
  <si>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</si>
  <si>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</si>
  <si>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</si>
  <si>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</si>
  <si>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</si>
  <si>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</si>
  <si>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</si>
  <si>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</si>
  <si>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</si>
  <si>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</si>
  <si>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</si>
  <si>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</si>
  <si>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</si>
  <si>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</si>
  <si>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</si>
  <si>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</si>
  <si>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</si>
  <si>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</si>
  <si>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</si>
  <si>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</si>
  <si>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</si>
  <si>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</si>
  <si>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</si>
  <si>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</si>
  <si>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</si>
  <si>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</si>
  <si>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</si>
  <si>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</si>
  <si>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</si>
  <si>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</si>
  <si>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</si>
  <si>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</si>
  <si>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</si>
  <si>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</si>
  <si>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</si>
  <si>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</si>
  <si>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</si>
  <si>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</si>
  <si>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</si>
  <si>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</si>
  <si>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</si>
  <si>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</si>
  <si>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</si>
  <si>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</si>
  <si>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</si>
  <si>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</si>
  <si>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</si>
  <si>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</si>
  <si>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</si>
  <si>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</si>
  <si>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</si>
  <si>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</si>
  <si>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</si>
  <si>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</si>
  <si>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</si>
  <si>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</si>
  <si>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</si>
  <si>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</si>
  <si>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</si>
  <si>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</si>
  <si>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</si>
  <si>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</si>
  <si>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</si>
  <si>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</si>
  <si>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</si>
  <si>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</si>
  <si>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</si>
  <si>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</si>
  <si>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</si>
  <si>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</si>
  <si>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</si>
  <si>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</si>
  <si>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</si>
  <si>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</si>
  <si>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</si>
  <si>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</si>
  <si>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</si>
  <si>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</si>
  <si>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</si>
  <si>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</si>
  <si>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</si>
  <si>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</si>
  <si>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</si>
  <si>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</si>
  <si>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</si>
  <si>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</si>
  <si>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</si>
  <si>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</si>
  <si>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</si>
  <si>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</si>
  <si>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</si>
  <si>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</si>
  <si>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</si>
  <si>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</si>
  <si>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</si>
  <si>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</si>
  <si>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</si>
  <si>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</si>
  <si>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</si>
  <si>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</si>
  <si>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</si>
  <si>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</si>
  <si>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</si>
  <si>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</si>
  <si>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</si>
  <si>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</si>
  <si>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</si>
  <si>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</si>
  <si>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</si>
  <si>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</si>
  <si>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</si>
  <si>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</si>
  <si>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</si>
  <si>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</si>
  <si>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</si>
  <si>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</si>
  <si>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</si>
  <si>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</si>
  <si>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</si>
  <si>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</si>
  <si>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</si>
  <si>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</si>
  <si>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</si>
  <si>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</si>
  <si>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</si>
  <si>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</si>
  <si>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</si>
  <si>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</si>
  <si>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</si>
  <si>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</si>
  <si>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</si>
  <si>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</si>
  <si>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</si>
  <si>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</si>
  <si>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</si>
  <si>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</si>
  <si>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</si>
  <si>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</si>
  <si>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</si>
  <si>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</si>
  <si>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</si>
  <si>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</si>
  <si>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</si>
  <si>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</si>
  <si>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</si>
  <si>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</si>
  <si>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</si>
  <si>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</si>
  <si>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</si>
  <si>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</si>
  <si>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</si>
  <si>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</si>
  <si>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</si>
  <si>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</si>
  <si>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</si>
  <si>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</si>
  <si>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</si>
  <si>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</si>
  <si>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</si>
  <si>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</si>
  <si>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</si>
  <si>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</si>
  <si>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</si>
  <si>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</si>
  <si>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</si>
  <si>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</si>
  <si>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</si>
  <si>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</si>
  <si>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</si>
  <si>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</si>
  <si>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</si>
  <si>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</si>
  <si>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</si>
  <si>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</si>
  <si>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</si>
  <si>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</si>
  <si>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</si>
  <si>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</si>
  <si>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</si>
  <si>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</si>
  <si>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</si>
  <si>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</si>
  <si>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</si>
  <si>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</si>
  <si>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</si>
  <si>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</si>
  <si>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</si>
  <si>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</si>
  <si>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</si>
  <si>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</si>
  <si>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</si>
  <si>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</si>
  <si>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</si>
  <si>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</si>
  <si>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</si>
  <si>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</si>
  <si>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</si>
  <si>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</si>
  <si>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</si>
  <si>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</si>
  <si>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</si>
  <si>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</si>
  <si>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</si>
  <si>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</si>
  <si>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</si>
  <si>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</si>
  <si>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</si>
  <si>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</si>
  <si>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</si>
  <si>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</si>
  <si>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</si>
  <si>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</si>
  <si>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</si>
  <si>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</si>
  <si>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</si>
  <si>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</si>
  <si>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</si>
  <si>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</si>
  <si>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</si>
  <si>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</si>
  <si>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</si>
  <si>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</si>
  <si>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</si>
  <si>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</si>
  <si>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</si>
  <si>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</si>
  <si>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</si>
  <si>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</si>
  <si>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</si>
  <si>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</si>
  <si>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</si>
  <si>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</si>
  <si>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</si>
  <si>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</si>
  <si>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</si>
  <si>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</si>
  <si>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</si>
  <si>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</si>
  <si>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</si>
  <si>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</si>
  <si>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</si>
  <si>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</si>
  <si>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</si>
  <si>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</si>
  <si>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</si>
  <si>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</si>
  <si>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</si>
  <si>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</si>
  <si>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</si>
  <si>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</si>
  <si>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</si>
  <si>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</si>
  <si>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</si>
  <si>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</si>
  <si>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</si>
  <si>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</si>
  <si>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</si>
  <si>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</si>
  <si>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</si>
  <si>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</si>
  <si>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</si>
  <si>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</si>
  <si>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</si>
  <si>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</si>
  <si>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</si>
  <si>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</si>
  <si>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</si>
  <si>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</si>
  <si>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</si>
  <si>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</si>
  <si>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</si>
  <si>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</si>
  <si>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</si>
  <si>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</si>
  <si>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</si>
  <si>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</si>
  <si>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</si>
  <si>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</si>
  <si>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</si>
  <si>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</si>
  <si>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</si>
  <si>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</si>
  <si>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</si>
  <si>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</si>
  <si>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</si>
  <si>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</si>
  <si>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</si>
  <si>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</si>
  <si>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</si>
  <si>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</si>
  <si>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</si>
  <si>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</si>
  <si>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</si>
  <si>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</si>
  <si>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</si>
  <si>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</si>
  <si>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</si>
  <si>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</si>
  <si>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</si>
  <si>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</si>
  <si>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</si>
  <si>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</si>
  <si>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</si>
  <si>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</si>
  <si>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</si>
  <si>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</si>
  <si>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</si>
  <si>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</si>
  <si>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</si>
  <si>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</si>
  <si>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</si>
  <si>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</si>
  <si>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</si>
  <si>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</si>
  <si>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</si>
  <si>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</si>
  <si>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</si>
  <si>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</si>
  <si>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</si>
  <si>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</si>
  <si>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</si>
  <si>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</si>
  <si>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</si>
  <si>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</si>
  <si>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</si>
  <si>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</si>
  <si>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</si>
  <si>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</si>
  <si>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</si>
  <si>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</si>
  <si>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</si>
  <si>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</si>
  <si>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</si>
  <si>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</si>
  <si>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</si>
  <si>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</si>
  <si>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</si>
  <si>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</si>
  <si>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</si>
  <si>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</si>
  <si>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</si>
  <si>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</si>
  <si>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</si>
  <si>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</si>
  <si>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</si>
  <si>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</si>
  <si>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</si>
  <si>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</si>
  <si>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</si>
  <si>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</si>
  <si>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</si>
  <si>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</si>
  <si>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</si>
  <si>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</si>
  <si>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</si>
  <si>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</si>
  <si>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</si>
  <si>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</si>
  <si>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</si>
  <si>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</si>
  <si>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</si>
  <si>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</si>
  <si>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</si>
  <si>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</si>
  <si>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</si>
  <si>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</si>
  <si>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</si>
  <si>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</si>
  <si>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</si>
  <si>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</si>
  <si>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</si>
  <si>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</si>
  <si>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</si>
  <si>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</si>
  <si>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</si>
  <si>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</si>
  <si>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</si>
  <si>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</si>
  <si>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</si>
  <si>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</si>
  <si>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</si>
  <si>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</si>
  <si>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</si>
  <si>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</si>
  <si>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</si>
  <si>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</si>
  <si>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</si>
  <si>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</si>
  <si>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</si>
  <si>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</si>
  <si>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</si>
  <si>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</si>
  <si>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</si>
  <si>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</si>
  <si>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</si>
  <si>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</si>
  <si>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</si>
  <si>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</si>
  <si>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</si>
  <si>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</si>
  <si>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</si>
  <si>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</si>
  <si>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</si>
  <si>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</si>
  <si>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</si>
  <si>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</si>
  <si>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</si>
  <si>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</si>
  <si>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</si>
  <si>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</si>
  <si>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</si>
  <si>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</si>
  <si>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</si>
  <si>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</si>
  <si>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</si>
  <si>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</si>
  <si>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</si>
  <si>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</si>
  <si>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</si>
  <si>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</si>
  <si>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</si>
  <si>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</si>
  <si>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</si>
  <si>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</si>
  <si>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</si>
  <si>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</si>
  <si>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</si>
  <si>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</si>
  <si>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</si>
  <si>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</si>
  <si>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</si>
  <si>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</si>
  <si>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</si>
  <si>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</si>
  <si>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</si>
  <si>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</si>
  <si>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</si>
  <si>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</si>
  <si>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</si>
  <si>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</si>
  <si>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</si>
  <si>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</si>
  <si>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</si>
  <si>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</si>
  <si>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</si>
  <si>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</si>
  <si>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</si>
  <si>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</si>
  <si>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</si>
  <si>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</si>
  <si>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</si>
  <si>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</si>
  <si>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</si>
  <si>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</si>
  <si>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</si>
  <si>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</si>
  <si>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</si>
  <si>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</si>
  <si>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</si>
  <si>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</si>
  <si>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</si>
  <si>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</si>
  <si>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</si>
  <si>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</si>
  <si>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</si>
  <si>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</si>
  <si>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</si>
  <si>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</si>
  <si>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</si>
  <si>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</si>
  <si>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</si>
  <si>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</si>
  <si>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</si>
  <si>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</si>
  <si>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</si>
  <si>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</si>
  <si>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</si>
  <si>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</si>
  <si>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</si>
  <si>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</si>
  <si>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</si>
  <si>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</si>
  <si>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</si>
  <si>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</si>
  <si>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</si>
  <si>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</si>
  <si>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</si>
  <si>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</si>
  <si>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</si>
  <si>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</si>
  <si>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</si>
  <si>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</si>
  <si>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</si>
  <si>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</si>
  <si>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</si>
  <si>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</si>
  <si>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</si>
  <si>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</si>
  <si>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</si>
  <si>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</si>
  <si>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</si>
  <si>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</si>
  <si>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</si>
  <si>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</si>
  <si>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</si>
  <si>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</si>
  <si>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</si>
  <si>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</si>
  <si>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</si>
  <si>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</si>
  <si>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</si>
  <si>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</si>
  <si>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</si>
  <si>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</si>
  <si>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</si>
  <si>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</si>
  <si>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</si>
  <si>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</si>
  <si>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</si>
  <si>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</si>
  <si>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</si>
  <si>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</si>
  <si>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</si>
  <si>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</si>
  <si>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</si>
  <si>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</si>
  <si>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</si>
  <si>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</si>
  <si>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</si>
  <si>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</si>
  <si>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</si>
  <si>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</si>
  <si>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</si>
  <si>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</si>
  <si>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</si>
  <si>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</si>
  <si>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</si>
  <si>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</si>
  <si>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</si>
  <si>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</si>
  <si>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</si>
  <si>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</si>
  <si>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</si>
  <si>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</si>
  <si>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</si>
  <si>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</si>
  <si>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</si>
  <si>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</si>
  <si>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</si>
  <si>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</si>
  <si>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</si>
  <si>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</si>
  <si>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</si>
  <si>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</si>
  <si>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</si>
  <si>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</si>
  <si>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</si>
  <si>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</si>
  <si>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</si>
  <si>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</si>
  <si>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</si>
  <si>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</si>
  <si>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</si>
  <si>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</si>
  <si>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</si>
  <si>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</si>
  <si>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</si>
  <si>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</si>
  <si>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</si>
  <si>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</si>
  <si>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</si>
  <si>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</si>
  <si>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</si>
  <si>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</si>
  <si>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</si>
  <si>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</si>
  <si>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</si>
  <si>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</si>
  <si>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</si>
  <si>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</si>
  <si>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</si>
  <si>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</si>
  <si>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</si>
  <si>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</si>
  <si>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</si>
  <si>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</si>
  <si>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</si>
  <si>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</si>
  <si>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</si>
  <si>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</si>
  <si>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</si>
  <si>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</si>
  <si>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</si>
  <si>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</si>
  <si>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</si>
  <si>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</si>
  <si>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</si>
  <si>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</si>
  <si>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</si>
  <si>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</si>
  <si>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</si>
  <si>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</si>
  <si>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</si>
  <si>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</si>
  <si>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</si>
  <si>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</si>
  <si>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</si>
  <si>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</si>
  <si>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</si>
  <si>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</si>
  <si>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</si>
  <si>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</si>
  <si>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</si>
  <si>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</si>
  <si>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</si>
  <si>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</si>
  <si>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</si>
  <si>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</si>
  <si>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</si>
  <si>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</si>
  <si>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</si>
  <si>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</si>
  <si>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</si>
  <si>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</si>
  <si>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</si>
  <si>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</si>
  <si>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</si>
  <si>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</si>
  <si>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</si>
  <si>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</si>
  <si>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</si>
  <si>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</si>
  <si>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</si>
  <si>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</si>
  <si>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</si>
  <si>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</si>
  <si>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</si>
  <si>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</si>
  <si>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</si>
  <si>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</si>
  <si>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</si>
  <si>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</si>
  <si>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</si>
  <si>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</si>
  <si>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</si>
  <si>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</si>
  <si>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</si>
  <si>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</si>
  <si>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</si>
  <si>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</si>
  <si>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</si>
  <si>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</si>
  <si>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</si>
  <si>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</si>
  <si>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</si>
  <si>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</si>
  <si>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</si>
  <si>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</si>
  <si>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</si>
  <si>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</si>
  <si>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</si>
  <si>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</si>
  <si>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</si>
  <si>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</si>
  <si>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</si>
  <si>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</si>
  <si>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</si>
  <si>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</si>
  <si>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</si>
  <si>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</si>
  <si>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</si>
  <si>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</si>
  <si>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</si>
  <si>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</si>
  <si>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</si>
  <si>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</si>
  <si>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</si>
  <si>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</si>
  <si>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</si>
  <si>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</si>
  <si>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</si>
  <si>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</si>
  <si>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</si>
  <si>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</si>
  <si>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</si>
  <si>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</si>
  <si>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</si>
  <si>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</si>
  <si>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</si>
  <si>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</si>
  <si>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</si>
  <si>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</si>
  <si>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</si>
  <si>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</si>
  <si>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</si>
  <si>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</si>
  <si>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</si>
  <si>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</si>
  <si>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</si>
  <si>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</si>
  <si>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</si>
  <si>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</si>
  <si>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</si>
  <si>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</si>
  <si>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</si>
  <si>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</si>
  <si>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</si>
  <si>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</si>
  <si>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</si>
  <si>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</si>
  <si>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</si>
  <si>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</si>
  <si>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</si>
  <si>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</si>
  <si>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</si>
  <si>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</si>
  <si>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</si>
  <si>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</si>
  <si>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</si>
  <si>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</si>
  <si>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</si>
  <si>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</si>
  <si>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</si>
  <si>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</si>
  <si>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</si>
  <si>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</si>
  <si>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</si>
  <si>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</si>
  <si>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</si>
  <si>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</si>
  <si>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</si>
  <si>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</si>
  <si>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</si>
  <si>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</si>
  <si>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</si>
  <si>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</si>
  <si>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</si>
  <si>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</si>
  <si>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</si>
  <si>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</si>
  <si>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</si>
  <si>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</si>
  <si>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</si>
  <si>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</si>
  <si>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</si>
  <si>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</si>
  <si>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</si>
  <si>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</si>
  <si>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</si>
  <si>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</si>
  <si>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</si>
  <si>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</si>
  <si>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</si>
  <si>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</si>
  <si>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</si>
  <si>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</si>
  <si>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</si>
  <si>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</si>
  <si>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</si>
  <si>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</si>
  <si>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</si>
  <si>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</si>
  <si>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</si>
  <si>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</si>
  <si>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</si>
  <si>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</si>
  <si>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</si>
  <si>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</si>
  <si>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</si>
  <si>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</si>
  <si>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</si>
  <si>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</si>
  <si>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</si>
  <si>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</si>
  <si>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</si>
  <si>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</si>
  <si>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</si>
  <si>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</si>
  <si>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</si>
  <si>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</si>
  <si>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</si>
  <si>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</si>
  <si>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</si>
  <si>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</si>
  <si>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</si>
  <si>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</si>
  <si>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</si>
  <si>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</si>
  <si>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</si>
  <si>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</si>
  <si>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</si>
  <si>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</si>
  <si>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</si>
  <si>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</si>
  <si>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</si>
  <si>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</si>
  <si>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</si>
  <si>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</si>
  <si>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</si>
  <si>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</si>
  <si>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</si>
  <si>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</si>
  <si>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</si>
  <si>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</si>
  <si>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</si>
  <si>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</si>
  <si>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</si>
  <si>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</si>
  <si>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</si>
  <si>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</si>
  <si>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</si>
  <si>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</si>
  <si>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</si>
  <si>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</si>
  <si>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</si>
  <si>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</si>
  <si>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</si>
  <si>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</si>
  <si>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</si>
  <si>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</si>
  <si>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</si>
  <si>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</si>
  <si>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</si>
  <si>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</si>
  <si>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</si>
  <si>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</si>
  <si>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</si>
  <si>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</si>
  <si>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</si>
  <si>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</si>
  <si>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</si>
  <si>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</si>
  <si>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</si>
  <si>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</si>
  <si>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</si>
  <si>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</si>
  <si>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</si>
  <si>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</si>
  <si>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</si>
  <si>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</si>
  <si>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</si>
  <si>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</si>
  <si>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</si>
  <si>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</si>
  <si>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</si>
  <si>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</si>
  <si>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</si>
  <si>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</si>
  <si>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</si>
  <si>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</si>
  <si>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</si>
  <si>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</si>
  <si>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</si>
  <si>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</si>
  <si>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</si>
  <si>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</si>
  <si>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</si>
  <si>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</si>
  <si>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</si>
  <si>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</si>
  <si>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</si>
  <si>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</si>
  <si>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</si>
  <si>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</si>
  <si>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</si>
  <si>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</si>
  <si>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</si>
  <si>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</si>
  <si>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</si>
  <si>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</si>
  <si>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</si>
  <si>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</si>
  <si>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</si>
  <si>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</si>
  <si>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</si>
  <si>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</si>
  <si>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</si>
  <si>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</si>
  <si>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</si>
  <si>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</si>
  <si>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</si>
  <si>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</si>
  <si>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</si>
  <si>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</si>
  <si>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</si>
  <si>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</si>
  <si>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</si>
  <si>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</si>
  <si>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</si>
  <si>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</si>
  <si>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</si>
  <si>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</si>
  <si>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</si>
  <si>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</si>
  <si>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</si>
  <si>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</si>
  <si>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</si>
  <si>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</si>
  <si>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</si>
  <si>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</si>
  <si>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</si>
  <si>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</si>
  <si>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</si>
  <si>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</si>
  <si>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</si>
  <si>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</si>
  <si>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</si>
  <si>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</si>
  <si>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</si>
  <si>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</si>
  <si>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</si>
  <si>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</si>
  <si>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</si>
  <si>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</si>
  <si>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</si>
  <si>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</si>
  <si>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</si>
  <si>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</si>
  <si>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</si>
  <si>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</si>
  <si>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</si>
  <si>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</si>
  <si>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</si>
  <si>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</si>
  <si>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</si>
  <si>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</si>
  <si>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</si>
  <si>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</si>
  <si>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</si>
  <si>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</si>
  <si>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</si>
  <si>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</si>
  <si>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</si>
  <si>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</si>
  <si>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</si>
  <si>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</si>
  <si>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</si>
  <si>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</si>
  <si>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</si>
  <si>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</si>
  <si>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</si>
  <si>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</si>
  <si>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</si>
  <si>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</si>
  <si>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</si>
  <si>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</si>
  <si>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</si>
  <si>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</si>
  <si>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</si>
  <si>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</si>
  <si>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</si>
  <si>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</si>
  <si>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</si>
  <si>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</si>
  <si>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</si>
  <si>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</si>
  <si>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</si>
  <si>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</si>
  <si>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</si>
  <si>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</si>
  <si>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</si>
  <si>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</si>
  <si>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</si>
  <si>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</si>
  <si>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</si>
  <si>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</si>
  <si>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</si>
  <si>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</si>
  <si>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</si>
  <si>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</si>
  <si>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</si>
  <si>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</si>
  <si>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</si>
  <si>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</si>
  <si>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</si>
  <si>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</si>
  <si>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</si>
  <si>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</si>
  <si>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</si>
  <si>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</si>
  <si>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</si>
  <si>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</si>
  <si>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</si>
  <si>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</si>
  <si>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</si>
  <si>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</si>
  <si>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</si>
  <si>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</si>
  <si>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</si>
  <si>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</si>
  <si>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</si>
  <si>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</si>
  <si>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</si>
  <si>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</si>
  <si>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</si>
  <si>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</si>
  <si>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</si>
  <si>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</si>
  <si>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</si>
  <si>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</si>
  <si>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</si>
  <si>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</si>
  <si>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</si>
  <si>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</si>
  <si>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</si>
  <si>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</si>
  <si>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</si>
  <si>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</si>
  <si>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</si>
  <si>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</si>
  <si>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</si>
  <si>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</si>
  <si>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</si>
  <si>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</si>
  <si>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</si>
  <si>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</si>
  <si>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</si>
  <si>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</si>
  <si>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</si>
  <si>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</si>
  <si>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</si>
  <si>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</si>
  <si>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</si>
  <si>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</si>
  <si>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</si>
  <si>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</si>
  <si>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</si>
  <si>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</si>
  <si>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</si>
  <si>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</si>
  <si>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</si>
  <si>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</si>
  <si>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</si>
  <si>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</si>
  <si>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</si>
  <si>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</si>
  <si>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</si>
  <si>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</si>
  <si>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</si>
  <si>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</si>
  <si>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</si>
  <si>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</si>
  <si>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</si>
  <si>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</si>
  <si>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</si>
  <si>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</si>
  <si>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</si>
  <si>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</si>
  <si>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</si>
  <si>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</si>
  <si>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</si>
  <si>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</si>
  <si>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</si>
  <si>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</si>
  <si>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</si>
  <si>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</si>
  <si>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</si>
  <si>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</si>
  <si>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</si>
  <si>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</si>
  <si>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</si>
  <si>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</si>
  <si>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</si>
  <si>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</si>
  <si>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</si>
  <si>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</si>
  <si>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</si>
  <si>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</si>
  <si>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</si>
  <si>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</si>
  <si>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</si>
  <si>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</si>
  <si>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</si>
  <si>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</si>
  <si>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</si>
  <si>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</si>
  <si>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</si>
  <si>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</si>
  <si>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</si>
  <si>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</si>
  <si>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</si>
  <si>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</si>
  <si>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</si>
  <si>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</si>
  <si>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</si>
  <si>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</si>
  <si>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</si>
  <si>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</si>
  <si>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</si>
  <si>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</si>
  <si>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</si>
  <si>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</si>
  <si>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</si>
  <si>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</si>
  <si>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</si>
  <si>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</si>
  <si>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</si>
  <si>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</si>
  <si>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</si>
  <si>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</si>
  <si>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</si>
  <si>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</si>
  <si>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</si>
  <si>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</si>
  <si>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</si>
  <si>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</si>
  <si>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</si>
  <si>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</si>
  <si>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</si>
  <si>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</si>
  <si>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</si>
  <si>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</si>
  <si>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</si>
  <si>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</si>
  <si>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</si>
  <si>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</si>
  <si>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</si>
  <si>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</si>
  <si>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</si>
  <si>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</si>
  <si>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</si>
  <si>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</si>
  <si>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</si>
  <si>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</si>
  <si>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</si>
  <si>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</si>
  <si>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</si>
  <si>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</si>
  <si>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</si>
  <si>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</si>
  <si>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</si>
  <si>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</si>
  <si>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</si>
  <si>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</si>
  <si>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</si>
  <si>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</si>
  <si>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</si>
  <si>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</si>
  <si>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</si>
  <si>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</si>
  <si>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</si>
  <si>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</si>
  <si>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</si>
  <si>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</si>
  <si>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</si>
  <si>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</si>
  <si>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</si>
  <si>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</si>
  <si>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</si>
  <si>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</si>
  <si>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</si>
  <si>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</si>
  <si>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</si>
  <si>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</si>
  <si>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</si>
  <si>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</si>
  <si>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</si>
  <si>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</si>
  <si>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</si>
  <si>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</si>
  <si>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</si>
  <si>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</si>
  <si>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</si>
  <si>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</si>
  <si>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</si>
  <si>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</si>
  <si>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</si>
  <si>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</si>
  <si>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</si>
  <si>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</si>
  <si>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</si>
  <si>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</si>
  <si>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</si>
  <si>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</si>
  <si>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</si>
  <si>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</si>
  <si>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</si>
  <si>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</si>
  <si>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</si>
  <si>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</si>
  <si>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</si>
  <si>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</si>
  <si>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</si>
  <si>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</si>
  <si>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</si>
  <si>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</si>
  <si>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</si>
  <si>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</si>
  <si>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</si>
  <si>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</si>
  <si>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</si>
  <si>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</si>
  <si>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</si>
  <si>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</si>
  <si>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</si>
  <si>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</si>
  <si>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</si>
  <si>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</si>
  <si>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</si>
  <si>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</si>
  <si>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</si>
  <si>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</si>
  <si>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</si>
  <si>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</si>
  <si>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</si>
  <si>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</si>
  <si>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</si>
  <si>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</si>
  <si>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</si>
  <si>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</si>
  <si>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</si>
  <si>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</si>
  <si>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</si>
  <si>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</si>
  <si>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</si>
  <si>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</si>
  <si>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</si>
  <si>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</si>
  <si>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</si>
  <si>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</si>
  <si>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</si>
  <si>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</si>
  <si>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</si>
  <si>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</si>
  <si>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</si>
  <si>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</si>
  <si>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</si>
  <si>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</si>
  <si>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</si>
  <si>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</si>
  <si>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</si>
  <si>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</si>
  <si>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</si>
  <si>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</si>
  <si>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</si>
  <si>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</si>
  <si>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</si>
  <si>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</si>
  <si>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</si>
  <si>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</si>
  <si>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</si>
  <si>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</si>
  <si>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</si>
  <si>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</si>
  <si>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</si>
  <si>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</si>
  <si>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</si>
  <si>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</si>
  <si>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</si>
  <si>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</si>
  <si>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</si>
  <si>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</si>
  <si>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</si>
  <si>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</si>
  <si>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</si>
  <si>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</si>
  <si>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</si>
  <si>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</si>
  <si>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</si>
  <si>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</si>
  <si>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</si>
  <si>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</si>
  <si>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</si>
  <si>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</si>
  <si>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</si>
  <si>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</si>
  <si>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</si>
  <si>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</si>
  <si>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</si>
  <si>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</si>
  <si>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</si>
  <si>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</si>
  <si>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</si>
  <si>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</si>
  <si>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</si>
  <si>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</si>
  <si>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</si>
  <si>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</si>
  <si>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</si>
  <si>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</si>
  <si>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</si>
  <si>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</si>
  <si>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</si>
  <si>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</si>
  <si>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</si>
  <si>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</si>
  <si>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</si>
  <si>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</si>
  <si>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</si>
  <si>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</si>
  <si>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</si>
  <si>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</si>
  <si>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</si>
  <si>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</si>
  <si>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</si>
  <si>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</si>
  <si>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</si>
  <si>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</si>
  <si>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</si>
  <si>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</si>
  <si>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</si>
  <si>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</si>
  <si>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</si>
  <si>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</si>
  <si>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</si>
  <si>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</si>
  <si>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</si>
  <si>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</si>
  <si>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</si>
  <si>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</si>
  <si>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</si>
  <si>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</si>
  <si>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</si>
  <si>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</si>
  <si>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</si>
  <si>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</si>
  <si>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</si>
  <si>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</si>
  <si>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</si>
  <si>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</si>
  <si>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</si>
  <si>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</si>
  <si>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</si>
  <si>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</si>
  <si>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</si>
  <si>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</si>
  <si>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</si>
  <si>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</si>
  <si>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</si>
  <si>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</si>
  <si>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</si>
  <si>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</si>
  <si>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</si>
  <si>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</si>
  <si>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</si>
  <si>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</si>
  <si>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</si>
  <si>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</si>
  <si>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</si>
  <si>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</si>
  <si>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</si>
  <si>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</si>
  <si>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</si>
  <si>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</si>
  <si>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</si>
  <si>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</si>
  <si>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</si>
  <si>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</si>
  <si>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</si>
  <si>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</si>
  <si>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</si>
  <si>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</si>
  <si>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</si>
  <si>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</si>
  <si>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</si>
  <si>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</si>
  <si>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</si>
  <si>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</si>
  <si>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</si>
  <si>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</si>
  <si>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</si>
  <si>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</si>
  <si>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</si>
  <si>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</si>
  <si>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</si>
  <si>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</si>
  <si>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</si>
  <si>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</si>
  <si>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</si>
  <si>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</si>
  <si>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</si>
  <si>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</si>
  <si>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</si>
  <si>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</si>
  <si>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</si>
  <si>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</si>
  <si>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</si>
  <si>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</si>
  <si>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</si>
  <si>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</si>
  <si>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</si>
  <si>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</si>
  <si>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</si>
  <si>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</si>
  <si>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</si>
  <si>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</si>
  <si>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</si>
  <si>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</si>
  <si>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</si>
  <si>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</si>
  <si>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</si>
  <si>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</si>
  <si>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</si>
  <si>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</si>
  <si>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</si>
  <si>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</si>
  <si>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</si>
  <si>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</si>
  <si>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</si>
  <si>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</si>
  <si>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</si>
  <si>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</si>
  <si>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</si>
  <si>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</si>
  <si>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</si>
  <si>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</si>
  <si>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</si>
  <si>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</si>
  <si>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</si>
  <si>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</si>
  <si>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</si>
  <si>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</si>
  <si>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</si>
  <si>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</si>
  <si>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</si>
  <si>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</si>
  <si>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</si>
  <si>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</si>
  <si>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</si>
  <si>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</si>
  <si>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</si>
  <si>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</si>
  <si>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</si>
  <si>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</si>
  <si>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</si>
  <si>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</si>
  <si>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</si>
  <si>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</si>
  <si>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</si>
  <si>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</si>
  <si>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</si>
  <si>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</si>
  <si>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</si>
  <si>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</si>
  <si>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</si>
  <si>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</si>
  <si>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</si>
  <si>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</si>
  <si>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</si>
  <si>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</si>
  <si>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</si>
  <si>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</si>
  <si>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</si>
  <si>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</si>
  <si>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</si>
  <si>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</si>
  <si>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</si>
  <si>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</si>
  <si>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</si>
  <si>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</si>
  <si>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</si>
  <si>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</si>
  <si>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</si>
  <si>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</si>
  <si>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</si>
  <si>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</si>
  <si>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</si>
  <si>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</si>
  <si>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</si>
  <si>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</si>
  <si>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</si>
  <si>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</si>
  <si>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</si>
  <si>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</si>
  <si>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</si>
  <si>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</si>
  <si>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</si>
  <si>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</si>
  <si>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</si>
  <si>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</si>
  <si>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</si>
  <si>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</si>
  <si>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</si>
  <si>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</si>
  <si>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</si>
  <si>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</si>
  <si>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</si>
  <si>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</si>
  <si>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</si>
  <si>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</si>
  <si>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</si>
  <si>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</si>
  <si>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</si>
  <si>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</si>
  <si>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</si>
  <si>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</si>
  <si>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</si>
  <si>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</si>
  <si>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</si>
  <si>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</si>
  <si>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</si>
  <si>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</si>
  <si>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</si>
  <si>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</si>
  <si>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</si>
  <si>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</si>
  <si>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</si>
  <si>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</si>
  <si>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</si>
  <si>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</si>
  <si>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</si>
  <si>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</si>
  <si>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</si>
  <si>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</si>
  <si>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</si>
  <si>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</si>
  <si>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</si>
  <si>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</si>
  <si>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</si>
  <si>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</si>
  <si>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</si>
  <si>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</si>
  <si>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</si>
  <si>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</si>
  <si>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</si>
  <si>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</si>
  <si>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</si>
  <si>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</si>
  <si>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</si>
  <si>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</si>
  <si>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</si>
  <si>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</si>
  <si>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</si>
  <si>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</si>
  <si>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</si>
  <si>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</si>
  <si>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</si>
  <si>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</si>
  <si>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</si>
  <si>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</si>
  <si>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</si>
  <si>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</si>
  <si>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</si>
  <si>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</si>
  <si>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</si>
  <si>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</si>
  <si>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</si>
  <si>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</si>
  <si>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</si>
  <si>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</si>
  <si>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</si>
  <si>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</si>
  <si>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</si>
  <si>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</si>
  <si>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</si>
  <si>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</si>
  <si>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</si>
  <si>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</si>
  <si>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</si>
  <si>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</si>
  <si>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</si>
  <si>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</si>
  <si>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</si>
  <si>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</si>
  <si>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</si>
  <si>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</si>
  <si>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</si>
  <si>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</si>
  <si>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</si>
  <si>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</si>
  <si>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</si>
  <si>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</si>
  <si>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</si>
  <si>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</si>
  <si>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</si>
  <si>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</si>
  <si>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</si>
  <si>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</si>
  <si>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</si>
  <si>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</si>
  <si>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</si>
  <si>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</si>
  <si>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</si>
  <si>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</si>
  <si>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</si>
  <si>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</si>
  <si>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</si>
  <si>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</si>
  <si>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</si>
  <si>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</si>
  <si>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</si>
  <si>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</si>
  <si>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</si>
  <si>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</si>
  <si>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</si>
  <si>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</si>
  <si>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</si>
  <si>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</si>
  <si>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</si>
  <si>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</si>
  <si>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</si>
  <si>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</si>
  <si>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</si>
  <si>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</si>
  <si>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</si>
  <si>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</si>
  <si>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</si>
  <si>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</si>
  <si>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</si>
  <si>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</si>
  <si>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</si>
  <si>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</si>
  <si>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</si>
  <si>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</si>
  <si>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</si>
  <si>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</si>
  <si>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</si>
  <si>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</si>
  <si>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</si>
  <si>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</si>
  <si>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</si>
  <si>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</si>
  <si>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</si>
  <si>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</si>
  <si>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</si>
  <si>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</si>
  <si>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</si>
  <si>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</si>
  <si>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</si>
  <si>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</si>
  <si>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</si>
  <si>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</si>
  <si>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</si>
  <si>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</si>
  <si>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</si>
  <si>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</si>
  <si>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</si>
  <si>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</si>
  <si>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</si>
  <si>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</si>
  <si>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</si>
  <si>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</si>
  <si>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</si>
  <si>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</si>
  <si>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</si>
  <si>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</si>
  <si>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</si>
  <si>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</si>
  <si>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</si>
  <si>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</si>
  <si>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</si>
  <si>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</si>
  <si>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</si>
  <si>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</si>
  <si>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</si>
  <si>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</si>
  <si>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</si>
  <si>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</si>
  <si>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</si>
  <si>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</si>
  <si>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</si>
  <si>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</si>
  <si>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</si>
  <si>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</si>
  <si>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</si>
  <si>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</si>
  <si>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</si>
  <si>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</si>
  <si>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</si>
  <si>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</si>
  <si>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</si>
  <si>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</si>
  <si>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</si>
  <si>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</si>
  <si>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</si>
  <si>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</si>
  <si>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</si>
  <si>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</si>
  <si>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</si>
  <si>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</si>
  <si>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</si>
  <si>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</si>
  <si>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</si>
  <si>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</si>
  <si>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</si>
  <si>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</si>
  <si>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</si>
  <si>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</si>
  <si>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</si>
  <si>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</si>
  <si>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</si>
  <si>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</si>
  <si>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</si>
  <si>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</si>
  <si>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</si>
  <si>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</si>
  <si>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</si>
  <si>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</si>
  <si>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</si>
  <si>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</si>
  <si>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</si>
  <si>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</si>
  <si>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</si>
  <si>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</si>
  <si>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</si>
  <si>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</si>
  <si>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</si>
  <si>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</si>
  <si>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</si>
  <si>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</si>
  <si>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</si>
  <si>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</si>
  <si>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</si>
  <si>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</si>
  <si>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</si>
  <si>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</si>
  <si>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</si>
  <si>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</si>
  <si>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</si>
  <si>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</si>
  <si>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</si>
  <si>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</si>
  <si>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</si>
  <si>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</si>
  <si>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</si>
  <si>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</si>
  <si>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</si>
  <si>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</si>
  <si>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</si>
  <si>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</si>
  <si>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</si>
  <si>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</si>
  <si>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</si>
  <si>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</si>
  <si>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</si>
  <si>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</si>
  <si>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</si>
  <si>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</si>
  <si>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</si>
  <si>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</si>
  <si>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</si>
  <si>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</si>
  <si>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</si>
  <si>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</si>
  <si>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</si>
  <si>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</si>
  <si>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</si>
  <si>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</si>
  <si>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</si>
  <si>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</si>
  <si>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</si>
  <si>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</si>
  <si>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</si>
  <si>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</si>
  <si>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</si>
  <si>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</si>
  <si>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</si>
  <si>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</si>
  <si>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</si>
  <si>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</si>
  <si>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</si>
  <si>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</si>
  <si>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</si>
  <si>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</si>
  <si>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</si>
  <si>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</si>
  <si>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</si>
  <si>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</si>
  <si>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</si>
  <si>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</si>
  <si>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</si>
  <si>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</si>
  <si>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</si>
  <si>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</si>
  <si>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</si>
  <si>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</si>
  <si>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</si>
  <si>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</si>
  <si>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</si>
  <si>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</si>
  <si>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</si>
  <si>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</si>
  <si>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</si>
  <si>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</si>
  <si>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</si>
  <si>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</si>
  <si>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</si>
  <si>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</si>
  <si>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</si>
  <si>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</si>
  <si>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</si>
  <si>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</si>
  <si>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</si>
  <si>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</si>
  <si>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</si>
  <si>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</si>
  <si>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</si>
  <si>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</si>
  <si>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</si>
  <si>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</si>
  <si>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</si>
  <si>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</si>
  <si>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</si>
  <si>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</si>
  <si>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</si>
  <si>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</si>
  <si>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</si>
  <si>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</si>
  <si>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</si>
  <si>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</si>
  <si>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</si>
  <si>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</si>
  <si>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</si>
  <si>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</si>
  <si>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</si>
  <si>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</si>
  <si>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</si>
  <si>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</si>
  <si>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</si>
  <si>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</si>
  <si>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</si>
  <si>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</si>
  <si>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</si>
  <si>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</si>
  <si>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</si>
  <si>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</si>
  <si>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</si>
  <si>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</si>
  <si>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</si>
  <si>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</si>
  <si>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</si>
  <si>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</si>
  <si>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</si>
  <si>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</si>
  <si>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</si>
  <si>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</si>
  <si>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</si>
  <si>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</si>
  <si>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</si>
  <si>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</si>
  <si>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</si>
  <si>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</si>
  <si>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</si>
  <si>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</si>
  <si>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</si>
  <si>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</si>
  <si>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</si>
  <si>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</si>
  <si>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</si>
  <si>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</si>
  <si>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</si>
  <si>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</si>
  <si>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</si>
  <si>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</si>
  <si>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</si>
  <si>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</si>
  <si>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</si>
  <si>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</si>
  <si>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</si>
  <si>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</si>
  <si>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</si>
  <si>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</si>
  <si>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</si>
  <si>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</si>
  <si>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</si>
  <si>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</si>
  <si>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</si>
  <si>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</si>
  <si>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</si>
  <si>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</si>
  <si>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</si>
  <si>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</si>
  <si>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</si>
  <si>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</si>
  <si>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</si>
  <si>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</si>
  <si>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</si>
  <si>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</si>
  <si>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</si>
  <si>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</si>
  <si>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</si>
  <si>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</si>
  <si>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</si>
  <si>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</si>
  <si>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</si>
  <si>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</si>
  <si>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</si>
  <si>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</si>
  <si>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</si>
  <si>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</si>
  <si>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</si>
  <si>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</si>
  <si>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</si>
  <si>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</si>
  <si>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</si>
  <si>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</si>
  <si>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</si>
  <si>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</si>
  <si>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</si>
  <si>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</si>
  <si>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</si>
  <si>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</si>
  <si>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</si>
  <si>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</si>
  <si>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</si>
  <si>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</si>
  <si>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</si>
  <si>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</si>
  <si>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</si>
  <si>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</si>
  <si>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</si>
  <si>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</si>
  <si>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</si>
  <si>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</si>
  <si>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</si>
  <si>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</si>
  <si>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</si>
  <si>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</si>
  <si>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</si>
  <si>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</si>
  <si>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</si>
  <si>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</si>
  <si>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</si>
  <si>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</si>
  <si>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</si>
  <si>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</si>
  <si>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</si>
  <si>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</si>
  <si>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</si>
  <si>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</si>
  <si>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</si>
  <si>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</si>
  <si>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</si>
  <si>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</si>
  <si>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</si>
  <si>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</si>
  <si>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</si>
  <si>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</si>
  <si>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</si>
  <si>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</si>
  <si>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</si>
  <si>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</si>
  <si>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</si>
  <si>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</si>
  <si>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</si>
  <si>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</si>
  <si>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</si>
  <si>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</si>
  <si>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</si>
  <si>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</si>
  <si>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</si>
  <si>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</si>
  <si>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</si>
  <si>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</si>
  <si>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</si>
  <si>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</si>
  <si>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</si>
  <si>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</si>
  <si>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</si>
  <si>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</si>
  <si>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</si>
  <si>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</si>
  <si>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</si>
  <si>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</si>
  <si>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</si>
  <si>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</si>
  <si>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</si>
  <si>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</si>
  <si>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</si>
  <si>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</si>
  <si>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</si>
  <si>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</si>
  <si>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</si>
  <si>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</si>
  <si>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</si>
  <si>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</si>
  <si>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</si>
  <si>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</si>
  <si>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</si>
  <si>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</si>
  <si>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</si>
  <si>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</si>
  <si>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</si>
  <si>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</si>
  <si>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</si>
  <si>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</si>
  <si>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</si>
  <si>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</si>
  <si>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</si>
  <si>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</si>
  <si>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</si>
  <si>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</si>
  <si>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</si>
  <si>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</si>
  <si>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</si>
  <si>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</si>
  <si>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</si>
  <si>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</si>
  <si>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</si>
  <si>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</si>
  <si>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</si>
  <si>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</si>
  <si>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</si>
  <si>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</si>
  <si>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</si>
  <si>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</si>
  <si>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</si>
  <si>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</si>
  <si>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</si>
  <si>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</si>
  <si>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</si>
  <si>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</si>
  <si>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</si>
  <si>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</si>
  <si>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</si>
  <si>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</si>
  <si>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</si>
  <si>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</si>
  <si>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</si>
  <si>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</si>
  <si>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</si>
  <si>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</si>
  <si>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</si>
  <si>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</si>
  <si>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</si>
  <si>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</si>
  <si>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</si>
  <si>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</si>
  <si>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</si>
  <si>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</si>
  <si>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</si>
  <si>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</si>
  <si>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</si>
  <si>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</si>
  <si>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</si>
  <si>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</si>
  <si>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</si>
  <si>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</si>
  <si>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</si>
  <si>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</si>
  <si>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</si>
  <si>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</si>
  <si>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</si>
  <si>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</si>
  <si>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</si>
  <si>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</si>
  <si>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</si>
  <si>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</si>
  <si>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</si>
  <si>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</si>
  <si>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</si>
  <si>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</si>
  <si>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</si>
  <si>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</si>
  <si>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</si>
  <si>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</si>
  <si>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</si>
  <si>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</si>
  <si>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</si>
  <si>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</si>
  <si>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</si>
  <si>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</si>
  <si>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</si>
  <si>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</si>
  <si>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</si>
  <si>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</si>
  <si>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</si>
  <si>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</si>
  <si>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</si>
  <si>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</si>
  <si>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</si>
  <si>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</si>
  <si>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</si>
  <si>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</si>
  <si>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</si>
  <si>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</si>
  <si>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</si>
  <si>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</si>
  <si>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</si>
  <si>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</si>
  <si>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</si>
  <si>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</si>
  <si>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</si>
  <si>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</si>
  <si>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</si>
  <si>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</si>
  <si>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</si>
  <si>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</si>
  <si>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</si>
  <si>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</si>
  <si>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</si>
  <si>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</si>
  <si>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</si>
  <si>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</si>
  <si>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</si>
  <si>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</si>
  <si>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</si>
  <si>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</si>
  <si>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</si>
  <si>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</si>
  <si>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</si>
  <si>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</si>
  <si>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</si>
  <si>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</si>
  <si>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</si>
  <si>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</si>
  <si>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</si>
  <si>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</si>
  <si>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</si>
  <si>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</si>
  <si>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</si>
  <si>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</si>
  <si>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</si>
  <si>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</si>
  <si>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</si>
  <si>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</si>
  <si>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</si>
  <si>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</si>
  <si>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</si>
  <si>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</si>
  <si>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</si>
  <si>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</si>
  <si>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</si>
  <si>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</si>
  <si>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</si>
  <si>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</si>
  <si>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</si>
  <si>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</si>
  <si>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</si>
  <si>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</si>
  <si>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</si>
  <si>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</si>
  <si>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</si>
  <si>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</si>
  <si>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</si>
  <si>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</si>
  <si>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</si>
  <si>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</si>
  <si>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</si>
  <si>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</si>
  <si>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</si>
  <si>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</si>
  <si>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</si>
  <si>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</si>
  <si>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</si>
  <si>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</si>
  <si>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</si>
  <si>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</si>
  <si>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</si>
  <si>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</si>
  <si>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</si>
  <si>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</si>
  <si>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</si>
  <si>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</si>
  <si>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</si>
  <si>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</si>
  <si>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</si>
  <si>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</si>
  <si>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</si>
  <si>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</si>
  <si>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</si>
  <si>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</si>
  <si>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</si>
  <si>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</si>
  <si>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</si>
  <si>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</si>
  <si>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</si>
  <si>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</si>
  <si>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</si>
  <si>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</si>
  <si>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</si>
  <si>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</si>
  <si>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</si>
  <si>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</si>
  <si>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</si>
  <si>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</si>
  <si>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</si>
  <si>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</si>
  <si>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</si>
  <si>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</si>
  <si>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</si>
  <si>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</si>
  <si>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</si>
  <si>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</si>
  <si>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</si>
  <si>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</si>
  <si>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</si>
  <si>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</si>
  <si>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</si>
  <si>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</si>
  <si>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</si>
  <si>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</si>
  <si>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</si>
  <si>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</si>
  <si>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</si>
  <si>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</si>
  <si>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</si>
  <si>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</si>
  <si>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</si>
  <si>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</si>
  <si>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</si>
  <si>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</si>
  <si>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</si>
  <si>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</si>
  <si>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</si>
  <si>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</si>
  <si>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</si>
  <si>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</si>
  <si>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</si>
  <si>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</si>
  <si>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</si>
  <si>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</si>
  <si>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</si>
  <si>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</si>
  <si>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</si>
  <si>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</si>
  <si>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</si>
  <si>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</si>
  <si>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</si>
  <si>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</si>
  <si>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</si>
  <si>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</si>
  <si>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</si>
  <si>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</si>
  <si>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</si>
  <si>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</si>
  <si>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</si>
  <si>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</si>
  <si>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</si>
  <si>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</si>
  <si>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</si>
  <si>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</si>
  <si>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</si>
  <si>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</si>
  <si>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</si>
  <si>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</si>
  <si>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</si>
  <si>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</si>
  <si>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</si>
  <si>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</si>
  <si>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</si>
  <si>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</si>
  <si>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</si>
  <si>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</si>
  <si>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</si>
  <si>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</si>
  <si>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</si>
  <si>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</si>
  <si>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</si>
  <si>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</si>
  <si>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</si>
  <si>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</si>
  <si>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</si>
  <si>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</si>
  <si>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</si>
  <si>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</si>
  <si>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</si>
  <si>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</si>
  <si>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</si>
  <si>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</si>
  <si>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</si>
  <si>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</si>
  <si>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</si>
  <si>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</si>
  <si>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</si>
  <si>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</si>
  <si>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</si>
  <si>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</si>
  <si>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</si>
  <si>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</si>
  <si>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</si>
  <si>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</si>
  <si>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</si>
  <si>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</si>
  <si>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</si>
  <si>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</si>
  <si>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</si>
  <si>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</si>
  <si>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</si>
  <si>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</si>
  <si>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</si>
  <si>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</si>
  <si>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</si>
  <si>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</si>
  <si>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</si>
  <si>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</si>
  <si>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</si>
  <si>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</si>
  <si>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</si>
  <si>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</si>
  <si>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</si>
  <si>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</si>
  <si>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</si>
  <si>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</si>
  <si>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</si>
  <si>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</si>
  <si>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</si>
  <si>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</si>
  <si>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</si>
  <si>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</si>
  <si>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</si>
  <si>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</si>
  <si>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</si>
  <si>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</si>
  <si>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</si>
  <si>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</si>
  <si>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</si>
  <si>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</si>
  <si>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</si>
  <si>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</si>
  <si>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</si>
  <si>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</si>
  <si>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</si>
  <si>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</si>
  <si>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</si>
  <si>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</si>
  <si>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</si>
  <si>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</si>
  <si>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</si>
  <si>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</si>
  <si>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</si>
  <si>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</si>
  <si>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</si>
  <si>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</si>
  <si>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</si>
  <si>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</si>
  <si>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</si>
  <si>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</si>
  <si>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</si>
  <si>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</si>
  <si>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</si>
  <si>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</si>
  <si>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</si>
  <si>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</si>
  <si>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</si>
  <si>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</si>
  <si>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</si>
  <si>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</si>
  <si>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</si>
  <si>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</si>
  <si>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</si>
  <si>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</si>
  <si>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</si>
  <si>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</si>
  <si>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</si>
  <si>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</si>
  <si>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</si>
  <si>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</si>
  <si>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</si>
  <si>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</si>
  <si>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</si>
  <si>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</si>
  <si>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</si>
  <si>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</si>
  <si>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</si>
  <si>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</si>
  <si>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</si>
  <si>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</si>
  <si>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</si>
  <si>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</si>
  <si>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</si>
  <si>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</si>
  <si>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</si>
  <si>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</si>
  <si>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</si>
  <si>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</si>
  <si>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</si>
  <si>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</si>
  <si>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</si>
  <si>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</si>
  <si>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</si>
  <si>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</si>
  <si>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</si>
  <si>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</si>
  <si>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</si>
  <si>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</si>
  <si>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</si>
  <si>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</si>
  <si>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</si>
  <si>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</si>
  <si>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</si>
  <si>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</si>
  <si>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</si>
  <si>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</si>
  <si>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</si>
  <si>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</si>
  <si>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</si>
  <si>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</si>
  <si>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</si>
  <si>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</si>
  <si>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</si>
  <si>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</si>
  <si>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</si>
  <si>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</si>
  <si>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</si>
  <si>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</si>
  <si>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</si>
  <si>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</si>
  <si>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</si>
  <si>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</si>
  <si>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</si>
  <si>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</si>
  <si>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</si>
  <si>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</si>
  <si>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</si>
  <si>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</si>
  <si>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</si>
  <si>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</si>
  <si>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</si>
  <si>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</si>
  <si>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</si>
  <si>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</si>
  <si>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</si>
  <si>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</si>
  <si>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</si>
  <si>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</si>
  <si>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</si>
  <si>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</si>
  <si>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</si>
  <si>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</si>
  <si>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</si>
  <si>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</si>
  <si>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</si>
  <si>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</si>
  <si>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</si>
  <si>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</si>
  <si>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</si>
  <si>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</si>
  <si>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</si>
  <si>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</si>
  <si>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</si>
  <si>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</si>
  <si>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</si>
  <si>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</si>
  <si>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</si>
  <si>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</si>
  <si>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</si>
  <si>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</si>
  <si>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</si>
  <si>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</si>
  <si>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</si>
  <si>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</si>
  <si>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</si>
  <si>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</si>
  <si>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</si>
  <si>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</si>
  <si>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</si>
  <si>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</si>
  <si>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</si>
  <si>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</si>
  <si>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</si>
  <si>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</si>
  <si>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</si>
  <si>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</si>
  <si>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</si>
  <si>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</si>
  <si>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</si>
  <si>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</si>
  <si>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</si>
  <si>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</si>
  <si>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</si>
  <si>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</si>
  <si>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</si>
  <si>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</si>
  <si>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</si>
  <si>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</si>
  <si>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</si>
  <si>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</si>
  <si>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</si>
  <si>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</si>
  <si>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</si>
  <si>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</si>
  <si>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</si>
  <si>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</si>
  <si>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</si>
  <si>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</si>
  <si>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</si>
  <si>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</si>
  <si>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</si>
  <si>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</si>
  <si>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</si>
  <si>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</si>
  <si>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</si>
  <si>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</si>
  <si>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</si>
  <si>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</si>
  <si>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</si>
  <si>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</si>
  <si>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</si>
  <si>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</si>
  <si>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</si>
  <si>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</si>
  <si>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</si>
  <si>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</si>
  <si>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</si>
  <si>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</si>
  <si>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</si>
  <si>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</si>
  <si>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</si>
  <si>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</si>
  <si>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</si>
  <si>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</si>
  <si>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</si>
  <si>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</si>
  <si>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</si>
  <si>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</si>
  <si>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</si>
  <si>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</si>
  <si>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</si>
  <si>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</si>
  <si>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</si>
  <si>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</si>
  <si>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</si>
  <si>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</si>
  <si>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</si>
  <si>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</si>
  <si>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</si>
  <si>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</si>
  <si>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</si>
  <si>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</si>
  <si>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</si>
  <si>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</si>
  <si>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</si>
  <si>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</si>
  <si>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</si>
  <si>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</si>
  <si>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</si>
  <si>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</si>
  <si>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</si>
  <si>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</si>
  <si>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</si>
  <si>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</si>
  <si>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</si>
  <si>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</si>
  <si>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</si>
  <si>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</si>
  <si>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</si>
  <si>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</si>
  <si>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</si>
  <si>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</si>
  <si>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</si>
  <si>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</si>
  <si>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</si>
  <si>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</si>
  <si>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</si>
  <si>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</si>
  <si>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</si>
  <si>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</si>
  <si>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</si>
  <si>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</si>
  <si>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</si>
  <si>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</si>
  <si>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</si>
  <si>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</si>
  <si>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</si>
  <si>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</si>
  <si>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</si>
  <si>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</si>
  <si>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</si>
  <si>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</si>
  <si>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</si>
  <si>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</si>
  <si>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</si>
  <si>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</si>
  <si>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</si>
  <si>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</si>
  <si>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</si>
  <si>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</si>
  <si>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</si>
  <si>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</si>
  <si>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</si>
  <si>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</si>
  <si>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</si>
  <si>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</si>
  <si>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</si>
  <si>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</si>
  <si>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</si>
  <si>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</si>
  <si>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</si>
  <si>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</si>
  <si>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</si>
  <si>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</si>
  <si>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</si>
  <si>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</si>
  <si>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</si>
  <si>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</si>
  <si>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</si>
  <si>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</si>
  <si>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</si>
  <si>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</si>
  <si>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</si>
  <si>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</si>
  <si>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</si>
  <si>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</si>
  <si>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</si>
  <si>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</si>
  <si>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</si>
  <si>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</si>
  <si>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</si>
  <si>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</si>
  <si>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</si>
  <si>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</si>
  <si>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</si>
  <si>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</si>
  <si>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</si>
  <si>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</si>
  <si>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</si>
  <si>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</si>
  <si>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</si>
  <si>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</si>
  <si>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</si>
  <si>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</si>
  <si>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</si>
  <si>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</si>
  <si>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</si>
  <si>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</si>
  <si>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</si>
  <si>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</si>
  <si>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</si>
  <si>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</si>
  <si>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</si>
  <si>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</si>
  <si>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</si>
  <si>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</si>
  <si>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</si>
  <si>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</si>
  <si>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</si>
  <si>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</si>
  <si>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</si>
  <si>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</si>
  <si>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</si>
  <si>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</si>
  <si>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</si>
  <si>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</si>
  <si>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</si>
  <si>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</si>
  <si>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</si>
  <si>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</si>
  <si>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</si>
  <si>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</si>
  <si>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</si>
  <si>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</si>
  <si>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</si>
  <si>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</si>
  <si>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</si>
  <si>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</si>
  <si>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</si>
  <si>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</si>
  <si>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</si>
  <si>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</si>
  <si>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</si>
  <si>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</si>
  <si>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</si>
  <si>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</si>
  <si>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</si>
  <si>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</si>
  <si>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</si>
  <si>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</si>
  <si>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</si>
  <si>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</si>
  <si>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</si>
  <si>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</si>
  <si>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</si>
  <si>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</si>
  <si>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</si>
  <si>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</si>
  <si>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</si>
  <si>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</si>
  <si>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</si>
  <si>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</si>
  <si>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</si>
  <si>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</si>
  <si>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</si>
  <si>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</si>
  <si>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</si>
  <si>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</si>
  <si>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</si>
  <si>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</si>
  <si>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</si>
  <si>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</si>
  <si>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</si>
  <si>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</si>
  <si>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</si>
  <si>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</si>
  <si>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</si>
  <si>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</si>
  <si>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</si>
  <si>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</si>
  <si>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</si>
  <si>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</si>
  <si>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</si>
  <si>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</si>
  <si>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</si>
  <si>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</si>
  <si>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</si>
  <si>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</si>
  <si>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</si>
  <si>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</si>
  <si>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</si>
  <si>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</si>
  <si>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</si>
  <si>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</si>
  <si>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</si>
  <si>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</si>
  <si>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</si>
  <si>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</si>
  <si>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</si>
  <si>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</si>
  <si>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</si>
  <si>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</si>
  <si>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</si>
  <si>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</si>
  <si>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</si>
  <si>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</si>
  <si>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</si>
  <si>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</si>
  <si>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</si>
  <si>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</si>
  <si>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</si>
  <si>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</si>
  <si>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</si>
  <si>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</si>
  <si>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</si>
  <si>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</si>
  <si>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</si>
  <si>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</si>
  <si>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</si>
  <si>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</si>
  <si>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</si>
  <si>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</si>
  <si>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</si>
  <si>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</si>
  <si>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</si>
  <si>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</si>
  <si>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</si>
  <si>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</si>
  <si>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</si>
  <si>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</si>
  <si>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</si>
  <si>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</si>
  <si>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</si>
  <si>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</si>
  <si>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</si>
  <si>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</si>
  <si>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</si>
  <si>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</si>
  <si>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</si>
  <si>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</si>
  <si>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</si>
  <si>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</si>
  <si>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</si>
  <si>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</si>
  <si>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</si>
  <si>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</si>
  <si>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</si>
  <si>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</si>
  <si>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</si>
  <si>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</si>
  <si>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</si>
  <si>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</si>
  <si>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</si>
  <si>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</si>
  <si>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</si>
  <si>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</si>
  <si>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</si>
  <si>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</si>
  <si>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</si>
  <si>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</si>
  <si>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</si>
  <si>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</si>
  <si>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</si>
  <si>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</si>
  <si>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</si>
  <si>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</si>
  <si>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</si>
  <si>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</si>
  <si>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</si>
  <si>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</si>
  <si>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</si>
  <si>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</si>
  <si>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</si>
  <si>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</si>
  <si>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</si>
  <si>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</si>
  <si>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</si>
  <si>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</si>
  <si>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</si>
  <si>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</si>
  <si>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</si>
  <si>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</si>
  <si>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</si>
  <si>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</si>
  <si>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</si>
  <si>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</si>
  <si>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</si>
  <si>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</si>
  <si>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</si>
  <si>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</si>
  <si>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</si>
  <si>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</si>
  <si>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</si>
  <si>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</si>
  <si>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</si>
  <si>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</si>
  <si>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</si>
  <si>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</si>
  <si>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</si>
  <si>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</si>
  <si>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</si>
  <si>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</si>
  <si>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</si>
  <si>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</si>
  <si>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</si>
  <si>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</si>
  <si>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</si>
  <si>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</si>
  <si>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</si>
  <si>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</si>
  <si>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</si>
  <si>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</si>
  <si>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</si>
  <si>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</si>
  <si>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</si>
  <si>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</si>
  <si>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</si>
  <si>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</si>
  <si>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</si>
  <si>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</si>
  <si>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</si>
  <si>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</si>
  <si>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</si>
  <si>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</si>
  <si>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</si>
  <si>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</si>
  <si>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</si>
  <si>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</si>
  <si>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</si>
  <si>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</si>
  <si>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</si>
  <si>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</si>
  <si>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</si>
  <si>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</si>
  <si>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</si>
  <si>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</si>
  <si>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</si>
  <si>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</si>
  <si>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</si>
  <si>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</si>
  <si>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</si>
  <si>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</si>
  <si>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</si>
  <si>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</si>
  <si>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</si>
  <si>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</si>
  <si>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</si>
  <si>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</si>
  <si>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</si>
  <si>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</si>
  <si>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</si>
  <si>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</si>
  <si>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</si>
  <si>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</si>
  <si>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</si>
  <si>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</si>
  <si>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</si>
  <si>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</si>
  <si>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</si>
  <si>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</si>
  <si>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</si>
  <si>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</si>
  <si>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</si>
  <si>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</si>
  <si>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</si>
  <si>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</si>
  <si>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</si>
  <si>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</si>
  <si>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</si>
  <si>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</si>
  <si>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</si>
  <si>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</si>
  <si>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</si>
  <si>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</si>
  <si>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</si>
  <si>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</si>
  <si>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</si>
  <si>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</si>
  <si>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</si>
  <si>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</si>
  <si>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</si>
  <si>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</si>
  <si>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</si>
  <si>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</si>
  <si>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</si>
  <si>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</si>
  <si>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</si>
  <si>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</si>
  <si>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</si>
  <si>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</si>
  <si>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</si>
  <si>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</si>
  <si>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</si>
  <si>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</si>
  <si>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</si>
  <si>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</si>
  <si>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</si>
  <si>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</si>
  <si>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</si>
  <si>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</si>
  <si>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</si>
  <si>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</si>
  <si>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</si>
  <si>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</si>
  <si>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</si>
  <si>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</si>
  <si>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</si>
  <si>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</si>
  <si>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</si>
  <si>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</si>
  <si>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</si>
  <si>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</si>
  <si>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</si>
  <si>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</si>
  <si>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</si>
  <si>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</si>
  <si>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</si>
  <si>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</si>
  <si>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</si>
  <si>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</si>
  <si>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</si>
  <si>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</si>
  <si>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</si>
  <si>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</si>
  <si>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</si>
  <si>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</si>
  <si>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</si>
  <si>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</si>
  <si>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</si>
  <si>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</si>
  <si>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</si>
  <si>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</si>
  <si>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</si>
  <si>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</si>
  <si>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</si>
  <si>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</si>
  <si>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</si>
  <si>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</si>
  <si>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</si>
  <si>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</si>
  <si>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</si>
  <si>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</si>
  <si>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</si>
  <si>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</si>
  <si>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</si>
  <si>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</si>
  <si>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</si>
  <si>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</si>
  <si>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</si>
  <si>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</si>
  <si>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</si>
  <si>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</si>
  <si>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</si>
  <si>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</si>
  <si>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</si>
  <si>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</si>
  <si>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</si>
  <si>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</si>
  <si>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</si>
  <si>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</si>
  <si>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</si>
  <si>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</si>
  <si>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</si>
  <si>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</si>
  <si>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</si>
  <si>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</si>
  <si>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</si>
  <si>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</si>
  <si>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</si>
  <si>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</si>
  <si>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</si>
  <si>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</si>
  <si>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</si>
  <si>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</si>
  <si>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</si>
  <si>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</si>
  <si>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</si>
  <si>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</si>
  <si>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</si>
  <si>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</si>
  <si>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</si>
  <si>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</si>
  <si>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</si>
  <si>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</si>
  <si>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</si>
  <si>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</si>
  <si>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</si>
  <si>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</si>
  <si>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</si>
  <si>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</si>
  <si>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</si>
  <si>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</si>
  <si>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</si>
  <si>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</si>
  <si>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</si>
  <si>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</si>
  <si>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</si>
  <si>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</si>
  <si>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</si>
  <si>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</si>
  <si>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</si>
  <si>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</si>
  <si>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</si>
  <si>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</si>
  <si>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</si>
  <si>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</si>
  <si>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</si>
  <si>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</si>
  <si>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</si>
  <si>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</si>
  <si>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</si>
  <si>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</si>
  <si>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</si>
  <si>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</si>
  <si>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</si>
  <si>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</si>
  <si>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</si>
  <si>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</si>
  <si>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</si>
  <si>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</si>
  <si>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</si>
  <si>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</si>
  <si>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</si>
  <si>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</si>
  <si>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</si>
  <si>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</si>
  <si>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</si>
  <si>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</si>
  <si>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</si>
  <si>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</si>
  <si>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</si>
  <si>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</si>
  <si>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</si>
  <si>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</si>
  <si>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</si>
  <si>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</si>
  <si>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</si>
  <si>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</si>
  <si>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</si>
  <si>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</si>
  <si>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</si>
  <si>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</si>
  <si>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</si>
  <si>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</si>
  <si>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</si>
  <si>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</si>
  <si>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</si>
  <si>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</si>
  <si>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</si>
  <si>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</si>
  <si>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</si>
  <si>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</si>
  <si>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</si>
  <si>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</si>
  <si>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</si>
  <si>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</si>
  <si>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</si>
  <si>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</si>
  <si>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</si>
  <si>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</si>
  <si>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</si>
  <si>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</si>
  <si>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</si>
  <si>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</si>
  <si>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</si>
  <si>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</si>
  <si>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</si>
  <si>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</si>
  <si>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</si>
  <si>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</si>
  <si>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</si>
  <si>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</si>
  <si>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</si>
  <si>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</si>
  <si>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</si>
  <si>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</si>
  <si>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</si>
  <si>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</si>
  <si>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</si>
  <si>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</si>
  <si>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</si>
  <si>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</si>
  <si>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</si>
  <si>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</si>
  <si>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</si>
  <si>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</si>
  <si>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</si>
  <si>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</si>
  <si>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</si>
  <si>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</si>
  <si>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</si>
  <si>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</si>
  <si>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</si>
  <si>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</si>
  <si>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</si>
  <si>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</si>
  <si>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</si>
  <si>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</si>
  <si>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</si>
  <si>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</si>
  <si>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</si>
  <si>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</si>
  <si>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</si>
  <si>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</si>
  <si>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</si>
  <si>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</si>
  <si>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</si>
  <si>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</si>
  <si>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</si>
  <si>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</si>
  <si>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</si>
  <si>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</si>
  <si>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</si>
  <si>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</si>
  <si>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</si>
  <si>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</si>
  <si>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</si>
  <si>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</si>
  <si>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</si>
  <si>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</si>
  <si>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</si>
  <si>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</si>
  <si>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</si>
  <si>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</si>
  <si>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</si>
  <si>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</si>
  <si>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</si>
  <si>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</si>
  <si>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</si>
  <si>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</si>
  <si>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</si>
  <si>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</si>
  <si>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</si>
  <si>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</si>
  <si>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</si>
  <si>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</si>
  <si>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</si>
  <si>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</si>
  <si>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</si>
  <si>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</si>
  <si>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</si>
  <si>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</si>
  <si>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</si>
  <si>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</si>
  <si>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</si>
  <si>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</si>
  <si>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</si>
  <si>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</si>
  <si>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</si>
  <si>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</si>
  <si>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</si>
  <si>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</si>
  <si>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</si>
  <si>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</si>
  <si>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</si>
  <si>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</si>
  <si>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</si>
  <si>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</si>
  <si>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</si>
  <si>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</si>
  <si>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</si>
  <si>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</si>
  <si>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</si>
  <si>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</si>
  <si>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</si>
  <si>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</si>
  <si>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</si>
  <si>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</si>
  <si>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</si>
  <si>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</si>
  <si>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</si>
  <si>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</si>
  <si>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</si>
  <si>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</si>
  <si>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</si>
  <si>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</si>
  <si>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</si>
  <si>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</si>
  <si>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</si>
  <si>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</si>
  <si>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</si>
  <si>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</si>
  <si>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</si>
  <si>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</si>
  <si>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</si>
  <si>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</si>
  <si>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</si>
  <si>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</si>
  <si>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</si>
  <si>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</si>
  <si>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</si>
  <si>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</si>
  <si>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</si>
  <si>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</si>
  <si>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</si>
  <si>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</si>
  <si>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</si>
  <si>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</si>
  <si>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</si>
  <si>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</si>
  <si>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</si>
  <si>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</si>
  <si>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</si>
  <si>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</si>
  <si>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</si>
  <si>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</si>
  <si>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</si>
  <si>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</si>
  <si>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</si>
  <si>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</si>
  <si>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</si>
  <si>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</si>
  <si>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</si>
  <si>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</si>
  <si>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</si>
  <si>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</si>
  <si>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</si>
  <si>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</si>
  <si>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</si>
  <si>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</si>
  <si>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</si>
  <si>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</si>
  <si>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</si>
  <si>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</si>
  <si>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</si>
  <si>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</si>
  <si>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</si>
  <si>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</si>
  <si>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</si>
  <si>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</si>
  <si>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</si>
  <si>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</si>
  <si>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</si>
  <si>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</si>
  <si>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</si>
  <si>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</si>
  <si>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</si>
  <si>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</si>
  <si>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</si>
  <si>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</si>
  <si>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</si>
  <si>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</si>
  <si>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</si>
  <si>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</si>
  <si>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</si>
  <si>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</si>
  <si>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</si>
  <si>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</si>
  <si>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</si>
  <si>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</si>
  <si>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</si>
  <si>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</si>
  <si>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</si>
  <si>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</si>
  <si>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</si>
  <si>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</si>
  <si>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</si>
  <si>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</si>
  <si>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</si>
  <si>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</si>
  <si>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</si>
  <si>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</si>
  <si>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</si>
  <si>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</si>
  <si>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</si>
  <si>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</si>
  <si>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</si>
  <si>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</si>
  <si>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</si>
  <si>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</si>
  <si>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</si>
  <si>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</si>
  <si>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</si>
  <si>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</si>
  <si>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</si>
  <si>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</si>
  <si>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</si>
  <si>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</si>
  <si>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</si>
  <si>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</si>
  <si>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</si>
  <si>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</si>
  <si>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</si>
  <si>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</si>
  <si>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</si>
  <si>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</si>
  <si>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</si>
  <si>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</si>
  <si>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</si>
  <si>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</si>
  <si>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</si>
  <si>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</si>
  <si>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</si>
  <si>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</si>
  <si>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</si>
  <si>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</si>
  <si>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</si>
  <si>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</si>
  <si>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</si>
  <si>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</si>
  <si>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</si>
  <si>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</si>
  <si>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</si>
  <si>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</si>
  <si>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</si>
  <si>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</si>
  <si>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</si>
  <si>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</si>
  <si>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</si>
  <si>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</si>
  <si>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</si>
  <si>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</si>
  <si>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</si>
  <si>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</si>
  <si>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</si>
  <si>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</si>
  <si>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</si>
  <si>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</si>
  <si>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</si>
  <si>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</si>
  <si>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</si>
  <si>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</si>
  <si>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</si>
  <si>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</si>
  <si>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</si>
  <si>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</si>
  <si>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</si>
  <si>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</si>
  <si>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</si>
  <si>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</si>
  <si>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</si>
  <si>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</si>
  <si>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</si>
  <si>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</si>
  <si>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</si>
  <si>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</si>
  <si>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</si>
  <si>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</si>
  <si>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</si>
  <si>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</si>
  <si>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</si>
  <si>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</si>
  <si>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</si>
  <si>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</si>
  <si>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</si>
  <si>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</si>
  <si>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</si>
  <si>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</si>
  <si>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</si>
  <si>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</si>
  <si>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</si>
  <si>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</si>
  <si>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</si>
  <si>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</si>
  <si>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</si>
  <si>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</si>
  <si>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</si>
  <si>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</si>
  <si>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</si>
  <si>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</si>
  <si>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</si>
  <si>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</si>
  <si>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</si>
  <si>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</si>
  <si>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</si>
  <si>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</si>
  <si>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</si>
  <si>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</si>
  <si>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</si>
  <si>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</si>
  <si>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</si>
  <si>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</si>
  <si>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</si>
  <si>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</si>
  <si>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</si>
  <si>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</si>
  <si>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</si>
  <si>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</si>
  <si>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</si>
  <si>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</si>
  <si>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</si>
  <si>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</si>
  <si>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</si>
  <si>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</si>
  <si>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</si>
  <si>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</si>
  <si>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</si>
  <si>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</si>
  <si>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</si>
  <si>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</si>
  <si>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</si>
  <si>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</si>
  <si>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</si>
  <si>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</si>
  <si>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</si>
  <si>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</si>
  <si>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</si>
  <si>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</si>
  <si>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</si>
  <si>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</si>
  <si>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</si>
  <si>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</si>
  <si>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</si>
  <si>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</si>
  <si>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</si>
  <si>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</si>
  <si>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</si>
  <si>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</si>
  <si>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</si>
  <si>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</si>
  <si>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</si>
  <si>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</si>
  <si>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</si>
  <si>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</si>
  <si>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</si>
  <si>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</si>
  <si>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</si>
  <si>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</si>
  <si>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</si>
  <si>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</si>
  <si>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</si>
  <si>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</si>
  <si>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</si>
  <si>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</si>
  <si>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</si>
  <si>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</si>
  <si>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</si>
  <si>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</si>
  <si>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</si>
  <si>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</si>
  <si>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</si>
  <si>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</si>
  <si>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</si>
  <si>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</si>
  <si>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</si>
  <si>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</si>
  <si>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</si>
  <si>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</si>
  <si>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</si>
  <si>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</si>
  <si>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</si>
  <si>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</si>
  <si>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</si>
  <si>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</si>
  <si>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</si>
  <si>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</si>
  <si>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</si>
  <si>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</si>
  <si>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</si>
  <si>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</si>
  <si>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</si>
  <si>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</si>
  <si>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</si>
  <si>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</si>
  <si>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</si>
  <si>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</si>
  <si>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</si>
  <si>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</si>
  <si>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</si>
  <si>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</si>
  <si>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</si>
  <si>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</si>
  <si>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</si>
  <si>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</si>
  <si>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</si>
  <si>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</si>
  <si>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</si>
  <si>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</si>
  <si>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</si>
  <si>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</si>
  <si>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</si>
  <si>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</si>
  <si>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</si>
  <si>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</si>
  <si>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</si>
  <si>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</si>
  <si>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</si>
  <si>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</si>
  <si>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</si>
  <si>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</si>
  <si>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</si>
  <si>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</si>
  <si>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</si>
  <si>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</si>
  <si>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</si>
  <si>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</si>
  <si>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</si>
  <si>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</si>
  <si>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</si>
  <si>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</si>
  <si>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</si>
  <si>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</si>
  <si>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</si>
  <si>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</si>
  <si>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</si>
  <si>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</si>
  <si>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</si>
  <si>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</si>
  <si>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</si>
  <si>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</si>
  <si>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</si>
  <si>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</si>
  <si>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</si>
  <si>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</si>
  <si>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</si>
  <si>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</si>
  <si>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</si>
  <si>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</si>
  <si>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</si>
  <si>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</si>
  <si>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</si>
  <si>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</si>
  <si>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</si>
  <si>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</si>
  <si>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</si>
  <si>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</si>
  <si>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</si>
  <si>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</si>
  <si>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</si>
  <si>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</si>
  <si>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</si>
  <si>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</si>
  <si>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</si>
  <si>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</si>
  <si>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</si>
  <si>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</si>
  <si>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</si>
  <si>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</si>
  <si>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</si>
  <si>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</si>
  <si>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</si>
  <si>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</si>
  <si>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</si>
  <si>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</si>
  <si>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</si>
  <si>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</si>
  <si>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</si>
  <si>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</si>
  <si>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</si>
  <si>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</si>
  <si>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</si>
  <si>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</si>
  <si>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</si>
  <si>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</si>
  <si>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</si>
  <si>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</si>
  <si>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</si>
  <si>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</si>
  <si>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</si>
  <si>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</si>
  <si>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</si>
  <si>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</si>
  <si>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</si>
  <si>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</si>
  <si>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</si>
  <si>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</si>
  <si>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</si>
  <si>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</si>
  <si>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</si>
  <si>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</si>
  <si>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</si>
  <si>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</si>
  <si>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</si>
  <si>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</si>
  <si>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</si>
  <si>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</si>
  <si>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</si>
  <si>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</si>
  <si>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</si>
  <si>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</si>
  <si>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</si>
  <si>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</si>
  <si>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</si>
  <si>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</si>
  <si>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</si>
  <si>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</si>
  <si>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</si>
  <si>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</si>
  <si>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</si>
  <si>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</si>
  <si>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</si>
  <si>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</si>
  <si>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</si>
  <si>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</si>
  <si>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</si>
  <si>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</si>
  <si>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</si>
  <si>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</si>
  <si>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</si>
  <si>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</si>
  <si>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</si>
  <si>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</si>
  <si>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</si>
  <si>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</si>
  <si>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</si>
  <si>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</si>
  <si>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</si>
  <si>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</si>
  <si>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</si>
  <si>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</si>
  <si>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</si>
  <si>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</si>
  <si>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</si>
  <si>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</si>
  <si>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</si>
  <si>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</si>
  <si>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</si>
  <si>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</si>
  <si>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</si>
  <si>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</si>
  <si>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</si>
  <si>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</si>
  <si>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</si>
  <si>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</si>
  <si>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</si>
  <si>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</si>
  <si>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</si>
  <si>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</si>
  <si>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</si>
  <si>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</si>
  <si>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</si>
  <si>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</si>
  <si>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</si>
  <si>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</si>
  <si>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</si>
  <si>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</si>
  <si>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</si>
  <si>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</si>
  <si>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</si>
  <si>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</si>
  <si>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</si>
  <si>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</si>
  <si>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</si>
  <si>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</si>
  <si>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</si>
  <si>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</si>
  <si>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</si>
  <si>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</si>
  <si>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</si>
  <si>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</si>
  <si>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</si>
  <si>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</si>
  <si>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</si>
  <si>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</si>
  <si>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</si>
  <si>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</si>
  <si>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</si>
  <si>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</si>
  <si>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</si>
  <si>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</si>
  <si>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</si>
  <si>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</si>
  <si>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</si>
  <si>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</si>
  <si>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</si>
  <si>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</si>
  <si>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</si>
  <si>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</si>
  <si>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</si>
  <si>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</si>
  <si>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</si>
  <si>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</si>
  <si>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</si>
  <si>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</si>
  <si>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</si>
  <si>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</si>
  <si>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</si>
  <si>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</si>
  <si>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</si>
  <si>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</si>
  <si>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</si>
  <si>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</si>
  <si>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</si>
  <si>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</si>
  <si>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</si>
  <si>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</si>
  <si>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</si>
  <si>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</si>
  <si>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</si>
  <si>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</si>
  <si>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</si>
  <si>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</si>
  <si>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</si>
  <si>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</si>
  <si>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</si>
  <si>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</si>
  <si>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</si>
  <si>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</si>
  <si>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</si>
  <si>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</si>
  <si>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</si>
  <si>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</si>
  <si>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</si>
  <si>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</si>
  <si>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</si>
  <si>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</si>
  <si>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</si>
  <si>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</si>
  <si>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</si>
  <si>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</si>
  <si>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</si>
  <si>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</si>
  <si>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</si>
  <si>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</si>
  <si>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</si>
  <si>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</si>
  <si>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</si>
  <si>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</si>
  <si>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</si>
  <si>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</si>
  <si>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</si>
  <si>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</si>
  <si>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</si>
  <si>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</si>
  <si>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</si>
  <si>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</si>
  <si>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</si>
  <si>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</si>
  <si>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</si>
  <si>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</si>
  <si>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</si>
  <si>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</si>
  <si>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</si>
  <si>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</si>
  <si>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</si>
  <si>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</si>
  <si>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</si>
  <si>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</si>
  <si>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</si>
  <si>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</si>
  <si>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</si>
  <si>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</si>
  <si>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</si>
  <si>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</si>
  <si>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</si>
  <si>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</si>
  <si>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</si>
  <si>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</si>
  <si>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</si>
  <si>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</si>
  <si>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</si>
  <si>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</si>
  <si>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</si>
  <si>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</si>
  <si>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</si>
  <si>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</si>
  <si>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</si>
  <si>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</si>
  <si>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</si>
  <si>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</si>
  <si>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</si>
  <si>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</si>
  <si>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</si>
  <si>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</si>
  <si>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</si>
  <si>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</si>
  <si>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</si>
  <si>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</si>
  <si>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</si>
  <si>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</si>
  <si>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</si>
  <si>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</si>
  <si>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</si>
  <si>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</si>
  <si>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</si>
  <si>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</si>
  <si>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</si>
  <si>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</si>
  <si>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</si>
  <si>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</si>
  <si>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</si>
  <si>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</si>
  <si>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</si>
  <si>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</si>
  <si>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</si>
  <si>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</si>
  <si>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</si>
  <si>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</si>
  <si>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</si>
  <si>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</si>
  <si>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</si>
  <si>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</si>
  <si>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</si>
  <si>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</si>
  <si>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</si>
  <si>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</si>
  <si>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</si>
  <si>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</si>
  <si>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</si>
  <si>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</si>
  <si>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</si>
  <si>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</si>
  <si>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</si>
  <si>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</si>
  <si>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</si>
  <si>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</si>
  <si>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</si>
  <si>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</si>
  <si>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</si>
  <si>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</si>
  <si>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</si>
  <si>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</si>
  <si>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</si>
  <si>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</si>
  <si>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</si>
  <si>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</si>
  <si>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</si>
  <si>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</si>
  <si>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</si>
  <si>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</si>
  <si>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</si>
  <si>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</si>
  <si>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</si>
  <si>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</si>
  <si>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</si>
  <si>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</si>
  <si>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</si>
  <si>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</si>
  <si>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</si>
  <si>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</si>
  <si>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</si>
  <si>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</si>
  <si>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</si>
  <si>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</si>
  <si>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</si>
  <si>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</si>
  <si>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</si>
  <si>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</si>
  <si>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</si>
  <si>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</si>
  <si>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</si>
  <si>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</si>
  <si>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</si>
  <si>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</si>
  <si>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</si>
  <si>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</si>
  <si>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</si>
  <si>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</si>
  <si>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</si>
  <si>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</si>
  <si>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</si>
  <si>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</si>
  <si>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</si>
  <si>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</si>
  <si>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</si>
  <si>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</si>
  <si>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</si>
  <si>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</si>
  <si>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</si>
  <si>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</si>
  <si>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</si>
  <si>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</si>
  <si>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</si>
  <si>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</si>
  <si>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</si>
  <si>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</si>
  <si>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</si>
  <si>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</si>
  <si>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</si>
  <si>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</si>
  <si>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</si>
  <si>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</si>
  <si>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</si>
  <si>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</si>
  <si>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</si>
  <si>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</si>
  <si>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</si>
  <si>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</si>
  <si>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</si>
  <si>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</si>
  <si>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</si>
  <si>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</si>
  <si>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</si>
  <si>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</si>
  <si>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</si>
  <si>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</si>
  <si>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</si>
  <si>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</si>
  <si>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</si>
  <si>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</si>
  <si>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</si>
  <si>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</si>
  <si>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</si>
  <si>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</si>
  <si>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</si>
  <si>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</si>
  <si>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</si>
  <si>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</si>
  <si>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</si>
  <si>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</si>
  <si>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</si>
  <si>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</si>
  <si>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</si>
  <si>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</si>
  <si>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</si>
  <si>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</si>
  <si>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</si>
  <si>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</si>
  <si>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</si>
  <si>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</si>
  <si>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</si>
  <si>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</si>
  <si>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</si>
  <si>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</si>
  <si>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</si>
  <si>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</si>
  <si>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</si>
  <si>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</si>
  <si>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</si>
  <si>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</si>
  <si>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</si>
  <si>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</si>
  <si>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</si>
  <si>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</si>
  <si>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</si>
  <si>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</si>
  <si>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</si>
  <si>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</si>
  <si>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</si>
  <si>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</si>
  <si>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</si>
  <si>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</si>
  <si>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</si>
  <si>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</si>
  <si>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</si>
  <si>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</si>
  <si>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</si>
  <si>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</si>
  <si>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</si>
  <si>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</si>
  <si>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</si>
  <si>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</si>
  <si>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</si>
  <si>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</si>
  <si>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</si>
  <si>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</si>
  <si>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</si>
  <si>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</si>
  <si>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</si>
  <si>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</si>
  <si>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</si>
  <si>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</si>
  <si>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</si>
  <si>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</si>
  <si>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</si>
  <si>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</si>
  <si>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</si>
  <si>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</si>
  <si>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</si>
  <si>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</si>
  <si>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</si>
  <si>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</si>
  <si>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</si>
  <si>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</si>
  <si>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</si>
  <si>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</si>
  <si>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</si>
  <si>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</si>
  <si>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</si>
  <si>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</si>
  <si>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</si>
  <si>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</si>
  <si>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</si>
  <si>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</si>
  <si>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</si>
  <si>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</si>
  <si>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</si>
  <si>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</si>
  <si>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</si>
  <si>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</si>
  <si>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</si>
  <si>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</si>
  <si>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</si>
  <si>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</si>
  <si>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</si>
  <si>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</si>
  <si>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</si>
  <si>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</si>
  <si>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</si>
  <si>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</si>
  <si>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</si>
  <si>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</si>
  <si>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</si>
  <si>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</si>
  <si>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</si>
  <si>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</si>
  <si>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</si>
  <si>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</si>
  <si>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</si>
  <si>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</si>
  <si>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</si>
  <si>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</si>
  <si>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</si>
  <si>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</si>
  <si>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</si>
  <si>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</si>
  <si>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</si>
  <si>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</si>
  <si>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</si>
  <si>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</si>
  <si>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</si>
  <si>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</si>
  <si>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</si>
  <si>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</si>
  <si>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</si>
  <si>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</si>
  <si>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</si>
  <si>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</si>
  <si>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</si>
  <si>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</si>
  <si>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</si>
  <si>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</si>
  <si>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</si>
  <si>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</si>
  <si>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</si>
  <si>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</si>
  <si>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</si>
  <si>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</si>
  <si>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</si>
  <si>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</si>
  <si>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</si>
  <si>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</si>
  <si>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</si>
  <si>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</si>
  <si>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</si>
  <si>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</si>
  <si>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</si>
  <si>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</si>
  <si>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</si>
  <si>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</si>
  <si>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</si>
  <si>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</si>
  <si>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</si>
  <si>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</si>
  <si>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</si>
  <si>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</si>
  <si>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</si>
  <si>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</si>
  <si>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</si>
  <si>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</si>
  <si>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</si>
  <si>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</si>
  <si>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</si>
  <si>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</si>
  <si>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</si>
  <si>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</si>
  <si>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</si>
  <si>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</si>
  <si>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</si>
  <si>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</si>
  <si>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</si>
  <si>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</si>
  <si>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</si>
  <si>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</si>
  <si>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</si>
  <si>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</si>
  <si>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</si>
  <si>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</si>
  <si>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</si>
  <si>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</si>
  <si>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</si>
  <si>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</si>
  <si>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</si>
  <si>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</si>
  <si>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</si>
  <si>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</si>
  <si>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</si>
  <si>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</si>
  <si>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</si>
  <si>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</si>
  <si>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</si>
  <si>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</si>
  <si>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</si>
  <si>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</si>
  <si>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</si>
  <si>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</si>
  <si>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</si>
  <si>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</si>
  <si>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</si>
  <si>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</si>
  <si>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</si>
  <si>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</si>
  <si>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</si>
  <si>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</si>
  <si>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</si>
  <si>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</si>
  <si>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</si>
  <si>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</si>
  <si>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</si>
  <si>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</si>
  <si>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</si>
  <si>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</si>
  <si>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</si>
  <si>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</si>
  <si>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</si>
  <si>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</si>
  <si>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</si>
  <si>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</si>
  <si>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</si>
  <si>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</si>
  <si>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</si>
  <si>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</si>
  <si>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</si>
  <si>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</si>
  <si>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</si>
  <si>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</si>
  <si>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</si>
  <si>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</si>
  <si>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</si>
  <si>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</si>
  <si>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</si>
  <si>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</si>
  <si>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</si>
  <si>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</si>
  <si>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</si>
  <si>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</si>
  <si>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</si>
  <si>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</si>
  <si>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</si>
  <si>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</si>
  <si>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</si>
  <si>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</si>
  <si>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</si>
  <si>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</si>
  <si>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</si>
  <si>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</si>
  <si>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</si>
  <si>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</si>
  <si>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</si>
  <si>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</si>
  <si>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</si>
  <si>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</si>
  <si>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</si>
  <si>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</si>
  <si>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</si>
  <si>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</si>
  <si>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</si>
  <si>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</si>
  <si>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</si>
  <si>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</si>
  <si>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</si>
  <si>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</si>
  <si>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</si>
  <si>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</si>
  <si>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</si>
  <si>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</si>
  <si>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</si>
  <si>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</si>
  <si>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</si>
  <si>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</si>
  <si>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</si>
  <si>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</si>
  <si>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</si>
  <si>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</si>
  <si>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</si>
  <si>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</si>
  <si>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</si>
  <si>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</si>
  <si>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</si>
  <si>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</si>
  <si>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</si>
  <si>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</si>
  <si>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</si>
  <si>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</si>
  <si>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</si>
  <si>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</si>
  <si>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</si>
  <si>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</si>
  <si>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</si>
  <si>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</si>
  <si>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</si>
  <si>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</si>
  <si>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</si>
  <si>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</si>
  <si>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</si>
  <si>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</si>
  <si>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</si>
  <si>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</si>
  <si>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</si>
  <si>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</si>
  <si>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</si>
  <si>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</si>
  <si>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</si>
  <si>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</si>
  <si>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</si>
  <si>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</si>
  <si>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</si>
  <si>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</si>
  <si>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</si>
  <si>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</si>
  <si>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</si>
  <si>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</si>
  <si>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</si>
  <si>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</si>
  <si>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</si>
  <si>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</si>
  <si>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</si>
  <si>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</si>
  <si>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</si>
  <si>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</si>
  <si>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</si>
  <si>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</si>
  <si>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</si>
  <si>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</si>
  <si>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</si>
  <si>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</si>
  <si>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</si>
  <si>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</si>
  <si>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</si>
  <si>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</si>
  <si>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</si>
  <si>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</si>
  <si>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</si>
  <si>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</si>
  <si>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</si>
  <si>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</si>
  <si>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</si>
  <si>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</si>
  <si>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</si>
  <si>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</si>
  <si>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</si>
  <si>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</si>
  <si>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</si>
  <si>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</si>
  <si>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</si>
  <si>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</si>
  <si>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</si>
  <si>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</si>
  <si>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</si>
  <si>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</si>
  <si>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</si>
  <si>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</si>
  <si>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</si>
  <si>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</si>
  <si>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</si>
  <si>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</si>
  <si>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</si>
  <si>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</si>
  <si>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</si>
  <si>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</si>
  <si>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</si>
  <si>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</si>
  <si>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</si>
  <si>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</si>
  <si>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</si>
  <si>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</si>
  <si>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</si>
  <si>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</si>
  <si>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</si>
  <si>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</si>
  <si>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</si>
  <si>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</si>
  <si>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</si>
  <si>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</si>
  <si>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</si>
  <si>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</si>
  <si>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</si>
  <si>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</si>
  <si>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</si>
  <si>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</si>
  <si>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</si>
  <si>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</si>
  <si>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</si>
  <si>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</si>
  <si>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</si>
  <si>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</si>
  <si>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</si>
  <si>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</si>
  <si>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</si>
  <si>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</si>
  <si>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</si>
  <si>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</si>
  <si>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</si>
  <si>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</si>
  <si>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</si>
  <si>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</si>
  <si>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</si>
  <si>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</si>
  <si>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</si>
  <si>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</si>
  <si>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</si>
  <si>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</si>
  <si>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</si>
  <si>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</si>
  <si>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</si>
  <si>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</si>
  <si>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</si>
  <si>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</si>
  <si>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</si>
  <si>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</si>
  <si>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</si>
  <si>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</si>
  <si>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</si>
  <si>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</si>
  <si>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</si>
  <si>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</si>
  <si>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</si>
  <si>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</si>
  <si>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</si>
  <si>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</si>
  <si>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</si>
  <si>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</si>
  <si>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</si>
  <si>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</si>
  <si>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</si>
  <si>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</si>
  <si>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</si>
  <si>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</si>
  <si>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</si>
  <si>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</si>
  <si>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</si>
  <si>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</si>
  <si>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</si>
  <si>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</si>
  <si>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</si>
  <si>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</si>
  <si>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</si>
  <si>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</si>
  <si>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</si>
  <si>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</si>
  <si>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</si>
  <si>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</si>
  <si>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</si>
  <si>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</si>
  <si>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</si>
  <si>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</si>
  <si>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</si>
  <si>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</si>
  <si>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</si>
  <si>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</si>
  <si>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</si>
  <si>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</si>
  <si>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</si>
  <si>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</si>
  <si>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</si>
  <si>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</si>
  <si>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</si>
  <si>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</si>
  <si>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</si>
  <si>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</si>
  <si>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</si>
  <si>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</si>
  <si>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</si>
  <si>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</si>
  <si>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</si>
  <si>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</si>
  <si>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</si>
  <si>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</si>
  <si>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</si>
  <si>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</si>
  <si>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</si>
  <si>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</si>
  <si>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</si>
  <si>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</si>
  <si>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</si>
  <si>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</si>
  <si>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</si>
  <si>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</si>
  <si>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</si>
  <si>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</si>
  <si>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</si>
  <si>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</si>
  <si>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</si>
  <si>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</si>
  <si>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</si>
  <si>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</si>
  <si>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</si>
  <si>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</si>
  <si>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</si>
  <si>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</si>
  <si>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</si>
  <si>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</si>
  <si>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</si>
  <si>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</si>
  <si>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</si>
  <si>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</si>
  <si>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</si>
  <si>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</si>
  <si>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</si>
  <si>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</si>
  <si>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</si>
  <si>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</si>
  <si>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</si>
  <si>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</si>
  <si>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</si>
  <si>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</si>
  <si>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</si>
  <si>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</si>
  <si>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</si>
  <si>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</si>
  <si>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</si>
  <si>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</si>
  <si>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</si>
  <si>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</si>
  <si>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</si>
  <si>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</si>
  <si>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</si>
  <si>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</si>
  <si>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</si>
  <si>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</si>
  <si>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</si>
  <si>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</si>
  <si>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</si>
  <si>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</si>
  <si>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</si>
  <si>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</si>
  <si>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</si>
  <si>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</si>
  <si>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</si>
  <si>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</si>
  <si>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</si>
  <si>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</si>
  <si>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</si>
  <si>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</si>
  <si>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</si>
  <si>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</si>
  <si>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</si>
  <si>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</si>
  <si>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</si>
  <si>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</si>
  <si>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</si>
  <si>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</si>
  <si>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</si>
  <si>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</si>
  <si>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</si>
  <si>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</si>
  <si>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</si>
  <si>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</si>
  <si>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</si>
  <si>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</si>
  <si>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</si>
  <si>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</si>
  <si>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</si>
  <si>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</si>
  <si>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</si>
  <si>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</si>
  <si>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</si>
  <si>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</si>
  <si>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</si>
  <si>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</si>
  <si>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</si>
  <si>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</si>
  <si>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</si>
  <si>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</si>
  <si>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</si>
  <si>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</si>
  <si>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</si>
  <si>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</si>
  <si>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</si>
  <si>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</si>
  <si>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</si>
  <si>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</si>
  <si>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</si>
  <si>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</si>
  <si>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</si>
  <si>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</si>
  <si>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</si>
  <si>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</si>
  <si>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</si>
  <si>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</si>
  <si>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</si>
  <si>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</si>
  <si>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</si>
  <si>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</si>
  <si>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</si>
  <si>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</si>
  <si>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</si>
  <si>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</si>
  <si>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</si>
  <si>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</si>
  <si>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</si>
  <si>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</si>
  <si>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</si>
  <si>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</si>
  <si>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</si>
  <si>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</si>
  <si>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</si>
  <si>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</si>
  <si>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</si>
  <si>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</si>
  <si>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</si>
  <si>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</si>
  <si>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</si>
  <si>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</si>
  <si>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</si>
  <si>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</si>
  <si>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</si>
  <si>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</si>
  <si>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</si>
  <si>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</si>
  <si>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</si>
  <si>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</si>
  <si>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</si>
  <si>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</si>
  <si>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</si>
  <si>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</si>
  <si>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</si>
  <si>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</si>
  <si>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</si>
  <si>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</si>
  <si>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</si>
  <si>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</si>
  <si>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</si>
  <si>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</si>
  <si>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</si>
  <si>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</si>
  <si>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</si>
  <si>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</si>
  <si>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</si>
  <si>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</si>
  <si>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</si>
  <si>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</si>
  <si>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</si>
  <si>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</si>
  <si>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</si>
  <si>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</si>
  <si>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</si>
  <si>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</si>
  <si>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</si>
  <si>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</si>
  <si>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</si>
  <si>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</si>
  <si>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</si>
  <si>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</si>
  <si>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</si>
  <si>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</si>
  <si>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</si>
  <si>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</si>
  <si>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</si>
  <si>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</si>
  <si>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</si>
  <si>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</si>
  <si>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</si>
  <si>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</si>
  <si>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</si>
  <si>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</si>
  <si>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</si>
  <si>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</si>
  <si>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</si>
  <si>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</si>
  <si>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</si>
  <si>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</si>
  <si>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</si>
  <si>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</si>
  <si>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</si>
  <si>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</si>
  <si>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</si>
  <si>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</si>
  <si>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</si>
  <si>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</si>
  <si>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</si>
  <si>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</si>
  <si>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</si>
  <si>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</si>
  <si>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</si>
  <si>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</si>
  <si>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</si>
  <si>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</si>
  <si>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</si>
  <si>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</si>
  <si>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</si>
  <si>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</si>
  <si>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</si>
  <si>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</si>
  <si>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</si>
  <si>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</si>
  <si>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</si>
  <si>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</si>
  <si>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</si>
  <si>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</si>
  <si>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</si>
  <si>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</si>
  <si>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</si>
  <si>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</si>
  <si>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</si>
  <si>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</si>
  <si>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</si>
  <si>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</si>
  <si>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</si>
  <si>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</si>
  <si>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</si>
  <si>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</si>
  <si>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</si>
  <si>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</si>
  <si>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</si>
  <si>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</si>
  <si>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</si>
  <si>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</si>
  <si>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</si>
  <si>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</si>
  <si>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</si>
  <si>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</si>
  <si>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</si>
  <si>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</si>
  <si>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</si>
  <si>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</si>
  <si>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</si>
  <si>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</si>
  <si>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</si>
  <si>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</si>
  <si>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</si>
  <si>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</si>
  <si>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</si>
  <si>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</si>
  <si>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</si>
  <si>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</si>
  <si>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</si>
  <si>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</si>
  <si>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</si>
  <si>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</si>
  <si>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</si>
  <si>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</si>
  <si>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</si>
  <si>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</si>
  <si>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</si>
  <si>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</si>
  <si>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</si>
  <si>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</si>
  <si>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</si>
  <si>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</si>
  <si>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</si>
  <si>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</si>
  <si>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</si>
  <si>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</si>
  <si>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</si>
  <si>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</si>
  <si>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</si>
  <si>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</si>
  <si>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</si>
  <si>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</si>
  <si>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</si>
  <si>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</si>
  <si>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</si>
  <si>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</si>
  <si>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</si>
  <si>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</si>
  <si>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</si>
  <si>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</si>
  <si>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</si>
  <si>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</si>
  <si>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</si>
  <si>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</si>
  <si>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</si>
  <si>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</si>
  <si>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</si>
  <si>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</si>
  <si>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</si>
  <si>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</si>
  <si>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</si>
  <si>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</si>
  <si>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</si>
  <si>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</si>
  <si>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</si>
  <si>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</si>
  <si>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</si>
  <si>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</si>
  <si>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</si>
  <si>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</si>
  <si>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</si>
  <si>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</si>
  <si>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</si>
  <si>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</si>
  <si>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</si>
  <si>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</si>
  <si>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</si>
  <si>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</si>
  <si>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</si>
  <si>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</si>
  <si>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</si>
  <si>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</si>
  <si>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</si>
  <si>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</si>
  <si>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</si>
  <si>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</si>
  <si>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</si>
  <si>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</si>
  <si>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</si>
  <si>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</si>
  <si>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</si>
  <si>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</si>
  <si>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</si>
  <si>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</si>
  <si>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</si>
  <si>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</si>
  <si>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</si>
  <si>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</si>
  <si>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</si>
  <si>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</si>
  <si>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</si>
  <si>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</si>
  <si>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</si>
  <si>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</si>
  <si>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</si>
  <si>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</si>
  <si>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</si>
  <si>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</si>
  <si>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</si>
  <si>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</si>
  <si>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</si>
  <si>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</si>
  <si>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</si>
  <si>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</si>
  <si>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</si>
  <si>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</si>
  <si>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</si>
  <si>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</si>
  <si>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</si>
  <si>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</si>
  <si>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</si>
  <si>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</si>
  <si>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</si>
  <si>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</si>
  <si>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</si>
  <si>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</si>
  <si>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</si>
  <si>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</si>
  <si>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</si>
  <si>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</si>
  <si>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</si>
  <si>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</si>
  <si>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</si>
  <si>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</si>
  <si>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</si>
  <si>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</si>
  <si>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</si>
  <si>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</si>
  <si>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</si>
  <si>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</si>
  <si>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</si>
  <si>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</si>
  <si>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</si>
  <si>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</si>
  <si>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</si>
  <si>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</si>
  <si>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</si>
  <si>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</si>
  <si>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</si>
  <si>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</si>
  <si>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</si>
  <si>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</si>
  <si>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</si>
  <si>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</si>
  <si>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</si>
  <si>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</si>
  <si>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</si>
  <si>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</si>
  <si>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</si>
  <si>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</si>
  <si>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</si>
  <si>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</si>
  <si>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</si>
  <si>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</si>
  <si>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</si>
  <si>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</si>
  <si>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</si>
  <si>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</si>
  <si>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</si>
  <si>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</si>
  <si>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</si>
  <si>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</si>
  <si>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</si>
  <si>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</si>
  <si>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</si>
  <si>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</si>
  <si>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</si>
  <si>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</si>
  <si>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</si>
  <si>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</si>
  <si>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</si>
  <si>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</si>
  <si>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</si>
  <si>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</si>
  <si>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</si>
  <si>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</si>
  <si>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</si>
  <si>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</si>
  <si>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</si>
  <si>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</si>
  <si>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</si>
  <si>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</si>
  <si>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</si>
  <si>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</si>
  <si>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</si>
  <si>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</si>
  <si>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</si>
  <si>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</si>
  <si>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</si>
  <si>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</si>
  <si>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</si>
  <si>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</si>
  <si>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</si>
  <si>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</si>
  <si>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</si>
  <si>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</si>
  <si>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</si>
  <si>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</si>
  <si>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</si>
  <si>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</si>
  <si>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</si>
  <si>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</si>
  <si>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</si>
  <si>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</si>
  <si>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</si>
  <si>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</si>
  <si>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</si>
  <si>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</si>
  <si>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</si>
  <si>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</si>
  <si>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</si>
  <si>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</si>
  <si>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</si>
  <si>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</si>
  <si>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</si>
  <si>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</si>
  <si>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</si>
  <si>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</si>
  <si>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</si>
  <si>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</si>
  <si>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</si>
  <si>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</si>
  <si>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</si>
  <si>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</si>
  <si>
    <t>FR7970870</t>
  </si>
  <si>
    <t>CTEMPLA_1000BR10200572 [MED] - Med Consultants - Tepmetko</t>
  </si>
  <si>
    <t>H000002595</t>
  </si>
  <si>
    <t>DFLTPGCOH_BF-TT_001227</t>
  </si>
  <si>
    <t>FR7973160</t>
  </si>
  <si>
    <t>CTEMPLA_1000PA10PA3E25 Medical non R&amp;D Thyroids</t>
  </si>
  <si>
    <t>CTEMPLA_1000PA10PA3B25 Medical non R&amp;D Fertility</t>
  </si>
  <si>
    <t>DFLTPGCOH_BF-77_001072</t>
  </si>
  <si>
    <t>DFLTPGCOH_BF-A4_001072</t>
  </si>
  <si>
    <t>PSCALA_X54 Tepmetko Launch</t>
  </si>
  <si>
    <t>SCALA_NO_PROJECT_DEF_ASSIGNED</t>
  </si>
  <si>
    <t>FR7973237</t>
  </si>
  <si>
    <t>FR7973245</t>
  </si>
  <si>
    <t>CSCALA_1042$ONPM_O28</t>
  </si>
  <si>
    <t>DFLTPGCOH_BF-52_001042</t>
  </si>
  <si>
    <t>CSCALA_1042$ONPM_X51</t>
  </si>
  <si>
    <t>DFLTPGCOH_BF-TT_001042</t>
  </si>
  <si>
    <t>FR7973246</t>
  </si>
  <si>
    <t>CSCALA_1042$ONPM_X54</t>
  </si>
  <si>
    <t>FR7973251</t>
  </si>
  <si>
    <t>FR7973258</t>
  </si>
  <si>
    <t>CSCALA_1042$MSMS_E09</t>
  </si>
  <si>
    <t>DFLTPGCOH_BF-A5_001042</t>
  </si>
  <si>
    <t>CSCALA_1042$MSPM_E81</t>
  </si>
  <si>
    <t>FR7973269</t>
  </si>
  <si>
    <t>CSCALA_1042$MSMS_D19</t>
  </si>
  <si>
    <t>DFLTPGCOH_SDV-EU2_001042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</si>
  <si>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</si>
  <si>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</si>
  <si>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</si>
  <si>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</si>
  <si>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</si>
  <si>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</si>
  <si>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</si>
  <si>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</si>
  <si>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DFLTPGCOH_DIV-31_001054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</si>
</sst>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2" totalsRowShown="0">
  <autoFilter ref="A1:S4712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2"/>
  <sheetViews>
    <sheetView tabSelected="1" topLeftCell="A4690" zoomScale="105" zoomScaleNormal="105" workbookViewId="0">
      <selection activeCell="D4703" sqref="D470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237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212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212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212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212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212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212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212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212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212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212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212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208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205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205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205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205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205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205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205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205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205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205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205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205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205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205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205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205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205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205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205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205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205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205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205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205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205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205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205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205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205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205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205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205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205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205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205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205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205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205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205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205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204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204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204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204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204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204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204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204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204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204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204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204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204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204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204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204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204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204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204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204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204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204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204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204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204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204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204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204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204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204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204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204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204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204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204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204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204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204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204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204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204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204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204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204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204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204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204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204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204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204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204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204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204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204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204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204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204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204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204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203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203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203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203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203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202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202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200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200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199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196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196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196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196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196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196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196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196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196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196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196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196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196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196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196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195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195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195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195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195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190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190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190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185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185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185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185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185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185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185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185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185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185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185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185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185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185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185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185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185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185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181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181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181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176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175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175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161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161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160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160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160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150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135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135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135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135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135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135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135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135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135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135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135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135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135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135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135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135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135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135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135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135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132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132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132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132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131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131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131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131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131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131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131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131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131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131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131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131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131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131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131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131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131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131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131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131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131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131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131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131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131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131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131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131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131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131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130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130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130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130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130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130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130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130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130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130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130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130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130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130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130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130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130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130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126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126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126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126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126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126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126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126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126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126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126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126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126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126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126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126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126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126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126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126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126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126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126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126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126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126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126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126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126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126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126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126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126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126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126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126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126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126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126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126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126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126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126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126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126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126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126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126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126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126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126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126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126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126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126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126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126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126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126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126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126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126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126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126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126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126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126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126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126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126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126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126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126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126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126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126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126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126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126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126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126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126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126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126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126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126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126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126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126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126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126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126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120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120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115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115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110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110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110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110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110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110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110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110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110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110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110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110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110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110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110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110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110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110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110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110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110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110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110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110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110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110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110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110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110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110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110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110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110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110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110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110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110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110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110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110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110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110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110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110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110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110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110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110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110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110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110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110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110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110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110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110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110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110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110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110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110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110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110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110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110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110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110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110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110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110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110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110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110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110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110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110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110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110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110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110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110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110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110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110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110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110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110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110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110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110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110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110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110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110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110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110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110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110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110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110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110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110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110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110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110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107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107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107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107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108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105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105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100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100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100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100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100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100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100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100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100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100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100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98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98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98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98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98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98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98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98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98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98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98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98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98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98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98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98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98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98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98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98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98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98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98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98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98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98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98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98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98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98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98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98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98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98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98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98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98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98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98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98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98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98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98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98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98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98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98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98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98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98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98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98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98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98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98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98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98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98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98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98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98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98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98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98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98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98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98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98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98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98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98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98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98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98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98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98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98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98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98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98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98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98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98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98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98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98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98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98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98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98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98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98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98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98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98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98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98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98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98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98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98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98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98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98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98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98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98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98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98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98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98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98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98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98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98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98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98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98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98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98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98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98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98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98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98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98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98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98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98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98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98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98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98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98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98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98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98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98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98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98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98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98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98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98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98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98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98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98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98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98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98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98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98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98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98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98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98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98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98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98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98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98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98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98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98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98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98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98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98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98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98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98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98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98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98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98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98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98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98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98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98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98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98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98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98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98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98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98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98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98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98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98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98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98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98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98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98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98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98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98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98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98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98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98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98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98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98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98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98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98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98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98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98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98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98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98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98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98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98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98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98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98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98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98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98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98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98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98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98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98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98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98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98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98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98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98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98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98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98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98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98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98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98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98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98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98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98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98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98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98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98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98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98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98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98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98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98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98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98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98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98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98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98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98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98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98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98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98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98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98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98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98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98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98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98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98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98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98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98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98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98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98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98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98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98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98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98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98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98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98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98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98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98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98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98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98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98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98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98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98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98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98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98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98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98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98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98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98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98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98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98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98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98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98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98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98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98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98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98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98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98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98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98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98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98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98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98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98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98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98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98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98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98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98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98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96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96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96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96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96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96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96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96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96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96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95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95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95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94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94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94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94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94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94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93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93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91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90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90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90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89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89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89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87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87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87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87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87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87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87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84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84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84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84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84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84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84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84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84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84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84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84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84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84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84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84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84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84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84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84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84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84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84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84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84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84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84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84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84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83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83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81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81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81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81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81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81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81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81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81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81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79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79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79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79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79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79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79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79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78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78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78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78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78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78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78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78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78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78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78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78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78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78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78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78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78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76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76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76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76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76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76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76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76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76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76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76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76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76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76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76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76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76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76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76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76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76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76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76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76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76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76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76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76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76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76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76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76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76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76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76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76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76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76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76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76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76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76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76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76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76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76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76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76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76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76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76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76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76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76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76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76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76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76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76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76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76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76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76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76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76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76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76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76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76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76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76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76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76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76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76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76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76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76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76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76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76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76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76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76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76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76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76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76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76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76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76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76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76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76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76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76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76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76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76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76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76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76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76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76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76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76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76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76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76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76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76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76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76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76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76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76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76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76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76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76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76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76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76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76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76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76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76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76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76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76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76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76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76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76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76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76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76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76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76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76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76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76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76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76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76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76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76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76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76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76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76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76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76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76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76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76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76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76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76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76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76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76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76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76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76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76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76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76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76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76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76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76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76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76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76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76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76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76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76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76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76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76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76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76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76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76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76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76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76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76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76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76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76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76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76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76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76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76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76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76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76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76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76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76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76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76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76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76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76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76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76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76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76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76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76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76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76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76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76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76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76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76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76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76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76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76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76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76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76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76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76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76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76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76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76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76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76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76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76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76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76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76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76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76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76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76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76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76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76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76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76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76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76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76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76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76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76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76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76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76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76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76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76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76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76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76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76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76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76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76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76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76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76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76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76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76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76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76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76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76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76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76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76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76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76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76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76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76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76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76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76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76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76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76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76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75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75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75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75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75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75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75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75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75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75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75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75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75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75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75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75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75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75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75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75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75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75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75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75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75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75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75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75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75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75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75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75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75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75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75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75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75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75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75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75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75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75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75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75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75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75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75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75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75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75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75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75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75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75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75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75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75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75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75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75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75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75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75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75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75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75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75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75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75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75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75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75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75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75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75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75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75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75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75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75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75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75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75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75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75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75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75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75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75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75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75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75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75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75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75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75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75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75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75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75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75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75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75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75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75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75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75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75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75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75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75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75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75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75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75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75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75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75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75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75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75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75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75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75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75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75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75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75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75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75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75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75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75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75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75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75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75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75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75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75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75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75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75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75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75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75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75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75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75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75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75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75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75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75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75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75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75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75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75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75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75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75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75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75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75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75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75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75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75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75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75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75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75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75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75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75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75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75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75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75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75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75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75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75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75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75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75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75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75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75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75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75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75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75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75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75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75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75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75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75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75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75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72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72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72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72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72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72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72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72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72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72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72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72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72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72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72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72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72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72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72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72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72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72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72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72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72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72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72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72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72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72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72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72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72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72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72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72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72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72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72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72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72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72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72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71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71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70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70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70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70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70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70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70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69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69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69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68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68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68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68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68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68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68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68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68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68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68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68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68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68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68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68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68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68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68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68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68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68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68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68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68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68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68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68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68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68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68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68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68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68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68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68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68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68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68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68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68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68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68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68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68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68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68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68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68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68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68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68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68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68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68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68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68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68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68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68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68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68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68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68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68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68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68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68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68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68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68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68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68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68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68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68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68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68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68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68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68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68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68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68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68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68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68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68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68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68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68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68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68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68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67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67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67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67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67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67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67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67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67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67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67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67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67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67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67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67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67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67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67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66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66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66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66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66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66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66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66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66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66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66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66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66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66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66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66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66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66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65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65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65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65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65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65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65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65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65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65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65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65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62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62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62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62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62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62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62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62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62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62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62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62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62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62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62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62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62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62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62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62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62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62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62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62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62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62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62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62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62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61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61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61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61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61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61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61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61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61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61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61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61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61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61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61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61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61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61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61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61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61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61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61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61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61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61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61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61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61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61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61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61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61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61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61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60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60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60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60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60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60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60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60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60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60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60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60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60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60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60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60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60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60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60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60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60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60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60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60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60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60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60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60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60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60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60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60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60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60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60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60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60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60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60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60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60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60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60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60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60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60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60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60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60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60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60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60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60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60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60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60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60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60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60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60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60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60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60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60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60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60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60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60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60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60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60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60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60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60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60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60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60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60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60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60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60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60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60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60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60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60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60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60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60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60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60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60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60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60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60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60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60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60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60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60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60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60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60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60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60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60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60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60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60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60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60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60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60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60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60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60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60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60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60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60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60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60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60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60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60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60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60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60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60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60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60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60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60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60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60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60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60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60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60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60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60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60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60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60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60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60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60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60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60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60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60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60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60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60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60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60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60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60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60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60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60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60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60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60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60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60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60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60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60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60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60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60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60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60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60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60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60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60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60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60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60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60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60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60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60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60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60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60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60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60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60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60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60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60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60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60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60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60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60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60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60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60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60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60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60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60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60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60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60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60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60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60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60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60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60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60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60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60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60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60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60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60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60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60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60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60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60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60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60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60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60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60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60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60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60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60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58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58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58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58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58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58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58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58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58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58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58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58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58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58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58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58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57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57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57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57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57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57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57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57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57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57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57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57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57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57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57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57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57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57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57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57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57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57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57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57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57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57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57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57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57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57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57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57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57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57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57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57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57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57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57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56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56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56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56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56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56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56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56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56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56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56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56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56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56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56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56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56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56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55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55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55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55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55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55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55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55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55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55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55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55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55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55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55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55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55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55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55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55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55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55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55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55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55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55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55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55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55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55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55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55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55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55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55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55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55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55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55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55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55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55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55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55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55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55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55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55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55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55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55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55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55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55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55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55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55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55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55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55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55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55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55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55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55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55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55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55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55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55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55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55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55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55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55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55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55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55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55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55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55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55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55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55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55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55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55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55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55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55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55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55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55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55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55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55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55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55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55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55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55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55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55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55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55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55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55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55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55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55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55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55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55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55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55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51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51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51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51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51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51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51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51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51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51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51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51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50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50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50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50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50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50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50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50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50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50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50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50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50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50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50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50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50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50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50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50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50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50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50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50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50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50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50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50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50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50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50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47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47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47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47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47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47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47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47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47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46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45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45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45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45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45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45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44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44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44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44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44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44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44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44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44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44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44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44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44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44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44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44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44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44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44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44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43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43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43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43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43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43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43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43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43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43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43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43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42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42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42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42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42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42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42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42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42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42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42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42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39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39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39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39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39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39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39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39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39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39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39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39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39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39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39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39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39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39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39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39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39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39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39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39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39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39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39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39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39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39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39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39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39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39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39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39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39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39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39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39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39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39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39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39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39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39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39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39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39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39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38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38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38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38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38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38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38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38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38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38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38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38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38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38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38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38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35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34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34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34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34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34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34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32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32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32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32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32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32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32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32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32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32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32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32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32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32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32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32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32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32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32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32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32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32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32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32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32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32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32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32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32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32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32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32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32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32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32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32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32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32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32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32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32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32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32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32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32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32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32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30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30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30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30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30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30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30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30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30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30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30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30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30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30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30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30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30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30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30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30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30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30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30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30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30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30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30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30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28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28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28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28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23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23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23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23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23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22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22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22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22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22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22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22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22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22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22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22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22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19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19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19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19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19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19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19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19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19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19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19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19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19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19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19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19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19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19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19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19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19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19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19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19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19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19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19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19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19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18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17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16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16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16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16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16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16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16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16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16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16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16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16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16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16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16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16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16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16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16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16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16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16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16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16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16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16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16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15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15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15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15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15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15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15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15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15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15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15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15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15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15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15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15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15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15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15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15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15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15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15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15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15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15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15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15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15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15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15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15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15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15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15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15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15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15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15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14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17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17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12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12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12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12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12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12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12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12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12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12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12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12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12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12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12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12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12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12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12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12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12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12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12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12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12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12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12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12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12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12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12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12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12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12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12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12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12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12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12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12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12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12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12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12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12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12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12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12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12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12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12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12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12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12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12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12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12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12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12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12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12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12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12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12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12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12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12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12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12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12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12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12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12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12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12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12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12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12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12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12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12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12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12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12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12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12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12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12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12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12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12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12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12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10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10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10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10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10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10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10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10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10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10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10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10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10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10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10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10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10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10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10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10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10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10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10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10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10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10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10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10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10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9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404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4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404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4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404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4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404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4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404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4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404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4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404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4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404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4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404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4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404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4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404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4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404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4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404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4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404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4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404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4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404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4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404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4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404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4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404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4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404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4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404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4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404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4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404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4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404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4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404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4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404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4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404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4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404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4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404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4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404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4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404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4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404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4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404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4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404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4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404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4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404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4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404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4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404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4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4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4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4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4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4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4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4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4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4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4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4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4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4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4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4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4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4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4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4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4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4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1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1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1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1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1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1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1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1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1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1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1</v>
      </c>
      <c r="R4687" s="170" t="s">
        <v>5682</v>
      </c>
      <c r="S4687" s="150"/>
    </row>
    <row r="4688" spans="1:19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1</v>
      </c>
      <c r="R4688" s="170" t="s">
        <v>738</v>
      </c>
      <c r="S4688" s="150"/>
    </row>
    <row r="4689" spans="1:19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1</v>
      </c>
      <c r="R4689" s="170" t="s">
        <v>738</v>
      </c>
      <c r="S4689" s="150"/>
    </row>
    <row r="4690" spans="1:19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1</v>
      </c>
      <c r="R4690" s="170" t="s">
        <v>738</v>
      </c>
      <c r="S4690" s="150"/>
    </row>
    <row r="4691" spans="1:19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1</v>
      </c>
      <c r="R4691" s="170" t="s">
        <v>738</v>
      </c>
      <c r="S4691" s="150"/>
    </row>
    <row r="4692" spans="1:19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1</v>
      </c>
      <c r="R4692" s="170" t="s">
        <v>738</v>
      </c>
      <c r="S4692" s="150"/>
    </row>
    <row r="4693" spans="1:19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1</v>
      </c>
      <c r="R4693" s="170" t="s">
        <v>738</v>
      </c>
      <c r="S4693" s="150"/>
    </row>
    <row r="4694" spans="1:19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1</v>
      </c>
      <c r="R4694" s="170" t="s">
        <v>738</v>
      </c>
      <c r="S4694" s="150"/>
    </row>
    <row r="4695" spans="1:19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1</v>
      </c>
      <c r="R4695" s="170" t="s">
        <v>738</v>
      </c>
      <c r="S4695" s="150"/>
    </row>
    <row r="4696" spans="1:19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1</v>
      </c>
      <c r="R4696" s="170" t="s">
        <v>738</v>
      </c>
      <c r="S4696" s="150"/>
    </row>
    <row r="4697" spans="1:19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1</v>
      </c>
      <c r="R4697" s="170" t="s">
        <v>738</v>
      </c>
      <c r="S4697" s="150"/>
    </row>
    <row r="4698" spans="1:19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1</v>
      </c>
      <c r="R4698" s="170" t="s">
        <v>738</v>
      </c>
      <c r="S4698" s="150"/>
    </row>
    <row r="4699" spans="1:19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1</v>
      </c>
      <c r="R4699" s="170" t="s">
        <v>738</v>
      </c>
      <c r="S4699" s="150"/>
    </row>
    <row r="4700" spans="1:19">
      <c r="A4700" t="s">
        <v>6905</v>
      </c>
      <c r="B4700" s="150" t="str">
        <f>IFERROR(VLOOKUP(Proc[[#This Row],[App]],Table2[],3,0),"open")</f>
        <v>open</v>
      </c>
      <c r="C4700" t="s">
        <v>370</v>
      </c>
      <c r="D4700" t="s">
        <v>6906</v>
      </c>
      <c r="E4700" t="s">
        <v>6907</v>
      </c>
      <c r="F4700" s="150" t="s">
        <v>6908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0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1</v>
      </c>
      <c r="R4700" s="170" t="s">
        <v>484</v>
      </c>
      <c r="S4700" s="150"/>
    </row>
    <row r="4701" spans="1:19">
      <c r="A4701" t="s">
        <v>6909</v>
      </c>
      <c r="B4701" s="150" t="str">
        <f>IFERROR(VLOOKUP(Proc[[#This Row],[App]],Table2[],3,0),"open")</f>
        <v>open</v>
      </c>
      <c r="C4701" s="149" t="s">
        <v>370</v>
      </c>
      <c r="D4701" t="s">
        <v>6910</v>
      </c>
      <c r="E4701" t="s">
        <v>3280</v>
      </c>
      <c r="F4701" s="150" t="s">
        <v>6912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0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0</v>
      </c>
      <c r="R4701" s="170" t="s">
        <v>484</v>
      </c>
      <c r="S4701" s="150"/>
    </row>
    <row r="4702" spans="1:19">
      <c r="A4702" t="s">
        <v>6909</v>
      </c>
      <c r="B4702" s="150" t="str">
        <f>IFERROR(VLOOKUP(Proc[[#This Row],[App]],Table2[],3,0),"open")</f>
        <v>open</v>
      </c>
      <c r="C4702" s="149" t="s">
        <v>370</v>
      </c>
      <c r="D4702" t="s">
        <v>6911</v>
      </c>
      <c r="E4702" t="s">
        <v>3280</v>
      </c>
      <c r="F4702" s="150" t="s">
        <v>6913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0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0</v>
      </c>
      <c r="R4702" s="170" t="s">
        <v>484</v>
      </c>
      <c r="S4702" s="150"/>
    </row>
    <row r="4703" spans="1:19">
      <c r="A4703" t="s">
        <v>6916</v>
      </c>
      <c r="B4703" s="150" t="str">
        <f>IFERROR(VLOOKUP(Proc[[#This Row],[App]],Table2[],3,0),"open")</f>
        <v>open</v>
      </c>
      <c r="C4703" s="149" t="s">
        <v>370</v>
      </c>
      <c r="D4703" t="s">
        <v>6914</v>
      </c>
      <c r="E4703" t="s">
        <v>2161</v>
      </c>
      <c r="F4703" s="150" t="s">
        <v>6915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0</v>
      </c>
      <c r="R4703" s="170" t="s">
        <v>478</v>
      </c>
      <c r="S4703" s="150"/>
    </row>
    <row r="4704" spans="1:19">
      <c r="A4704" t="s">
        <v>6917</v>
      </c>
      <c r="B4704" s="150" t="str">
        <f>IFERROR(VLOOKUP(Proc[[#This Row],[App]],Table2[],3,0),"open")</f>
        <v>open</v>
      </c>
      <c r="C4704" s="149" t="s">
        <v>370</v>
      </c>
      <c r="D4704" t="s">
        <v>6918</v>
      </c>
      <c r="E4704" t="s">
        <v>2161</v>
      </c>
      <c r="F4704" s="150" t="s">
        <v>6919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0</v>
      </c>
      <c r="R4704" s="170" t="s">
        <v>478</v>
      </c>
      <c r="S4704" s="150"/>
    </row>
    <row r="4705" spans="1:19">
      <c r="A4705" t="s">
        <v>6922</v>
      </c>
      <c r="B4705" s="150" t="str">
        <f>IFERROR(VLOOKUP(Proc[[#This Row],[App]],Table2[],3,0),"open")</f>
        <v>open</v>
      </c>
      <c r="C4705" s="149" t="s">
        <v>370</v>
      </c>
      <c r="D4705" t="s">
        <v>6920</v>
      </c>
      <c r="E4705" t="s">
        <v>2161</v>
      </c>
      <c r="F4705" s="150" t="s">
        <v>6921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0</v>
      </c>
      <c r="R4705" s="170" t="s">
        <v>478</v>
      </c>
      <c r="S4705" s="150"/>
    </row>
    <row r="4706" spans="1:19">
      <c r="A4706" t="s">
        <v>6924</v>
      </c>
      <c r="B4706" s="150" t="str">
        <f>IFERROR(VLOOKUP(Proc[[#This Row],[App]],Table2[],3,0),"open")</f>
        <v>open</v>
      </c>
      <c r="C4706" s="149" t="s">
        <v>370</v>
      </c>
      <c r="D4706" t="s">
        <v>6923</v>
      </c>
      <c r="E4706" t="s">
        <v>2161</v>
      </c>
      <c r="F4706" s="150" t="s">
        <v>6921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0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0</v>
      </c>
      <c r="R4706" s="170" t="s">
        <v>478</v>
      </c>
      <c r="S4706" s="150"/>
    </row>
    <row r="4707" spans="1:19">
      <c r="A4707" t="s">
        <v>6925</v>
      </c>
      <c r="B4707" s="150" t="str">
        <f>IFERROR(VLOOKUP(Proc[[#This Row],[App]],Table2[],3,0),"open")</f>
        <v>open</v>
      </c>
      <c r="C4707" s="149" t="s">
        <v>370</v>
      </c>
      <c r="D4707" t="s">
        <v>6926</v>
      </c>
      <c r="E4707" t="s">
        <v>2161</v>
      </c>
      <c r="F4707" s="150" t="s">
        <v>6927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0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0</v>
      </c>
      <c r="R4707" s="170" t="s">
        <v>478</v>
      </c>
      <c r="S4707" s="150"/>
    </row>
    <row r="4708" spans="1:19">
      <c r="A4708" t="s">
        <v>6929</v>
      </c>
      <c r="B4708" s="150" t="str">
        <f>IFERROR(VLOOKUP(Proc[[#This Row],[App]],Table2[],3,0),"open")</f>
        <v>open</v>
      </c>
      <c r="C4708" s="149" t="s">
        <v>370</v>
      </c>
      <c r="D4708" t="s">
        <v>6928</v>
      </c>
      <c r="E4708" t="s">
        <v>2161</v>
      </c>
      <c r="F4708" s="150" t="s">
        <v>6927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0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0</v>
      </c>
      <c r="R4708" s="170" t="s">
        <v>478</v>
      </c>
      <c r="S4708" s="150"/>
    </row>
    <row r="4709" spans="1:19">
      <c r="A4709" t="s">
        <v>6932</v>
      </c>
      <c r="B4709" s="150" t="str">
        <f>IFERROR(VLOOKUP(Proc[[#This Row],[App]],Table2[],3,0),"open")</f>
        <v>open</v>
      </c>
      <c r="C4709" s="149" t="s">
        <v>370</v>
      </c>
      <c r="D4709" t="s">
        <v>6930</v>
      </c>
      <c r="E4709" t="s">
        <v>2161</v>
      </c>
      <c r="F4709" s="150" t="s">
        <v>6931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0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0</v>
      </c>
      <c r="R4709" s="170" t="s">
        <v>478</v>
      </c>
      <c r="S4709" s="150"/>
    </row>
    <row r="4710" spans="1:19">
      <c r="A4710" t="s">
        <v>6933</v>
      </c>
      <c r="B4710" s="150" t="str">
        <f>IFERROR(VLOOKUP(Proc[[#This Row],[App]],Table2[],3,0),"open")</f>
        <v>open</v>
      </c>
      <c r="C4710" s="149" t="s">
        <v>370</v>
      </c>
      <c r="D4710" t="s">
        <v>6934</v>
      </c>
      <c r="E4710" t="s">
        <v>2161</v>
      </c>
      <c r="F4710" s="150" t="s">
        <v>6919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0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0</v>
      </c>
      <c r="R4710" s="170" t="s">
        <v>478</v>
      </c>
      <c r="S4710" s="150"/>
    </row>
    <row r="4711" spans="1:19">
      <c r="A4711" t="s">
        <v>6936</v>
      </c>
      <c r="B4711" s="150" t="str">
        <f>IFERROR(VLOOKUP(Proc[[#This Row],[App]],Table2[],3,0),"open")</f>
        <v>open</v>
      </c>
      <c r="C4711" s="149" t="s">
        <v>370</v>
      </c>
      <c r="D4711" t="s">
        <v>6935</v>
      </c>
      <c r="E4711" t="s">
        <v>2161</v>
      </c>
      <c r="F4711" s="150" t="s">
        <v>6921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0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0</v>
      </c>
      <c r="R4711" s="170" t="s">
        <v>478</v>
      </c>
      <c r="S4711" s="150"/>
    </row>
    <row r="4712" spans="1:19">
      <c r="A4712" t="s">
        <v>6938</v>
      </c>
      <c r="B4712" s="150" t="str">
        <f>IFERROR(VLOOKUP(Proc[[#This Row],[App]],Table2[],3,0),"open")</f>
        <v>open</v>
      </c>
      <c r="C4712" s="149" t="s">
        <v>370</v>
      </c>
      <c r="D4712" t="s">
        <v>6937</v>
      </c>
      <c r="E4712" t="s">
        <v>6939</v>
      </c>
      <c r="F4712" s="150" t="s">
        <v>6940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0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0</v>
      </c>
      <c r="R4712" s="170" t="s">
        <v>478</v>
      </c>
      <c r="S471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2025-11-18T07:57:22Z</dcterms:modified>
  <cp:category/>
  <cp:contentStatus/>
</cp:coreProperties>
</file>