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70C366F5-6919-4674-B7CD-E62E6E1CA658}" xr6:coauthVersionLast="47" xr6:coauthVersionMax="47" xr10:uidLastSave="{00000000-0000-0000-0000-000000000000}"/>
  <bookViews>
    <workbookView xWindow="12555" yWindow="4080" windowWidth="19215" windowHeight="13875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8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" i="28" l="1"/>
  <c r="B2912" i="1" l="1"/>
  <c r="B2913" i="1"/>
  <c r="B2914" i="1"/>
  <c r="B2915" i="1"/>
  <c r="B2916" i="1"/>
  <c r="B2917" i="1"/>
  <c r="B2918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K2912" i="1"/>
  <c r="K2913" i="1"/>
  <c r="K2914" i="1"/>
  <c r="K2915" i="1"/>
  <c r="K2916" i="1"/>
  <c r="K2917" i="1"/>
  <c r="K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B2911" i="1"/>
  <c r="H2911" i="1"/>
  <c r="J2911" i="1"/>
  <c r="K2911" i="1"/>
  <c r="Q2911" i="1"/>
  <c r="P2911" i="1" s="1"/>
  <c r="B2908" i="1"/>
  <c r="B2909" i="1"/>
  <c r="B2910" i="1"/>
  <c r="H2908" i="1"/>
  <c r="H2909" i="1"/>
  <c r="H2910" i="1"/>
  <c r="J2908" i="1"/>
  <c r="J2909" i="1"/>
  <c r="J2910" i="1"/>
  <c r="K2908" i="1"/>
  <c r="K2909" i="1"/>
  <c r="K2910" i="1"/>
  <c r="Q2908" i="1"/>
  <c r="P2908" i="1" s="1"/>
  <c r="Q2909" i="1"/>
  <c r="P2909" i="1" s="1"/>
  <c r="Q2910" i="1"/>
  <c r="P2910" i="1" s="1"/>
  <c r="B2907" i="1"/>
  <c r="H2907" i="1"/>
  <c r="J2907" i="1"/>
  <c r="K2907" i="1"/>
  <c r="Q2907" i="1"/>
  <c r="P2907" i="1" s="1"/>
  <c r="B2906" i="1"/>
  <c r="H2906" i="1"/>
  <c r="J2906" i="1"/>
  <c r="K2906" i="1"/>
  <c r="Q2906" i="1"/>
  <c r="P2906" i="1" s="1"/>
  <c r="B2905" i="1"/>
  <c r="H2905" i="1"/>
  <c r="K2905" i="1"/>
  <c r="Q2905" i="1"/>
  <c r="P2905" i="1" s="1"/>
  <c r="B2903" i="1"/>
  <c r="B2904" i="1"/>
  <c r="H2903" i="1"/>
  <c r="H2904" i="1"/>
  <c r="J2904" i="1"/>
  <c r="K2903" i="1"/>
  <c r="K2904" i="1"/>
  <c r="Q2903" i="1"/>
  <c r="P2903" i="1" s="1"/>
  <c r="Q2904" i="1"/>
  <c r="P2904" i="1" s="1"/>
  <c r="B2902" i="1"/>
  <c r="H2902" i="1"/>
  <c r="J2902" i="1"/>
  <c r="K2902" i="1"/>
  <c r="Q2902" i="1"/>
  <c r="P2902" i="1" s="1"/>
  <c r="B2900" i="1"/>
  <c r="B2901" i="1"/>
  <c r="H2900" i="1"/>
  <c r="H2901" i="1"/>
  <c r="J2900" i="1"/>
  <c r="J2901" i="1"/>
  <c r="K2900" i="1"/>
  <c r="K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B2898" i="1"/>
  <c r="B2899" i="1"/>
  <c r="H2898" i="1"/>
  <c r="H2899" i="1"/>
  <c r="J2898" i="1"/>
  <c r="J2899" i="1"/>
  <c r="K2898" i="1"/>
  <c r="K2899" i="1"/>
  <c r="Q2898" i="1"/>
  <c r="P2898" i="1" s="1"/>
  <c r="Q2899" i="1"/>
  <c r="P2899" i="1" s="1"/>
  <c r="B2897" i="1"/>
  <c r="H2897" i="1"/>
  <c r="J2897" i="1"/>
  <c r="K2897" i="1"/>
  <c r="Q2897" i="1"/>
  <c r="P2897" i="1" s="1"/>
  <c r="B2890" i="1"/>
  <c r="B2891" i="1"/>
  <c r="B2892" i="1"/>
  <c r="B2893" i="1"/>
  <c r="B2894" i="1"/>
  <c r="B2895" i="1"/>
  <c r="B2896" i="1"/>
  <c r="H2890" i="1"/>
  <c r="H2891" i="1"/>
  <c r="H2892" i="1"/>
  <c r="H2893" i="1"/>
  <c r="H2894" i="1"/>
  <c r="H2895" i="1"/>
  <c r="H2896" i="1"/>
  <c r="J2890" i="1"/>
  <c r="K2890" i="1"/>
  <c r="K2891" i="1"/>
  <c r="K2892" i="1"/>
  <c r="K2893" i="1"/>
  <c r="K2894" i="1"/>
  <c r="K2895" i="1"/>
  <c r="K2896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B2872" i="1"/>
  <c r="H2872" i="1"/>
  <c r="K2872" i="1"/>
  <c r="Q2872" i="1"/>
  <c r="P2872" i="1" s="1"/>
  <c r="J2870" i="1"/>
  <c r="J2869" i="1"/>
  <c r="J2868" i="1"/>
  <c r="J2867" i="1"/>
  <c r="J2866" i="1"/>
  <c r="J2863" i="1"/>
  <c r="J2860" i="1"/>
  <c r="B2871" i="1"/>
  <c r="H2871" i="1"/>
  <c r="K2871" i="1"/>
  <c r="Q2871" i="1"/>
  <c r="P2871" i="1" s="1"/>
  <c r="J2861" i="1"/>
  <c r="J2865" i="1"/>
  <c r="B2870" i="1"/>
  <c r="H2870" i="1"/>
  <c r="K2870" i="1"/>
  <c r="Q2870" i="1"/>
  <c r="P2870" i="1" s="1"/>
  <c r="B2869" i="1"/>
  <c r="H2869" i="1"/>
  <c r="K2869" i="1"/>
  <c r="Q2869" i="1"/>
  <c r="P2869" i="1" s="1"/>
  <c r="B2868" i="1"/>
  <c r="H2868" i="1"/>
  <c r="K2868" i="1"/>
  <c r="Q2868" i="1"/>
  <c r="P2868" i="1" s="1"/>
  <c r="B2864" i="1"/>
  <c r="B2865" i="1"/>
  <c r="B2866" i="1"/>
  <c r="B2867" i="1"/>
  <c r="H2864" i="1"/>
  <c r="H2865" i="1"/>
  <c r="H2866" i="1"/>
  <c r="H2867" i="1"/>
  <c r="K2864" i="1"/>
  <c r="K2865" i="1"/>
  <c r="K2866" i="1"/>
  <c r="K2867" i="1"/>
  <c r="Q2864" i="1"/>
  <c r="P2864" i="1" s="1"/>
  <c r="Q2865" i="1"/>
  <c r="P2865" i="1" s="1"/>
  <c r="Q2866" i="1"/>
  <c r="P2866" i="1" s="1"/>
  <c r="Q2867" i="1"/>
  <c r="P2867" i="1" s="1"/>
  <c r="B2863" i="1"/>
  <c r="H2863" i="1"/>
  <c r="K2863" i="1"/>
  <c r="Q2863" i="1"/>
  <c r="P2863" i="1" s="1"/>
  <c r="J2862" i="1"/>
  <c r="J2859" i="1"/>
  <c r="J2858" i="1"/>
  <c r="J2857" i="1"/>
  <c r="B2862" i="1"/>
  <c r="H2862" i="1"/>
  <c r="K2862" i="1"/>
  <c r="Q2862" i="1"/>
  <c r="P2862" i="1" s="1"/>
  <c r="B2861" i="1"/>
  <c r="H2861" i="1"/>
  <c r="K2861" i="1"/>
  <c r="Q2861" i="1"/>
  <c r="P2861" i="1" s="1"/>
  <c r="B2860" i="1"/>
  <c r="H2860" i="1"/>
  <c r="K2860" i="1"/>
  <c r="Q2860" i="1"/>
  <c r="P2860" i="1" s="1"/>
  <c r="B2858" i="1"/>
  <c r="B2859" i="1"/>
  <c r="H2858" i="1"/>
  <c r="H2859" i="1"/>
  <c r="K2858" i="1"/>
  <c r="K2859" i="1"/>
  <c r="Q2858" i="1"/>
  <c r="P2858" i="1" s="1"/>
  <c r="Q2859" i="1"/>
  <c r="P2859" i="1" s="1"/>
  <c r="B2857" i="1"/>
  <c r="H2857" i="1"/>
  <c r="K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B2856" i="1" l="1"/>
  <c r="H2856" i="1"/>
  <c r="J2856" i="1"/>
  <c r="K2856" i="1"/>
  <c r="Q2856" i="1"/>
  <c r="P2856" i="1" s="1"/>
  <c r="B2855" i="1"/>
  <c r="H2855" i="1"/>
  <c r="J2855" i="1"/>
  <c r="K2855" i="1"/>
  <c r="Q2855" i="1"/>
  <c r="P2855" i="1" s="1"/>
  <c r="B2854" i="1"/>
  <c r="H2854" i="1"/>
  <c r="J2854" i="1"/>
  <c r="K2854" i="1"/>
  <c r="Q2854" i="1"/>
  <c r="P2854" i="1" s="1"/>
  <c r="J2853" i="1"/>
  <c r="J2852" i="1"/>
  <c r="J2851" i="1"/>
  <c r="J2848" i="1"/>
  <c r="J2843" i="1"/>
  <c r="J2850" i="1"/>
  <c r="J2849" i="1"/>
  <c r="B2853" i="1"/>
  <c r="H2853" i="1"/>
  <c r="K2853" i="1"/>
  <c r="Q2853" i="1"/>
  <c r="P2853" i="1" s="1"/>
  <c r="B2852" i="1"/>
  <c r="H2852" i="1"/>
  <c r="K2852" i="1"/>
  <c r="Q2852" i="1"/>
  <c r="P2852" i="1" s="1"/>
  <c r="B2850" i="1"/>
  <c r="B2851" i="1"/>
  <c r="H2850" i="1"/>
  <c r="H2851" i="1"/>
  <c r="K2850" i="1"/>
  <c r="K2851" i="1"/>
  <c r="Q2850" i="1"/>
  <c r="P2850" i="1" s="1"/>
  <c r="Q2851" i="1"/>
  <c r="P2851" i="1" s="1"/>
  <c r="B2849" i="1"/>
  <c r="H2849" i="1"/>
  <c r="K2849" i="1"/>
  <c r="Q2849" i="1"/>
  <c r="P2849" i="1" s="1"/>
  <c r="B2848" i="1"/>
  <c r="H2848" i="1"/>
  <c r="K2848" i="1"/>
  <c r="Q2848" i="1"/>
  <c r="P2848" i="1" s="1"/>
  <c r="J2847" i="1"/>
  <c r="J2846" i="1"/>
  <c r="J2845" i="1"/>
  <c r="J2844" i="1"/>
  <c r="J2842" i="1"/>
  <c r="J2837" i="1"/>
  <c r="J2836" i="1"/>
  <c r="J2835" i="1"/>
  <c r="B2846" i="1"/>
  <c r="B2847" i="1"/>
  <c r="H2846" i="1"/>
  <c r="H2847" i="1"/>
  <c r="K2846" i="1"/>
  <c r="K2847" i="1"/>
  <c r="Q2846" i="1"/>
  <c r="P2846" i="1" s="1"/>
  <c r="Q2847" i="1"/>
  <c r="P2847" i="1" s="1"/>
  <c r="B2845" i="1"/>
  <c r="H2845" i="1"/>
  <c r="K2845" i="1"/>
  <c r="Q2845" i="1"/>
  <c r="P2845" i="1" s="1"/>
  <c r="J2838" i="1"/>
  <c r="B2844" i="1"/>
  <c r="H2844" i="1"/>
  <c r="K2844" i="1"/>
  <c r="Q2844" i="1"/>
  <c r="P2844" i="1" s="1"/>
  <c r="B2843" i="1"/>
  <c r="H2843" i="1"/>
  <c r="K2843" i="1"/>
  <c r="Q2843" i="1"/>
  <c r="P2843" i="1" s="1"/>
  <c r="B2836" i="1"/>
  <c r="B2837" i="1"/>
  <c r="B2838" i="1"/>
  <c r="B2839" i="1"/>
  <c r="B2840" i="1"/>
  <c r="B2841" i="1"/>
  <c r="B2842" i="1"/>
  <c r="H2836" i="1"/>
  <c r="H2837" i="1"/>
  <c r="H2838" i="1"/>
  <c r="H2839" i="1"/>
  <c r="H2840" i="1"/>
  <c r="H2841" i="1"/>
  <c r="H2842" i="1"/>
  <c r="J2839" i="1"/>
  <c r="J2840" i="1"/>
  <c r="J2841" i="1"/>
  <c r="K2836" i="1"/>
  <c r="K2837" i="1"/>
  <c r="K2838" i="1"/>
  <c r="K2839" i="1"/>
  <c r="K2840" i="1"/>
  <c r="K2841" i="1"/>
  <c r="K2842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B2835" i="1"/>
  <c r="H2835" i="1"/>
  <c r="K2835" i="1"/>
  <c r="Q2835" i="1"/>
  <c r="P2835" i="1" s="1"/>
  <c r="B2833" i="1"/>
  <c r="B2834" i="1"/>
  <c r="H2833" i="1"/>
  <c r="H2834" i="1"/>
  <c r="J2833" i="1"/>
  <c r="J2834" i="1"/>
  <c r="K2833" i="1"/>
  <c r="K2834" i="1"/>
  <c r="Q2833" i="1"/>
  <c r="P2833" i="1" s="1"/>
  <c r="Q2834" i="1"/>
  <c r="P2834" i="1" s="1"/>
  <c r="B2822" i="1"/>
  <c r="B2823" i="1"/>
  <c r="B2824" i="1"/>
  <c r="B2825" i="1"/>
  <c r="B2826" i="1"/>
  <c r="B2827" i="1"/>
  <c r="B2828" i="1"/>
  <c r="B2829" i="1"/>
  <c r="B2830" i="1"/>
  <c r="B2831" i="1"/>
  <c r="B2832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K2822" i="1"/>
  <c r="K2823" i="1"/>
  <c r="K2824" i="1"/>
  <c r="K2825" i="1"/>
  <c r="K2826" i="1"/>
  <c r="K2827" i="1"/>
  <c r="K2828" i="1"/>
  <c r="K2829" i="1"/>
  <c r="K2830" i="1"/>
  <c r="K2831" i="1"/>
  <c r="K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B2821" i="1"/>
  <c r="H2821" i="1"/>
  <c r="J2821" i="1"/>
  <c r="K2821" i="1"/>
  <c r="Q2821" i="1"/>
  <c r="P2821" i="1" s="1"/>
  <c r="B2814" i="1"/>
  <c r="B2815" i="1"/>
  <c r="B2816" i="1"/>
  <c r="B2817" i="1"/>
  <c r="B2818" i="1"/>
  <c r="B2819" i="1"/>
  <c r="B2820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K2814" i="1"/>
  <c r="K2815" i="1"/>
  <c r="K2816" i="1"/>
  <c r="K2817" i="1"/>
  <c r="K2818" i="1"/>
  <c r="K2819" i="1"/>
  <c r="K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B2813" i="1" l="1"/>
  <c r="H2813" i="1"/>
  <c r="J2813" i="1"/>
  <c r="K2813" i="1"/>
  <c r="Q2813" i="1"/>
  <c r="P2813" i="1" s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B2502" i="1"/>
  <c r="H2502" i="1"/>
  <c r="J2502" i="1"/>
  <c r="K2502" i="1"/>
  <c r="Q2502" i="1"/>
  <c r="P2502" i="1" s="1"/>
  <c r="B2501" i="1"/>
  <c r="H2501" i="1"/>
  <c r="J2501" i="1"/>
  <c r="K2501" i="1"/>
  <c r="Q2501" i="1"/>
  <c r="P2501" i="1" s="1"/>
  <c r="B2500" i="1" l="1"/>
  <c r="H2500" i="1"/>
  <c r="J2500" i="1"/>
  <c r="K2500" i="1"/>
  <c r="Q2500" i="1"/>
  <c r="P2500" i="1" s="1"/>
  <c r="B2499" i="1" l="1"/>
  <c r="H2499" i="1"/>
  <c r="J2499" i="1"/>
  <c r="K2499" i="1"/>
  <c r="Q2499" i="1"/>
  <c r="P2499" i="1" s="1"/>
  <c r="B2488" i="1"/>
  <c r="B2489" i="1"/>
  <c r="B2490" i="1"/>
  <c r="B2491" i="1"/>
  <c r="B2492" i="1"/>
  <c r="B2493" i="1"/>
  <c r="B2494" i="1"/>
  <c r="B2495" i="1"/>
  <c r="B2496" i="1"/>
  <c r="B2497" i="1"/>
  <c r="B2498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K2488" i="1"/>
  <c r="K2489" i="1"/>
  <c r="K2490" i="1"/>
  <c r="K2491" i="1"/>
  <c r="K2492" i="1"/>
  <c r="K2493" i="1"/>
  <c r="K2494" i="1"/>
  <c r="K2495" i="1"/>
  <c r="K2496" i="1"/>
  <c r="K2497" i="1"/>
  <c r="K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B2431" i="1" l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B2430" i="1"/>
  <c r="H2430" i="1"/>
  <c r="J2430" i="1"/>
  <c r="K2430" i="1"/>
  <c r="Q2430" i="1"/>
  <c r="P2430" i="1" s="1"/>
  <c r="B2429" i="1"/>
  <c r="H2429" i="1"/>
  <c r="J2429" i="1"/>
  <c r="K2429" i="1"/>
  <c r="Q2429" i="1"/>
  <c r="P2429" i="1" s="1"/>
  <c r="B2428" i="1" l="1"/>
  <c r="H2428" i="1"/>
  <c r="J2428" i="1"/>
  <c r="K2428" i="1"/>
  <c r="Q2428" i="1"/>
  <c r="P2428" i="1" s="1"/>
  <c r="B2427" i="1"/>
  <c r="H2427" i="1"/>
  <c r="J2427" i="1"/>
  <c r="K2427" i="1"/>
  <c r="Q2427" i="1"/>
  <c r="P2427" i="1" s="1"/>
  <c r="B2426" i="1"/>
  <c r="B2425" i="1"/>
  <c r="B2424" i="1"/>
  <c r="B2423" i="1"/>
  <c r="B2422" i="1"/>
  <c r="B2421" i="1"/>
  <c r="B2420" i="1"/>
  <c r="B2419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K2419" i="1"/>
  <c r="K2420" i="1"/>
  <c r="K2421" i="1"/>
  <c r="K2422" i="1"/>
  <c r="K2423" i="1"/>
  <c r="K2424" i="1"/>
  <c r="K2425" i="1"/>
  <c r="K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B2418" i="1" l="1"/>
  <c r="H2418" i="1"/>
  <c r="J2418" i="1"/>
  <c r="K2418" i="1"/>
  <c r="Q2418" i="1"/>
  <c r="P2418" i="1" s="1"/>
  <c r="B2417" i="1" l="1"/>
  <c r="H2417" i="1"/>
  <c r="J2417" i="1"/>
  <c r="K2417" i="1"/>
  <c r="Q2417" i="1"/>
  <c r="P2417" i="1" s="1"/>
  <c r="B2416" i="1"/>
  <c r="H2416" i="1"/>
  <c r="J2416" i="1"/>
  <c r="K2416" i="1"/>
  <c r="Q2416" i="1"/>
  <c r="P2416" i="1" s="1"/>
  <c r="B2415" i="1"/>
  <c r="H2415" i="1"/>
  <c r="J2415" i="1"/>
  <c r="K2415" i="1"/>
  <c r="Q2415" i="1"/>
  <c r="P2415" i="1" s="1"/>
  <c r="B2414" i="1"/>
  <c r="H2414" i="1"/>
  <c r="J2414" i="1"/>
  <c r="K2414" i="1"/>
  <c r="Q2414" i="1"/>
  <c r="P2414" i="1" s="1"/>
  <c r="B2413" i="1"/>
  <c r="H2413" i="1"/>
  <c r="J2413" i="1"/>
  <c r="K2413" i="1"/>
  <c r="Q2413" i="1"/>
  <c r="P2413" i="1" s="1"/>
  <c r="B2409" i="1"/>
  <c r="B2410" i="1"/>
  <c r="B2411" i="1"/>
  <c r="B2412" i="1"/>
  <c r="H2409" i="1"/>
  <c r="H2410" i="1"/>
  <c r="H2411" i="1"/>
  <c r="H2412" i="1"/>
  <c r="J2409" i="1"/>
  <c r="J2410" i="1"/>
  <c r="J2411" i="1"/>
  <c r="J2412" i="1"/>
  <c r="K2409" i="1"/>
  <c r="K2410" i="1"/>
  <c r="K2411" i="1"/>
  <c r="K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B2408" i="1"/>
  <c r="H2408" i="1"/>
  <c r="J2408" i="1"/>
  <c r="K2408" i="1"/>
  <c r="Q2408" i="1"/>
  <c r="P2408" i="1" s="1"/>
  <c r="B2407" i="1"/>
  <c r="H2407" i="1"/>
  <c r="J2407" i="1"/>
  <c r="K2407" i="1"/>
  <c r="Q2407" i="1"/>
  <c r="P2407" i="1" s="1"/>
  <c r="B2406" i="1"/>
  <c r="H2406" i="1"/>
  <c r="K2406" i="1"/>
  <c r="Q2406" i="1"/>
  <c r="P2406" i="1" s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B2310" i="1"/>
  <c r="H2310" i="1"/>
  <c r="J2310" i="1"/>
  <c r="K2310" i="1"/>
  <c r="Q2310" i="1"/>
  <c r="P2310" i="1" s="1"/>
  <c r="B2305" i="1"/>
  <c r="B2306" i="1"/>
  <c r="B2307" i="1"/>
  <c r="B2308" i="1"/>
  <c r="B2309" i="1"/>
  <c r="H2305" i="1"/>
  <c r="H2306" i="1"/>
  <c r="H2307" i="1"/>
  <c r="H2308" i="1"/>
  <c r="H2309" i="1"/>
  <c r="J2305" i="1"/>
  <c r="J2306" i="1"/>
  <c r="J2309" i="1"/>
  <c r="K2305" i="1"/>
  <c r="K2306" i="1"/>
  <c r="K2307" i="1"/>
  <c r="K2308" i="1"/>
  <c r="K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B2304" i="1"/>
  <c r="H2304" i="1"/>
  <c r="J2304" i="1"/>
  <c r="K2304" i="1"/>
  <c r="Q2304" i="1"/>
  <c r="P2304" i="1" s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B2269" i="1"/>
  <c r="H2269" i="1"/>
  <c r="J2269" i="1"/>
  <c r="K2269" i="1"/>
  <c r="Q2269" i="1"/>
  <c r="P2269" i="1" s="1"/>
  <c r="H1513" i="1"/>
  <c r="B1515" i="1"/>
  <c r="H1515" i="1"/>
  <c r="J1515" i="1"/>
  <c r="K1515" i="1"/>
  <c r="Q1515" i="1"/>
  <c r="P1515" i="1" s="1"/>
  <c r="B1516" i="1"/>
  <c r="H1516" i="1"/>
  <c r="J1516" i="1"/>
  <c r="K1516" i="1"/>
  <c r="Q1516" i="1"/>
  <c r="P1516" i="1" s="1"/>
  <c r="B2262" i="1"/>
  <c r="B2263" i="1"/>
  <c r="B2264" i="1"/>
  <c r="B2265" i="1"/>
  <c r="B2266" i="1"/>
  <c r="B2267" i="1"/>
  <c r="B2268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K2262" i="1"/>
  <c r="K2263" i="1"/>
  <c r="K2264" i="1"/>
  <c r="K2265" i="1"/>
  <c r="K2266" i="1"/>
  <c r="K2267" i="1"/>
  <c r="K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B2261" i="1" l="1"/>
  <c r="H2261" i="1"/>
  <c r="J2261" i="1"/>
  <c r="K2261" i="1"/>
  <c r="Q2261" i="1"/>
  <c r="P2261" i="1" s="1"/>
  <c r="B2259" i="1"/>
  <c r="B2260" i="1"/>
  <c r="H2259" i="1"/>
  <c r="H2260" i="1"/>
  <c r="J2259" i="1"/>
  <c r="J2260" i="1"/>
  <c r="K2259" i="1"/>
  <c r="K2260" i="1"/>
  <c r="Q2259" i="1"/>
  <c r="P2259" i="1" s="1"/>
  <c r="Q2260" i="1"/>
  <c r="P2260" i="1" s="1"/>
  <c r="B2258" i="1"/>
  <c r="H2258" i="1"/>
  <c r="J2258" i="1"/>
  <c r="K2258" i="1"/>
  <c r="Q2258" i="1"/>
  <c r="P2258" i="1" s="1"/>
  <c r="B2250" i="1"/>
  <c r="B2251" i="1"/>
  <c r="B2252" i="1"/>
  <c r="B2253" i="1"/>
  <c r="B2254" i="1"/>
  <c r="B2255" i="1"/>
  <c r="B2256" i="1"/>
  <c r="B2257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K2250" i="1"/>
  <c r="K2251" i="1"/>
  <c r="K2252" i="1"/>
  <c r="K2253" i="1"/>
  <c r="K2254" i="1"/>
  <c r="K2255" i="1"/>
  <c r="K2256" i="1"/>
  <c r="K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B2249" i="1"/>
  <c r="H2249" i="1"/>
  <c r="J2249" i="1"/>
  <c r="K2249" i="1"/>
  <c r="Q2249" i="1"/>
  <c r="P2249" i="1" s="1"/>
  <c r="B2248" i="1"/>
  <c r="H2248" i="1"/>
  <c r="J2248" i="1"/>
  <c r="K2248" i="1"/>
  <c r="Q2248" i="1"/>
  <c r="P2248" i="1" s="1"/>
  <c r="B2247" i="1"/>
  <c r="H2247" i="1"/>
  <c r="J2247" i="1"/>
  <c r="K2247" i="1"/>
  <c r="Q2247" i="1"/>
  <c r="P2247" i="1" s="1"/>
  <c r="B2246" i="1"/>
  <c r="H2246" i="1"/>
  <c r="J2246" i="1"/>
  <c r="K2246" i="1"/>
  <c r="Q2246" i="1"/>
  <c r="P2246" i="1" s="1"/>
  <c r="B2245" i="1"/>
  <c r="H2245" i="1"/>
  <c r="J2245" i="1"/>
  <c r="K2245" i="1"/>
  <c r="Q2245" i="1"/>
  <c r="P2245" i="1" s="1"/>
  <c r="B2239" i="1"/>
  <c r="B2240" i="1"/>
  <c r="B2241" i="1"/>
  <c r="B2242" i="1"/>
  <c r="B2243" i="1"/>
  <c r="B2244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K2239" i="1"/>
  <c r="K2240" i="1"/>
  <c r="K2241" i="1"/>
  <c r="K2242" i="1"/>
  <c r="K2243" i="1"/>
  <c r="K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B2238" i="1"/>
  <c r="H2238" i="1"/>
  <c r="J2238" i="1"/>
  <c r="K2238" i="1"/>
  <c r="Q2238" i="1"/>
  <c r="P2238" i="1" s="1"/>
  <c r="B2234" i="1"/>
  <c r="B2235" i="1"/>
  <c r="B2236" i="1"/>
  <c r="B2237" i="1"/>
  <c r="H2234" i="1"/>
  <c r="H2235" i="1"/>
  <c r="H2236" i="1"/>
  <c r="H2237" i="1"/>
  <c r="J2234" i="1"/>
  <c r="J2235" i="1"/>
  <c r="J2236" i="1"/>
  <c r="J2237" i="1"/>
  <c r="K2234" i="1"/>
  <c r="K2235" i="1"/>
  <c r="K2236" i="1"/>
  <c r="K2237" i="1"/>
  <c r="Q2234" i="1"/>
  <c r="P2234" i="1" s="1"/>
  <c r="Q2235" i="1"/>
  <c r="P2235" i="1" s="1"/>
  <c r="Q2236" i="1"/>
  <c r="P2236" i="1" s="1"/>
  <c r="Q2237" i="1"/>
  <c r="P2237" i="1" s="1"/>
  <c r="B2233" i="1"/>
  <c r="H2233" i="1"/>
  <c r="J2233" i="1"/>
  <c r="K2233" i="1"/>
  <c r="Q2233" i="1"/>
  <c r="P2233" i="1" s="1"/>
  <c r="B2232" i="1"/>
  <c r="H2232" i="1"/>
  <c r="J2232" i="1"/>
  <c r="K2232" i="1"/>
  <c r="Q2232" i="1"/>
  <c r="P2232" i="1" s="1"/>
  <c r="B2231" i="1"/>
  <c r="H2231" i="1"/>
  <c r="J2231" i="1"/>
  <c r="K2231" i="1"/>
  <c r="Q2231" i="1"/>
  <c r="P2231" i="1" s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B1912" i="1"/>
  <c r="H1912" i="1"/>
  <c r="J1912" i="1"/>
  <c r="K1912" i="1"/>
  <c r="Q1912" i="1"/>
  <c r="P1912" i="1" s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B1814" i="1"/>
  <c r="H1814" i="1"/>
  <c r="J1814" i="1"/>
  <c r="K1814" i="1"/>
  <c r="Q1814" i="1"/>
  <c r="P1814" i="1" s="1"/>
  <c r="B1813" i="1"/>
  <c r="H1813" i="1"/>
  <c r="J1813" i="1"/>
  <c r="K1813" i="1"/>
  <c r="Q1813" i="1"/>
  <c r="P1813" i="1" s="1"/>
  <c r="B1808" i="1"/>
  <c r="B1809" i="1"/>
  <c r="B1810" i="1"/>
  <c r="B1811" i="1"/>
  <c r="B1812" i="1"/>
  <c r="H1808" i="1"/>
  <c r="H1809" i="1"/>
  <c r="H1810" i="1"/>
  <c r="H1811" i="1"/>
  <c r="H1812" i="1"/>
  <c r="J1808" i="1"/>
  <c r="J1809" i="1"/>
  <c r="J1810" i="1"/>
  <c r="J1811" i="1"/>
  <c r="J1812" i="1"/>
  <c r="K1808" i="1"/>
  <c r="K1809" i="1"/>
  <c r="K1810" i="1"/>
  <c r="K1811" i="1"/>
  <c r="K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B1807" i="1"/>
  <c r="H1807" i="1"/>
  <c r="J1807" i="1"/>
  <c r="K1807" i="1"/>
  <c r="Q1807" i="1"/>
  <c r="P1807" i="1" s="1"/>
  <c r="B1806" i="1"/>
  <c r="H1806" i="1"/>
  <c r="J1806" i="1"/>
  <c r="K1806" i="1"/>
  <c r="Q1806" i="1"/>
  <c r="P1806" i="1" s="1"/>
  <c r="B1805" i="1"/>
  <c r="H1805" i="1"/>
  <c r="J1805" i="1"/>
  <c r="K1805" i="1"/>
  <c r="Q1805" i="1"/>
  <c r="P1805" i="1" s="1"/>
  <c r="B1804" i="1" l="1"/>
  <c r="H1804" i="1"/>
  <c r="J1804" i="1"/>
  <c r="K1804" i="1"/>
  <c r="Q1804" i="1"/>
  <c r="P1804" i="1" s="1"/>
  <c r="B1803" i="1"/>
  <c r="B1802" i="1"/>
  <c r="B1801" i="1"/>
  <c r="B1800" i="1"/>
  <c r="H1800" i="1"/>
  <c r="H1801" i="1"/>
  <c r="H1802" i="1"/>
  <c r="H1803" i="1"/>
  <c r="J1800" i="1"/>
  <c r="J1801" i="1"/>
  <c r="J1802" i="1"/>
  <c r="J1803" i="1"/>
  <c r="K1800" i="1"/>
  <c r="K1801" i="1"/>
  <c r="K1802" i="1"/>
  <c r="K1803" i="1"/>
  <c r="Q1800" i="1"/>
  <c r="P1800" i="1" s="1"/>
  <c r="Q1801" i="1"/>
  <c r="P1801" i="1" s="1"/>
  <c r="Q1802" i="1"/>
  <c r="P1802" i="1" s="1"/>
  <c r="Q1803" i="1"/>
  <c r="P1803" i="1" s="1"/>
  <c r="B1799" i="1"/>
  <c r="H1799" i="1"/>
  <c r="J1799" i="1"/>
  <c r="K1799" i="1"/>
  <c r="Q1799" i="1"/>
  <c r="P1799" i="1" s="1"/>
  <c r="B1798" i="1"/>
  <c r="B1797" i="1"/>
  <c r="B1796" i="1"/>
  <c r="B1795" i="1"/>
  <c r="B1794" i="1"/>
  <c r="H1794" i="1"/>
  <c r="H1795" i="1"/>
  <c r="H1796" i="1"/>
  <c r="H1797" i="1"/>
  <c r="H1798" i="1"/>
  <c r="J1794" i="1"/>
  <c r="J1795" i="1"/>
  <c r="J1796" i="1"/>
  <c r="J1797" i="1"/>
  <c r="J1798" i="1"/>
  <c r="K1794" i="1"/>
  <c r="K1795" i="1"/>
  <c r="K1796" i="1"/>
  <c r="K1797" i="1"/>
  <c r="K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B1793" i="1"/>
  <c r="H1793" i="1"/>
  <c r="J1793" i="1"/>
  <c r="K1793" i="1"/>
  <c r="Q1793" i="1"/>
  <c r="P1793" i="1" s="1"/>
  <c r="B1790" i="1" l="1"/>
  <c r="B1791" i="1"/>
  <c r="B1792" i="1"/>
  <c r="H1790" i="1"/>
  <c r="H1791" i="1"/>
  <c r="H1792" i="1"/>
  <c r="J1790" i="1"/>
  <c r="J1791" i="1"/>
  <c r="J1792" i="1"/>
  <c r="K1790" i="1"/>
  <c r="K1791" i="1"/>
  <c r="K1792" i="1"/>
  <c r="Q1790" i="1"/>
  <c r="P1790" i="1" s="1"/>
  <c r="Q1791" i="1"/>
  <c r="P1791" i="1" s="1"/>
  <c r="Q1792" i="1"/>
  <c r="P1792" i="1" s="1"/>
  <c r="B1789" i="1" l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B1776" i="1"/>
  <c r="H1776" i="1"/>
  <c r="J1776" i="1"/>
  <c r="K1776" i="1"/>
  <c r="Q1776" i="1"/>
  <c r="P1776" i="1" s="1"/>
  <c r="B1775" i="1"/>
  <c r="B1774" i="1"/>
  <c r="B1773" i="1"/>
  <c r="B1772" i="1"/>
  <c r="H1772" i="1"/>
  <c r="H1773" i="1"/>
  <c r="H1774" i="1"/>
  <c r="H1775" i="1"/>
  <c r="J1772" i="1"/>
  <c r="J1773" i="1"/>
  <c r="J1774" i="1"/>
  <c r="J1775" i="1"/>
  <c r="K1772" i="1"/>
  <c r="K1773" i="1"/>
  <c r="K1774" i="1"/>
  <c r="K1775" i="1"/>
  <c r="Q1772" i="1"/>
  <c r="P1772" i="1" s="1"/>
  <c r="Q1773" i="1"/>
  <c r="P1773" i="1" s="1"/>
  <c r="Q1774" i="1"/>
  <c r="P1774" i="1" s="1"/>
  <c r="Q1775" i="1"/>
  <c r="P1775" i="1" s="1"/>
  <c r="B1771" i="1"/>
  <c r="H1771" i="1"/>
  <c r="J1771" i="1"/>
  <c r="K1771" i="1"/>
  <c r="Q1771" i="1"/>
  <c r="P1771" i="1" s="1"/>
  <c r="B1770" i="1"/>
  <c r="B1769" i="1"/>
  <c r="B1768" i="1"/>
  <c r="B1767" i="1"/>
  <c r="B1766" i="1"/>
  <c r="B1765" i="1"/>
  <c r="B1764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K1764" i="1"/>
  <c r="K1765" i="1"/>
  <c r="K1766" i="1"/>
  <c r="K1767" i="1"/>
  <c r="K1768" i="1"/>
  <c r="K1769" i="1"/>
  <c r="K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B1763" i="1"/>
  <c r="H1763" i="1"/>
  <c r="J1763" i="1"/>
  <c r="K1763" i="1"/>
  <c r="Q1763" i="1"/>
  <c r="P1763" i="1" s="1"/>
  <c r="H1673" i="1"/>
  <c r="B1762" i="1"/>
  <c r="B1761" i="1"/>
  <c r="B1760" i="1"/>
  <c r="B1759" i="1"/>
  <c r="B1758" i="1"/>
  <c r="B1757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K1757" i="1"/>
  <c r="K1758" i="1"/>
  <c r="K1759" i="1"/>
  <c r="K1760" i="1"/>
  <c r="K1761" i="1"/>
  <c r="K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B1756" i="1"/>
  <c r="H1756" i="1"/>
  <c r="J1756" i="1"/>
  <c r="K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B1644" i="1"/>
  <c r="H1644" i="1"/>
  <c r="J1644" i="1"/>
  <c r="K1644" i="1"/>
  <c r="Q1644" i="1"/>
  <c r="P1644" i="1" s="1"/>
  <c r="B1643" i="1"/>
  <c r="H1643" i="1"/>
  <c r="J1643" i="1"/>
  <c r="K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B1588" i="1"/>
  <c r="H1588" i="1"/>
  <c r="J1588" i="1"/>
  <c r="K1588" i="1"/>
  <c r="Q1588" i="1"/>
  <c r="P1588" i="1" s="1"/>
  <c r="B1580" i="1"/>
  <c r="B1581" i="1"/>
  <c r="B1582" i="1"/>
  <c r="B1583" i="1"/>
  <c r="B1584" i="1"/>
  <c r="B1585" i="1"/>
  <c r="B1586" i="1"/>
  <c r="B1587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K1580" i="1"/>
  <c r="K1581" i="1"/>
  <c r="K1582" i="1"/>
  <c r="K1583" i="1"/>
  <c r="K1584" i="1"/>
  <c r="K1585" i="1"/>
  <c r="K1586" i="1"/>
  <c r="K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B1579" i="1" l="1"/>
  <c r="H1579" i="1"/>
  <c r="J1579" i="1"/>
  <c r="K1579" i="1"/>
  <c r="Q1579" i="1"/>
  <c r="P1579" i="1" s="1"/>
  <c r="B1577" i="1"/>
  <c r="B1578" i="1"/>
  <c r="H1577" i="1"/>
  <c r="H1578" i="1"/>
  <c r="J1577" i="1"/>
  <c r="J1578" i="1"/>
  <c r="K1577" i="1"/>
  <c r="K1578" i="1"/>
  <c r="Q1577" i="1"/>
  <c r="P1577" i="1" s="1"/>
  <c r="Q1578" i="1"/>
  <c r="P1578" i="1" s="1"/>
  <c r="B1576" i="1"/>
  <c r="H1576" i="1"/>
  <c r="J1576" i="1"/>
  <c r="K1576" i="1"/>
  <c r="Q1576" i="1"/>
  <c r="P1576" i="1" s="1"/>
  <c r="B1575" i="1"/>
  <c r="H1575" i="1"/>
  <c r="J1575" i="1"/>
  <c r="K1575" i="1"/>
  <c r="Q1575" i="1"/>
  <c r="P1575" i="1" s="1"/>
  <c r="B1574" i="1"/>
  <c r="H1574" i="1"/>
  <c r="J1574" i="1"/>
  <c r="K1574" i="1"/>
  <c r="Q1574" i="1"/>
  <c r="P1574" i="1" s="1"/>
  <c r="B1573" i="1"/>
  <c r="H1573" i="1"/>
  <c r="J1573" i="1"/>
  <c r="K1573" i="1"/>
  <c r="Q1573" i="1"/>
  <c r="P1573" i="1" s="1"/>
  <c r="B1569" i="1"/>
  <c r="B1570" i="1"/>
  <c r="B1571" i="1"/>
  <c r="B1572" i="1"/>
  <c r="H1569" i="1"/>
  <c r="H1570" i="1"/>
  <c r="H1571" i="1"/>
  <c r="H1572" i="1"/>
  <c r="J1569" i="1"/>
  <c r="J1570" i="1"/>
  <c r="J1571" i="1"/>
  <c r="J1572" i="1"/>
  <c r="K1569" i="1"/>
  <c r="K1570" i="1"/>
  <c r="K1571" i="1"/>
  <c r="K1572" i="1"/>
  <c r="Q1569" i="1"/>
  <c r="P1569" i="1" s="1"/>
  <c r="Q1570" i="1"/>
  <c r="P1570" i="1" s="1"/>
  <c r="Q1571" i="1"/>
  <c r="P1571" i="1" s="1"/>
  <c r="Q1572" i="1"/>
  <c r="P1572" i="1" s="1"/>
  <c r="B1568" i="1"/>
  <c r="H1568" i="1"/>
  <c r="J1568" i="1"/>
  <c r="K1568" i="1"/>
  <c r="Q1568" i="1"/>
  <c r="P1568" i="1" s="1"/>
  <c r="B1562" i="1"/>
  <c r="B1563" i="1"/>
  <c r="B1564" i="1"/>
  <c r="B1565" i="1"/>
  <c r="B1566" i="1"/>
  <c r="B1567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K1562" i="1"/>
  <c r="K1563" i="1"/>
  <c r="K1564" i="1"/>
  <c r="K1565" i="1"/>
  <c r="K1566" i="1"/>
  <c r="K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B1561" i="1"/>
  <c r="H1561" i="1"/>
  <c r="J1561" i="1"/>
  <c r="K1561" i="1"/>
  <c r="Q1561" i="1"/>
  <c r="P1561" i="1" s="1"/>
  <c r="B1560" i="1"/>
  <c r="H1560" i="1"/>
  <c r="J1560" i="1"/>
  <c r="K1560" i="1"/>
  <c r="Q1560" i="1"/>
  <c r="P1560" i="1" s="1"/>
  <c r="B1559" i="1"/>
  <c r="H1559" i="1"/>
  <c r="J1559" i="1"/>
  <c r="K1559" i="1"/>
  <c r="Q1559" i="1"/>
  <c r="P1559" i="1" s="1"/>
  <c r="B1558" i="1"/>
  <c r="B1557" i="1"/>
  <c r="B1556" i="1"/>
  <c r="B1555" i="1"/>
  <c r="B1554" i="1"/>
  <c r="B1553" i="1"/>
  <c r="B1552" i="1"/>
  <c r="B1551" i="1"/>
  <c r="B1550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K1550" i="1"/>
  <c r="K1551" i="1"/>
  <c r="K1552" i="1"/>
  <c r="K1553" i="1"/>
  <c r="K1554" i="1"/>
  <c r="K1555" i="1"/>
  <c r="K1556" i="1"/>
  <c r="K1557" i="1"/>
  <c r="K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B1549" i="1"/>
  <c r="H1549" i="1"/>
  <c r="J1549" i="1"/>
  <c r="K1549" i="1"/>
  <c r="Q1549" i="1"/>
  <c r="P1549" i="1" s="1"/>
  <c r="B1548" i="1"/>
  <c r="H1548" i="1"/>
  <c r="J1548" i="1"/>
  <c r="K1548" i="1"/>
  <c r="Q1548" i="1"/>
  <c r="P1548" i="1" s="1"/>
  <c r="B1547" i="1"/>
  <c r="H1547" i="1"/>
  <c r="J1547" i="1"/>
  <c r="K1547" i="1"/>
  <c r="Q1547" i="1"/>
  <c r="P1547" i="1" s="1"/>
  <c r="Q1546" i="1"/>
  <c r="P1546" i="1" s="1"/>
  <c r="K1546" i="1"/>
  <c r="Q1545" i="1"/>
  <c r="P1545" i="1" s="1"/>
  <c r="K1545" i="1"/>
  <c r="Q1544" i="1"/>
  <c r="P1544" i="1" s="1"/>
  <c r="K1544" i="1"/>
  <c r="Q1543" i="1"/>
  <c r="P1543" i="1" s="1"/>
  <c r="K1543" i="1"/>
  <c r="Q1542" i="1"/>
  <c r="P1542" i="1" s="1"/>
  <c r="K1542" i="1"/>
  <c r="Q1541" i="1"/>
  <c r="P1541" i="1" s="1"/>
  <c r="K1541" i="1"/>
  <c r="Q1540" i="1"/>
  <c r="P1540" i="1" s="1"/>
  <c r="K1540" i="1"/>
  <c r="Q1539" i="1"/>
  <c r="P1539" i="1" s="1"/>
  <c r="K1539" i="1"/>
  <c r="Q1538" i="1"/>
  <c r="P1538" i="1" s="1"/>
  <c r="K1538" i="1"/>
  <c r="Q1537" i="1"/>
  <c r="P1537" i="1" s="1"/>
  <c r="K1537" i="1"/>
  <c r="Q1536" i="1"/>
  <c r="P1536" i="1" s="1"/>
  <c r="K1536" i="1"/>
  <c r="Q1535" i="1"/>
  <c r="P1535" i="1" s="1"/>
  <c r="K1535" i="1"/>
  <c r="Q1534" i="1"/>
  <c r="P1534" i="1" s="1"/>
  <c r="K1534" i="1"/>
  <c r="Q1533" i="1"/>
  <c r="P1533" i="1" s="1"/>
  <c r="K1533" i="1"/>
  <c r="Q1532" i="1"/>
  <c r="P1532" i="1" s="1"/>
  <c r="K1532" i="1"/>
  <c r="Q1531" i="1"/>
  <c r="P1531" i="1" s="1"/>
  <c r="K1531" i="1"/>
  <c r="Q1530" i="1"/>
  <c r="P1530" i="1" s="1"/>
  <c r="K1530" i="1"/>
  <c r="Q1529" i="1"/>
  <c r="P1529" i="1" s="1"/>
  <c r="K1529" i="1"/>
  <c r="Q1528" i="1"/>
  <c r="P1528" i="1" s="1"/>
  <c r="K1528" i="1"/>
  <c r="Q1527" i="1"/>
  <c r="P1527" i="1" s="1"/>
  <c r="K1527" i="1"/>
  <c r="Q1526" i="1"/>
  <c r="P1526" i="1" s="1"/>
  <c r="K1526" i="1"/>
  <c r="Q1525" i="1"/>
  <c r="P1525" i="1" s="1"/>
  <c r="K1525" i="1"/>
  <c r="Q1524" i="1"/>
  <c r="P1524" i="1" s="1"/>
  <c r="K1524" i="1"/>
  <c r="Q1523" i="1"/>
  <c r="P1523" i="1" s="1"/>
  <c r="K1523" i="1"/>
  <c r="Q1522" i="1"/>
  <c r="P1522" i="1" s="1"/>
  <c r="K1522" i="1"/>
  <c r="Q1521" i="1"/>
  <c r="P1521" i="1" s="1"/>
  <c r="K1521" i="1"/>
  <c r="Q1520" i="1"/>
  <c r="P1520" i="1" s="1"/>
  <c r="K1520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K1519" i="1"/>
  <c r="Q1519" i="1"/>
  <c r="P1519" i="1" s="1"/>
  <c r="B1518" i="1"/>
  <c r="H1518" i="1"/>
  <c r="J1518" i="1"/>
  <c r="K1518" i="1"/>
  <c r="Q1518" i="1"/>
  <c r="P1518" i="1" s="1"/>
  <c r="B1517" i="1"/>
  <c r="H1517" i="1"/>
  <c r="J1517" i="1"/>
  <c r="K1517" i="1"/>
  <c r="Q1517" i="1"/>
  <c r="P1517" i="1" s="1"/>
  <c r="B1513" i="1"/>
  <c r="B1514" i="1"/>
  <c r="H1514" i="1"/>
  <c r="J1513" i="1"/>
  <c r="J1514" i="1"/>
  <c r="K1513" i="1"/>
  <c r="K1514" i="1"/>
  <c r="Q1513" i="1"/>
  <c r="P1513" i="1" s="1"/>
  <c r="Q1514" i="1"/>
  <c r="P1514" i="1" s="1"/>
  <c r="B1512" i="1"/>
  <c r="H1512" i="1"/>
  <c r="J1512" i="1"/>
  <c r="K1512" i="1"/>
  <c r="Q1512" i="1"/>
  <c r="P1512" i="1" s="1"/>
  <c r="B1511" i="1"/>
  <c r="B1510" i="1"/>
  <c r="B1509" i="1"/>
  <c r="B1508" i="1"/>
  <c r="B1507" i="1"/>
  <c r="B1506" i="1"/>
  <c r="B1505" i="1"/>
  <c r="B1504" i="1"/>
  <c r="B1503" i="1"/>
  <c r="B150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K1502" i="1"/>
  <c r="K1503" i="1"/>
  <c r="K1504" i="1"/>
  <c r="K1505" i="1"/>
  <c r="K1506" i="1"/>
  <c r="K1507" i="1"/>
  <c r="K1508" i="1"/>
  <c r="K1509" i="1"/>
  <c r="K1510" i="1"/>
  <c r="K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B1501" i="1"/>
  <c r="H1501" i="1"/>
  <c r="J1501" i="1"/>
  <c r="K1501" i="1"/>
  <c r="Q1501" i="1"/>
  <c r="P1501" i="1" s="1"/>
  <c r="B1499" i="1"/>
  <c r="B1500" i="1"/>
  <c r="H1499" i="1"/>
  <c r="H1500" i="1"/>
  <c r="J1499" i="1"/>
  <c r="J1500" i="1"/>
  <c r="K1499" i="1"/>
  <c r="K1500" i="1"/>
  <c r="Q1499" i="1"/>
  <c r="P1499" i="1" s="1"/>
  <c r="Q1500" i="1"/>
  <c r="P1500" i="1" s="1"/>
  <c r="B1498" i="1"/>
  <c r="H1498" i="1"/>
  <c r="J1498" i="1"/>
  <c r="K1498" i="1"/>
  <c r="Q1498" i="1"/>
  <c r="P1498" i="1" s="1"/>
  <c r="B1497" i="1"/>
  <c r="H1497" i="1"/>
  <c r="J1497" i="1"/>
  <c r="K1497" i="1"/>
  <c r="Q1497" i="1"/>
  <c r="P1497" i="1" s="1"/>
  <c r="B1496" i="1"/>
  <c r="H1496" i="1"/>
  <c r="J1496" i="1"/>
  <c r="K1496" i="1"/>
  <c r="Q1496" i="1"/>
  <c r="P1496" i="1" s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B1477" i="1"/>
  <c r="H1477" i="1"/>
  <c r="J1477" i="1"/>
  <c r="K1477" i="1"/>
  <c r="Q1477" i="1"/>
  <c r="P1477" i="1" s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B1454" i="1"/>
  <c r="H1454" i="1"/>
  <c r="J1454" i="1"/>
  <c r="K1454" i="1"/>
  <c r="Q1454" i="1"/>
  <c r="P1454" i="1" s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B1434" i="1"/>
  <c r="H1434" i="1"/>
  <c r="J1434" i="1"/>
  <c r="K1434" i="1"/>
  <c r="Q1434" i="1"/>
  <c r="P1434" i="1" s="1"/>
  <c r="B1433" i="1"/>
  <c r="H1433" i="1"/>
  <c r="J1433" i="1"/>
  <c r="K1433" i="1"/>
  <c r="Q1433" i="1"/>
  <c r="P1433" i="1" s="1"/>
  <c r="Q1432" i="1"/>
  <c r="P1432" i="1" s="1"/>
  <c r="K1432" i="1"/>
  <c r="B1432" i="1"/>
  <c r="H1432" i="1"/>
  <c r="J1432" i="1"/>
  <c r="B1431" i="1"/>
  <c r="H1431" i="1"/>
  <c r="J1431" i="1"/>
  <c r="K1431" i="1"/>
  <c r="Q1431" i="1"/>
  <c r="P1431" i="1" s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B1353" i="1"/>
  <c r="H1353" i="1"/>
  <c r="J1353" i="1"/>
  <c r="K1353" i="1"/>
  <c r="Q1353" i="1"/>
  <c r="P1353" i="1" s="1"/>
  <c r="B1352" i="1"/>
  <c r="H1352" i="1"/>
  <c r="J1352" i="1"/>
  <c r="K1352" i="1"/>
  <c r="Q1352" i="1"/>
  <c r="P1352" i="1" s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K1299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B1298" i="1"/>
  <c r="H1298" i="1"/>
  <c r="J1298" i="1"/>
  <c r="K1298" i="1"/>
  <c r="Q1298" i="1"/>
  <c r="P1298" i="1" s="1"/>
  <c r="B1297" i="1"/>
  <c r="H1297" i="1"/>
  <c r="J1297" i="1"/>
  <c r="K1297" i="1"/>
  <c r="Q1297" i="1"/>
  <c r="P1297" i="1" s="1"/>
  <c r="K1296" i="1"/>
  <c r="K1295" i="1"/>
  <c r="B1296" i="1"/>
  <c r="H1296" i="1"/>
  <c r="J1296" i="1"/>
  <c r="Q1296" i="1"/>
  <c r="P1296" i="1" s="1"/>
  <c r="B1295" i="1"/>
  <c r="H1295" i="1"/>
  <c r="J1295" i="1"/>
  <c r="Q1295" i="1"/>
  <c r="P1295" i="1" s="1"/>
  <c r="B1294" i="1"/>
  <c r="H1294" i="1"/>
  <c r="J1294" i="1"/>
  <c r="K1294" i="1"/>
  <c r="Q1294" i="1"/>
  <c r="P1294" i="1" s="1"/>
  <c r="K1293" i="1"/>
  <c r="J1293" i="1"/>
  <c r="K1292" i="1"/>
  <c r="J1292" i="1"/>
  <c r="K1291" i="1"/>
  <c r="J1291" i="1"/>
  <c r="K1290" i="1"/>
  <c r="J1290" i="1"/>
  <c r="K1289" i="1"/>
  <c r="J1289" i="1"/>
  <c r="K1288" i="1"/>
  <c r="J1288" i="1"/>
  <c r="K1287" i="1"/>
  <c r="J1287" i="1"/>
  <c r="K1286" i="1"/>
  <c r="J1286" i="1"/>
  <c r="K1285" i="1"/>
  <c r="J1285" i="1"/>
  <c r="K1284" i="1"/>
  <c r="J1284" i="1"/>
  <c r="K1283" i="1"/>
  <c r="J1283" i="1"/>
  <c r="K1282" i="1"/>
  <c r="J1282" i="1"/>
  <c r="K1281" i="1"/>
  <c r="J1281" i="1"/>
  <c r="K1280" i="1"/>
  <c r="J1280" i="1"/>
  <c r="K1279" i="1"/>
  <c r="J1279" i="1"/>
  <c r="K1278" i="1"/>
  <c r="J1278" i="1"/>
  <c r="K1277" i="1"/>
  <c r="J1277" i="1"/>
  <c r="K1276" i="1"/>
  <c r="J1276" i="1"/>
  <c r="K1275" i="1"/>
  <c r="J1275" i="1"/>
  <c r="K1274" i="1"/>
  <c r="J1274" i="1"/>
  <c r="K1273" i="1"/>
  <c r="J1273" i="1"/>
  <c r="K1272" i="1"/>
  <c r="J1272" i="1"/>
  <c r="K1271" i="1"/>
  <c r="J1271" i="1"/>
  <c r="K1270" i="1"/>
  <c r="J1270" i="1"/>
  <c r="K1269" i="1"/>
  <c r="J1269" i="1"/>
  <c r="K1268" i="1"/>
  <c r="J1268" i="1"/>
  <c r="K1267" i="1"/>
  <c r="J1267" i="1"/>
  <c r="K1266" i="1"/>
  <c r="J1266" i="1"/>
  <c r="K1265" i="1"/>
  <c r="J1265" i="1"/>
  <c r="K1264" i="1"/>
  <c r="J1264" i="1"/>
  <c r="K1263" i="1"/>
  <c r="J1263" i="1"/>
  <c r="K1262" i="1"/>
  <c r="J1262" i="1"/>
  <c r="K1261" i="1"/>
  <c r="J1261" i="1"/>
  <c r="K1260" i="1"/>
  <c r="J1260" i="1"/>
  <c r="K1259" i="1"/>
  <c r="J1259" i="1"/>
  <c r="K1258" i="1"/>
  <c r="J1258" i="1"/>
  <c r="K1257" i="1"/>
  <c r="J1257" i="1"/>
  <c r="K1256" i="1"/>
  <c r="J1256" i="1"/>
  <c r="K1255" i="1"/>
  <c r="J1255" i="1"/>
  <c r="K1254" i="1"/>
  <c r="J1254" i="1"/>
  <c r="K1253" i="1"/>
  <c r="J1253" i="1"/>
  <c r="K1252" i="1"/>
  <c r="J1252" i="1"/>
  <c r="K1251" i="1"/>
  <c r="J1251" i="1"/>
  <c r="K1250" i="1"/>
  <c r="J1250" i="1"/>
  <c r="K1249" i="1"/>
  <c r="J1249" i="1"/>
  <c r="K1248" i="1"/>
  <c r="J1248" i="1"/>
  <c r="K1247" i="1"/>
  <c r="J1247" i="1"/>
  <c r="K1246" i="1"/>
  <c r="J1246" i="1"/>
  <c r="K1245" i="1"/>
  <c r="J1245" i="1"/>
  <c r="K1244" i="1"/>
  <c r="J1244" i="1"/>
  <c r="K1243" i="1"/>
  <c r="J1243" i="1"/>
  <c r="K1242" i="1"/>
  <c r="J1242" i="1"/>
  <c r="K1241" i="1"/>
  <c r="J1241" i="1"/>
  <c r="K1240" i="1"/>
  <c r="J1240" i="1"/>
  <c r="K1239" i="1"/>
  <c r="J1239" i="1"/>
  <c r="K1238" i="1"/>
  <c r="J1238" i="1"/>
  <c r="K1237" i="1"/>
  <c r="J1237" i="1"/>
  <c r="K1236" i="1"/>
  <c r="J1236" i="1"/>
  <c r="K1235" i="1"/>
  <c r="J1235" i="1"/>
  <c r="K1234" i="1"/>
  <c r="J1234" i="1"/>
  <c r="K1233" i="1"/>
  <c r="J1233" i="1"/>
  <c r="K1232" i="1"/>
  <c r="J1232" i="1"/>
  <c r="K1231" i="1"/>
  <c r="J1231" i="1"/>
  <c r="K1230" i="1"/>
  <c r="J1230" i="1"/>
  <c r="K1229" i="1"/>
  <c r="J1229" i="1"/>
  <c r="K1228" i="1"/>
  <c r="J1228" i="1"/>
  <c r="K1227" i="1"/>
  <c r="J1227" i="1"/>
  <c r="K1226" i="1"/>
  <c r="J1226" i="1"/>
  <c r="K1225" i="1"/>
  <c r="J1225" i="1"/>
  <c r="K1224" i="1"/>
  <c r="J1224" i="1"/>
  <c r="K1223" i="1"/>
  <c r="J1223" i="1"/>
  <c r="K1222" i="1"/>
  <c r="J1222" i="1"/>
  <c r="K1221" i="1"/>
  <c r="J1221" i="1"/>
  <c r="K1220" i="1"/>
  <c r="J1220" i="1"/>
  <c r="K1219" i="1"/>
  <c r="J1219" i="1"/>
  <c r="K1218" i="1"/>
  <c r="J1218" i="1"/>
  <c r="K1217" i="1"/>
  <c r="J1217" i="1"/>
  <c r="K1216" i="1"/>
  <c r="J1216" i="1"/>
  <c r="K1215" i="1"/>
  <c r="J1215" i="1"/>
  <c r="K1214" i="1"/>
  <c r="J1214" i="1"/>
  <c r="K1213" i="1"/>
  <c r="J1213" i="1"/>
  <c r="K1212" i="1"/>
  <c r="J1212" i="1"/>
  <c r="K1211" i="1"/>
  <c r="J1211" i="1"/>
  <c r="K1210" i="1"/>
  <c r="J1210" i="1"/>
  <c r="K1209" i="1"/>
  <c r="J1209" i="1"/>
  <c r="K1208" i="1"/>
  <c r="J1208" i="1"/>
  <c r="K1207" i="1"/>
  <c r="J1207" i="1"/>
  <c r="K1206" i="1"/>
  <c r="J1206" i="1"/>
  <c r="K1205" i="1"/>
  <c r="J1205" i="1"/>
  <c r="K1204" i="1"/>
  <c r="J1204" i="1"/>
  <c r="K1203" i="1"/>
  <c r="J1203" i="1"/>
  <c r="K1202" i="1"/>
  <c r="J1202" i="1"/>
  <c r="K1201" i="1"/>
  <c r="J1201" i="1"/>
  <c r="K1200" i="1"/>
  <c r="J1200" i="1"/>
  <c r="K1199" i="1"/>
  <c r="J1199" i="1"/>
  <c r="K1198" i="1"/>
  <c r="J1198" i="1"/>
  <c r="K1197" i="1"/>
  <c r="J1197" i="1"/>
  <c r="K1196" i="1"/>
  <c r="J1196" i="1"/>
  <c r="K1195" i="1"/>
  <c r="J1195" i="1"/>
  <c r="K1194" i="1"/>
  <c r="J11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B1193" i="1"/>
  <c r="H1193" i="1"/>
  <c r="J1193" i="1"/>
  <c r="K1193" i="1"/>
  <c r="Q1193" i="1"/>
  <c r="P1193" i="1" s="1"/>
  <c r="B1192" i="1"/>
  <c r="H1192" i="1"/>
  <c r="J1192" i="1"/>
  <c r="K1192" i="1"/>
  <c r="Q1192" i="1"/>
  <c r="P1192" i="1" s="1"/>
  <c r="B1191" i="1"/>
  <c r="H1191" i="1"/>
  <c r="J1191" i="1"/>
  <c r="K1191" i="1"/>
  <c r="Q1191" i="1"/>
  <c r="P1191" i="1" s="1"/>
  <c r="B1190" i="1"/>
  <c r="H1190" i="1"/>
  <c r="J1190" i="1"/>
  <c r="K1190" i="1"/>
  <c r="Q1190" i="1"/>
  <c r="P1190" i="1" s="1"/>
  <c r="B1186" i="1"/>
  <c r="B1187" i="1"/>
  <c r="B1188" i="1"/>
  <c r="B1189" i="1"/>
  <c r="H1186" i="1"/>
  <c r="H1187" i="1"/>
  <c r="H1188" i="1"/>
  <c r="H1189" i="1"/>
  <c r="J1186" i="1"/>
  <c r="J1187" i="1"/>
  <c r="J1188" i="1"/>
  <c r="J1189" i="1"/>
  <c r="K1186" i="1"/>
  <c r="K1187" i="1"/>
  <c r="K1188" i="1"/>
  <c r="K1189" i="1"/>
  <c r="Q1186" i="1"/>
  <c r="P1186" i="1" s="1"/>
  <c r="Q1187" i="1"/>
  <c r="P1187" i="1" s="1"/>
  <c r="Q1188" i="1"/>
  <c r="P1188" i="1" s="1"/>
  <c r="Q1189" i="1"/>
  <c r="P1189" i="1" s="1"/>
  <c r="B1185" i="1"/>
  <c r="H1185" i="1"/>
  <c r="J1185" i="1"/>
  <c r="K1185" i="1"/>
  <c r="Q1185" i="1"/>
  <c r="P1185" i="1" s="1"/>
  <c r="B1184" i="1"/>
  <c r="B1183" i="1"/>
  <c r="B1182" i="1"/>
  <c r="B1181" i="1"/>
  <c r="B1180" i="1"/>
  <c r="B1179" i="1"/>
  <c r="B1178" i="1"/>
  <c r="B1177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K1177" i="1"/>
  <c r="K1178" i="1"/>
  <c r="K1179" i="1"/>
  <c r="K1180" i="1"/>
  <c r="K1181" i="1"/>
  <c r="K1182" i="1"/>
  <c r="K1183" i="1"/>
  <c r="K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B1176" i="1"/>
  <c r="H1176" i="1"/>
  <c r="J1176" i="1"/>
  <c r="K1176" i="1"/>
  <c r="Q1176" i="1"/>
  <c r="P1176" i="1" s="1"/>
  <c r="B1175" i="1"/>
  <c r="H1175" i="1"/>
  <c r="J1175" i="1"/>
  <c r="K1175" i="1"/>
  <c r="Q1175" i="1"/>
  <c r="P1175" i="1" s="1"/>
  <c r="B1174" i="1"/>
  <c r="H1174" i="1"/>
  <c r="J1174" i="1"/>
  <c r="K1174" i="1"/>
  <c r="Q1174" i="1"/>
  <c r="P1174" i="1" s="1"/>
  <c r="B1170" i="1"/>
  <c r="B1171" i="1"/>
  <c r="B1172" i="1"/>
  <c r="B1173" i="1"/>
  <c r="H1170" i="1"/>
  <c r="H1171" i="1"/>
  <c r="H1172" i="1"/>
  <c r="H1173" i="1"/>
  <c r="J1170" i="1"/>
  <c r="J1171" i="1"/>
  <c r="J1172" i="1"/>
  <c r="J1173" i="1"/>
  <c r="K1170" i="1"/>
  <c r="K1171" i="1"/>
  <c r="K1172" i="1"/>
  <c r="K1173" i="1"/>
  <c r="Q1170" i="1"/>
  <c r="P1170" i="1" s="1"/>
  <c r="Q1171" i="1"/>
  <c r="P1171" i="1" s="1"/>
  <c r="Q1172" i="1"/>
  <c r="P1172" i="1" s="1"/>
  <c r="Q1173" i="1"/>
  <c r="P1173" i="1" s="1"/>
  <c r="B1169" i="1"/>
  <c r="H1169" i="1"/>
  <c r="J1169" i="1"/>
  <c r="K1169" i="1"/>
  <c r="Q1169" i="1"/>
  <c r="P1169" i="1" s="1"/>
  <c r="B1168" i="1"/>
  <c r="H1168" i="1"/>
  <c r="J1168" i="1"/>
  <c r="K1168" i="1"/>
  <c r="Q1168" i="1"/>
  <c r="P1168" i="1" s="1"/>
  <c r="B1167" i="1"/>
  <c r="H1167" i="1"/>
  <c r="J1167" i="1"/>
  <c r="K1167" i="1"/>
  <c r="Q1167" i="1"/>
  <c r="P1167" i="1" s="1"/>
  <c r="B1166" i="1"/>
  <c r="B1165" i="1"/>
  <c r="B1164" i="1"/>
  <c r="H1164" i="1"/>
  <c r="H1165" i="1"/>
  <c r="H1166" i="1"/>
  <c r="J1164" i="1"/>
  <c r="J1165" i="1"/>
  <c r="J1166" i="1"/>
  <c r="K1164" i="1"/>
  <c r="K1165" i="1"/>
  <c r="K1166" i="1"/>
  <c r="Q1164" i="1"/>
  <c r="P1164" i="1" s="1"/>
  <c r="Q1165" i="1"/>
  <c r="P1165" i="1" s="1"/>
  <c r="Q1166" i="1"/>
  <c r="P1166" i="1" s="1"/>
  <c r="B1163" i="1"/>
  <c r="H1163" i="1"/>
  <c r="J1163" i="1"/>
  <c r="K1163" i="1"/>
  <c r="Q1163" i="1"/>
  <c r="P1163" i="1" s="1"/>
  <c r="B1162" i="1"/>
  <c r="H1162" i="1"/>
  <c r="J1162" i="1"/>
  <c r="K1162" i="1"/>
  <c r="Q1162" i="1"/>
  <c r="P1162" i="1" s="1"/>
  <c r="B1161" i="1"/>
  <c r="B1160" i="1"/>
  <c r="B1159" i="1"/>
  <c r="B1158" i="1"/>
  <c r="B1157" i="1"/>
  <c r="B1156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K1156" i="1"/>
  <c r="K1157" i="1"/>
  <c r="K1158" i="1"/>
  <c r="K1159" i="1"/>
  <c r="K1160" i="1"/>
  <c r="K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B1155" i="1"/>
  <c r="H1155" i="1"/>
  <c r="J1155" i="1"/>
  <c r="K1155" i="1"/>
  <c r="Q1155" i="1"/>
  <c r="P1155" i="1" s="1"/>
  <c r="B1152" i="1"/>
  <c r="B1153" i="1"/>
  <c r="B1154" i="1"/>
  <c r="H1152" i="1"/>
  <c r="H1153" i="1"/>
  <c r="H1154" i="1"/>
  <c r="J1152" i="1"/>
  <c r="J1153" i="1"/>
  <c r="J1154" i="1"/>
  <c r="K1152" i="1"/>
  <c r="K1153" i="1"/>
  <c r="K1154" i="1"/>
  <c r="Q1152" i="1"/>
  <c r="P1152" i="1" s="1"/>
  <c r="Q1153" i="1"/>
  <c r="P1153" i="1" s="1"/>
  <c r="Q1154" i="1"/>
  <c r="P1154" i="1" s="1"/>
  <c r="B1148" i="1"/>
  <c r="B1149" i="1"/>
  <c r="B1150" i="1"/>
  <c r="B1151" i="1"/>
  <c r="H1148" i="1"/>
  <c r="H1149" i="1"/>
  <c r="H1150" i="1"/>
  <c r="H1151" i="1"/>
  <c r="J1148" i="1"/>
  <c r="J1149" i="1"/>
  <c r="J1150" i="1"/>
  <c r="J1151" i="1"/>
  <c r="K1148" i="1"/>
  <c r="K1149" i="1"/>
  <c r="K1150" i="1"/>
  <c r="K1151" i="1"/>
  <c r="Q1148" i="1"/>
  <c r="P1148" i="1" s="1"/>
  <c r="Q1149" i="1"/>
  <c r="P1149" i="1" s="1"/>
  <c r="Q1150" i="1"/>
  <c r="P1150" i="1" s="1"/>
  <c r="Q1151" i="1"/>
  <c r="P1151" i="1" s="1"/>
  <c r="B1147" i="1"/>
  <c r="H1147" i="1"/>
  <c r="J1147" i="1"/>
  <c r="K1147" i="1"/>
  <c r="Q1147" i="1"/>
  <c r="P1147" i="1" s="1"/>
  <c r="B1138" i="1"/>
  <c r="B1139" i="1"/>
  <c r="B1140" i="1"/>
  <c r="B1141" i="1"/>
  <c r="B1142" i="1"/>
  <c r="B1143" i="1"/>
  <c r="B1144" i="1"/>
  <c r="B1145" i="1"/>
  <c r="B1146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K1138" i="1"/>
  <c r="K1139" i="1"/>
  <c r="K1140" i="1"/>
  <c r="K1141" i="1"/>
  <c r="K1142" i="1"/>
  <c r="K1143" i="1"/>
  <c r="K1144" i="1"/>
  <c r="K1145" i="1"/>
  <c r="K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B1137" i="1"/>
  <c r="H1137" i="1"/>
  <c r="J1137" i="1"/>
  <c r="K1137" i="1"/>
  <c r="Q1137" i="1"/>
  <c r="P1137" i="1" s="1"/>
  <c r="B1136" i="1"/>
  <c r="H1136" i="1"/>
  <c r="J1136" i="1"/>
  <c r="K1136" i="1"/>
  <c r="Q1136" i="1"/>
  <c r="P1136" i="1" s="1"/>
  <c r="B1135" i="1"/>
  <c r="H1135" i="1"/>
  <c r="J1135" i="1"/>
  <c r="K1135" i="1"/>
  <c r="Q1135" i="1"/>
  <c r="P1135" i="1" s="1"/>
  <c r="B1133" i="1"/>
  <c r="B1134" i="1"/>
  <c r="H1133" i="1"/>
  <c r="H1134" i="1"/>
  <c r="J1133" i="1"/>
  <c r="J1134" i="1"/>
  <c r="K1133" i="1"/>
  <c r="K1134" i="1"/>
  <c r="Q1133" i="1"/>
  <c r="P1133" i="1" s="1"/>
  <c r="Q1134" i="1"/>
  <c r="P1134" i="1" s="1"/>
  <c r="B1132" i="1"/>
  <c r="H1132" i="1"/>
  <c r="J1132" i="1"/>
  <c r="K1132" i="1"/>
  <c r="Q1132" i="1"/>
  <c r="P1132" i="1" s="1"/>
  <c r="B1125" i="1"/>
  <c r="B1126" i="1"/>
  <c r="B1127" i="1"/>
  <c r="B1128" i="1"/>
  <c r="B1129" i="1"/>
  <c r="B1130" i="1"/>
  <c r="B1131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K1125" i="1"/>
  <c r="K1126" i="1"/>
  <c r="K1127" i="1"/>
  <c r="K1128" i="1"/>
  <c r="K1129" i="1"/>
  <c r="K1130" i="1"/>
  <c r="K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B1124" i="1"/>
  <c r="H1124" i="1"/>
  <c r="J1124" i="1"/>
  <c r="K1124" i="1"/>
  <c r="Q1124" i="1"/>
  <c r="P1124" i="1" s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B1072" i="1"/>
  <c r="H1072" i="1"/>
  <c r="J1072" i="1"/>
  <c r="K1072" i="1"/>
  <c r="Q1072" i="1"/>
  <c r="P1072" i="1" s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B1055" i="1"/>
  <c r="B1056" i="1"/>
  <c r="H1055" i="1"/>
  <c r="H1056" i="1"/>
  <c r="J1055" i="1"/>
  <c r="J1056" i="1"/>
  <c r="K1055" i="1"/>
  <c r="K1056" i="1"/>
  <c r="Q1055" i="1"/>
  <c r="P1055" i="1" s="1"/>
  <c r="Q1056" i="1"/>
  <c r="P1056" i="1" s="1"/>
  <c r="B1054" i="1"/>
  <c r="H1054" i="1"/>
  <c r="J1054" i="1"/>
  <c r="K1054" i="1"/>
  <c r="Q1054" i="1"/>
  <c r="P1054" i="1" s="1"/>
  <c r="B1023" i="1"/>
  <c r="H1023" i="1"/>
  <c r="J1023" i="1"/>
  <c r="K1023" i="1"/>
  <c r="Q1023" i="1"/>
  <c r="P1023" i="1" s="1"/>
  <c r="B1022" i="1"/>
  <c r="H1022" i="1"/>
  <c r="J1022" i="1"/>
  <c r="K1022" i="1"/>
  <c r="Q1022" i="1"/>
  <c r="P1022" i="1" s="1"/>
  <c r="B1015" i="1"/>
  <c r="H1015" i="1"/>
  <c r="J1015" i="1"/>
  <c r="K1015" i="1"/>
  <c r="Q1015" i="1"/>
  <c r="P1015" i="1" s="1"/>
  <c r="B1017" i="1"/>
  <c r="B1018" i="1"/>
  <c r="H1017" i="1"/>
  <c r="H1018" i="1"/>
  <c r="J1017" i="1"/>
  <c r="J1018" i="1"/>
  <c r="K1017" i="1"/>
  <c r="K1018" i="1"/>
  <c r="Q1017" i="1"/>
  <c r="P1017" i="1" s="1"/>
  <c r="Q1018" i="1"/>
  <c r="P1018" i="1" s="1"/>
  <c r="B1016" i="1"/>
  <c r="H1016" i="1"/>
  <c r="J1016" i="1"/>
  <c r="K1016" i="1"/>
  <c r="Q1016" i="1"/>
  <c r="P1016" i="1" s="1"/>
  <c r="B1014" i="1"/>
  <c r="H1014" i="1"/>
  <c r="J1014" i="1"/>
  <c r="K1014" i="1"/>
  <c r="Q1014" i="1"/>
  <c r="P1014" i="1" s="1"/>
  <c r="B1019" i="1"/>
  <c r="H1019" i="1"/>
  <c r="J1019" i="1"/>
  <c r="K1019" i="1"/>
  <c r="Q1019" i="1"/>
  <c r="P1019" i="1" s="1"/>
  <c r="B1021" i="1"/>
  <c r="H1021" i="1"/>
  <c r="J1021" i="1"/>
  <c r="K1021" i="1"/>
  <c r="Q1021" i="1"/>
  <c r="P1021" i="1" s="1"/>
  <c r="B1020" i="1"/>
  <c r="H1020" i="1"/>
  <c r="J1020" i="1"/>
  <c r="K1020" i="1"/>
  <c r="Q1020" i="1"/>
  <c r="P1020" i="1" s="1"/>
  <c r="B1053" i="1"/>
  <c r="H1053" i="1"/>
  <c r="J1053" i="1"/>
  <c r="K1053" i="1"/>
  <c r="Q1053" i="1"/>
  <c r="P1053" i="1" s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 s="1"/>
  <c r="Q1025" i="1"/>
  <c r="P1025" i="1" s="1"/>
  <c r="Q1026" i="1"/>
  <c r="P1026" i="1" s="1"/>
  <c r="B1009" i="1"/>
  <c r="H1009" i="1"/>
  <c r="J1009" i="1"/>
  <c r="K1009" i="1"/>
  <c r="Q1009" i="1"/>
  <c r="P1009" i="1" s="1"/>
  <c r="B1008" i="1"/>
  <c r="H1008" i="1"/>
  <c r="J1008" i="1"/>
  <c r="K1008" i="1"/>
  <c r="Q1008" i="1"/>
  <c r="P1008" i="1" s="1"/>
  <c r="B1011" i="1"/>
  <c r="H1011" i="1"/>
  <c r="J1011" i="1"/>
  <c r="K1011" i="1"/>
  <c r="Q1011" i="1"/>
  <c r="P1011" i="1" s="1"/>
  <c r="B1010" i="1"/>
  <c r="H1010" i="1"/>
  <c r="J1010" i="1"/>
  <c r="K1010" i="1"/>
  <c r="Q1010" i="1"/>
  <c r="P1010" i="1" s="1"/>
  <c r="B1012" i="1"/>
  <c r="B1013" i="1"/>
  <c r="H1012" i="1"/>
  <c r="H1013" i="1"/>
  <c r="J1012" i="1"/>
  <c r="J1013" i="1"/>
  <c r="K1012" i="1"/>
  <c r="K1013" i="1"/>
  <c r="Q1012" i="1"/>
  <c r="P1012" i="1" s="1"/>
  <c r="Q1013" i="1"/>
  <c r="P1013" i="1" s="1"/>
  <c r="B969" i="1"/>
  <c r="H969" i="1"/>
  <c r="J969" i="1"/>
  <c r="K969" i="1"/>
  <c r="Q969" i="1"/>
  <c r="P969" i="1" s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 s="1"/>
  <c r="Q1003" i="1"/>
  <c r="P1003" i="1" s="1"/>
  <c r="Q1004" i="1"/>
  <c r="P1004" i="1" s="1"/>
  <c r="Q1005" i="1"/>
  <c r="P1005" i="1" s="1"/>
  <c r="B1001" i="1"/>
  <c r="H1001" i="1"/>
  <c r="J1001" i="1"/>
  <c r="K1001" i="1"/>
  <c r="Q1001" i="1"/>
  <c r="P1001" i="1" s="1"/>
  <c r="B1007" i="1"/>
  <c r="H1007" i="1"/>
  <c r="J1007" i="1"/>
  <c r="K1007" i="1"/>
  <c r="Q1007" i="1"/>
  <c r="P1007" i="1" s="1"/>
  <c r="B1006" i="1"/>
  <c r="H1006" i="1"/>
  <c r="J1006" i="1"/>
  <c r="K1006" i="1"/>
  <c r="Q1006" i="1"/>
  <c r="P1006" i="1" s="1"/>
  <c r="B965" i="1"/>
  <c r="H965" i="1"/>
  <c r="J965" i="1"/>
  <c r="K965" i="1"/>
  <c r="Q965" i="1"/>
  <c r="P965" i="1" s="1"/>
  <c r="B1000" i="1"/>
  <c r="H1000" i="1"/>
  <c r="J1000" i="1"/>
  <c r="K1000" i="1"/>
  <c r="Q1000" i="1"/>
  <c r="P1000" i="1" s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 s="1"/>
  <c r="Q989" i="1"/>
  <c r="P989" i="1" s="1"/>
  <c r="Q990" i="1"/>
  <c r="P990" i="1" s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 s="1"/>
  <c r="Q993" i="1"/>
  <c r="P993" i="1" s="1"/>
  <c r="Q994" i="1"/>
  <c r="P994" i="1" s="1"/>
  <c r="B991" i="1"/>
  <c r="H991" i="1"/>
  <c r="J991" i="1"/>
  <c r="K991" i="1"/>
  <c r="Q991" i="1"/>
  <c r="P991" i="1" s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 s="1"/>
  <c r="Q996" i="1"/>
  <c r="P996" i="1" s="1"/>
  <c r="Q997" i="1"/>
  <c r="P997" i="1" s="1"/>
  <c r="Q998" i="1"/>
  <c r="P998" i="1" s="1"/>
  <c r="B999" i="1"/>
  <c r="H999" i="1"/>
  <c r="J999" i="1"/>
  <c r="K999" i="1"/>
  <c r="Q999" i="1"/>
  <c r="P999" i="1" s="1"/>
  <c r="B966" i="1"/>
  <c r="H966" i="1"/>
  <c r="J966" i="1"/>
  <c r="K966" i="1"/>
  <c r="Q966" i="1"/>
  <c r="P966" i="1" s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B977" i="1"/>
  <c r="H977" i="1"/>
  <c r="J977" i="1"/>
  <c r="K977" i="1"/>
  <c r="Q977" i="1"/>
  <c r="P977" i="1" s="1"/>
  <c r="B978" i="1"/>
  <c r="H978" i="1"/>
  <c r="J978" i="1"/>
  <c r="K978" i="1"/>
  <c r="Q978" i="1"/>
  <c r="P978" i="1" s="1"/>
  <c r="B979" i="1"/>
  <c r="H979" i="1"/>
  <c r="J979" i="1"/>
  <c r="K979" i="1"/>
  <c r="Q979" i="1"/>
  <c r="P979" i="1" s="1"/>
  <c r="B976" i="1"/>
  <c r="H976" i="1"/>
  <c r="J976" i="1"/>
  <c r="K976" i="1"/>
  <c r="Q976" i="1"/>
  <c r="P976" i="1" s="1"/>
  <c r="B968" i="1"/>
  <c r="H968" i="1"/>
  <c r="J968" i="1"/>
  <c r="K968" i="1"/>
  <c r="Q968" i="1"/>
  <c r="P968" i="1" s="1"/>
  <c r="B967" i="1"/>
  <c r="H967" i="1"/>
  <c r="J967" i="1"/>
  <c r="K967" i="1"/>
  <c r="Q967" i="1"/>
  <c r="P967" i="1" s="1"/>
  <c r="B970" i="1"/>
  <c r="H970" i="1"/>
  <c r="J970" i="1"/>
  <c r="K970" i="1"/>
  <c r="Q970" i="1"/>
  <c r="P970" i="1" s="1"/>
  <c r="B971" i="1"/>
  <c r="H971" i="1"/>
  <c r="J971" i="1"/>
  <c r="K971" i="1"/>
  <c r="Q971" i="1"/>
  <c r="P971" i="1" s="1"/>
  <c r="B972" i="1"/>
  <c r="H972" i="1"/>
  <c r="J972" i="1"/>
  <c r="K972" i="1"/>
  <c r="Q972" i="1"/>
  <c r="P972" i="1" s="1"/>
  <c r="B973" i="1"/>
  <c r="H973" i="1"/>
  <c r="J973" i="1"/>
  <c r="K973" i="1"/>
  <c r="Q973" i="1"/>
  <c r="P973" i="1" s="1"/>
  <c r="B866" i="1"/>
  <c r="J866" i="1"/>
  <c r="H866" i="1"/>
  <c r="K866" i="1"/>
  <c r="Q866" i="1"/>
  <c r="P866" i="1" s="1"/>
  <c r="B949" i="1"/>
  <c r="H949" i="1"/>
  <c r="J949" i="1"/>
  <c r="K949" i="1"/>
  <c r="Q949" i="1"/>
  <c r="P949" i="1" s="1"/>
  <c r="B950" i="1"/>
  <c r="H950" i="1"/>
  <c r="J950" i="1"/>
  <c r="K950" i="1"/>
  <c r="Q950" i="1"/>
  <c r="P950" i="1" s="1"/>
  <c r="B951" i="1"/>
  <c r="H951" i="1"/>
  <c r="J951" i="1"/>
  <c r="K951" i="1"/>
  <c r="Q951" i="1"/>
  <c r="P951" i="1" s="1"/>
  <c r="B952" i="1"/>
  <c r="H952" i="1"/>
  <c r="J952" i="1"/>
  <c r="K952" i="1"/>
  <c r="Q952" i="1"/>
  <c r="P952" i="1" s="1"/>
  <c r="B953" i="1"/>
  <c r="H953" i="1"/>
  <c r="J953" i="1"/>
  <c r="K953" i="1"/>
  <c r="Q953" i="1"/>
  <c r="P953" i="1" s="1"/>
  <c r="B954" i="1"/>
  <c r="H954" i="1"/>
  <c r="J954" i="1"/>
  <c r="K954" i="1"/>
  <c r="Q954" i="1"/>
  <c r="P954" i="1" s="1"/>
  <c r="B948" i="1"/>
  <c r="H948" i="1"/>
  <c r="J948" i="1"/>
  <c r="K948" i="1"/>
  <c r="Q948" i="1"/>
  <c r="P948" i="1" s="1"/>
  <c r="B946" i="1"/>
  <c r="H946" i="1"/>
  <c r="J946" i="1"/>
  <c r="K946" i="1"/>
  <c r="Q946" i="1"/>
  <c r="P946" i="1" s="1"/>
  <c r="B947" i="1"/>
  <c r="H947" i="1"/>
  <c r="J947" i="1"/>
  <c r="K947" i="1"/>
  <c r="Q947" i="1"/>
  <c r="P947" i="1" s="1"/>
  <c r="B938" i="1"/>
  <c r="H938" i="1"/>
  <c r="J938" i="1"/>
  <c r="K938" i="1"/>
  <c r="Q938" i="1"/>
  <c r="P938" i="1" s="1"/>
  <c r="B939" i="1"/>
  <c r="H939" i="1"/>
  <c r="J939" i="1"/>
  <c r="K939" i="1"/>
  <c r="Q939" i="1"/>
  <c r="P939" i="1" s="1"/>
  <c r="B940" i="1"/>
  <c r="H940" i="1"/>
  <c r="J940" i="1"/>
  <c r="K940" i="1"/>
  <c r="Q940" i="1"/>
  <c r="P940" i="1" s="1"/>
  <c r="B941" i="1"/>
  <c r="H941" i="1"/>
  <c r="J941" i="1"/>
  <c r="K941" i="1"/>
  <c r="Q941" i="1"/>
  <c r="P941" i="1" s="1"/>
  <c r="B942" i="1"/>
  <c r="H942" i="1"/>
  <c r="J942" i="1"/>
  <c r="K942" i="1"/>
  <c r="Q942" i="1"/>
  <c r="P942" i="1" s="1"/>
  <c r="B943" i="1"/>
  <c r="H943" i="1"/>
  <c r="J943" i="1"/>
  <c r="K943" i="1"/>
  <c r="Q943" i="1"/>
  <c r="P943" i="1" s="1"/>
  <c r="B944" i="1"/>
  <c r="H944" i="1"/>
  <c r="J944" i="1"/>
  <c r="K944" i="1"/>
  <c r="Q944" i="1"/>
  <c r="P944" i="1" s="1"/>
  <c r="B945" i="1"/>
  <c r="H945" i="1"/>
  <c r="J945" i="1"/>
  <c r="K945" i="1"/>
  <c r="Q945" i="1"/>
  <c r="P945" i="1" s="1"/>
  <c r="B975" i="1"/>
  <c r="H975" i="1"/>
  <c r="J975" i="1"/>
  <c r="K975" i="1"/>
  <c r="Q975" i="1"/>
  <c r="P975" i="1" s="1"/>
  <c r="B974" i="1"/>
  <c r="H974" i="1"/>
  <c r="J974" i="1"/>
  <c r="K974" i="1"/>
  <c r="Q974" i="1"/>
  <c r="P974" i="1" s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B955" i="1"/>
  <c r="H955" i="1"/>
  <c r="J955" i="1"/>
  <c r="K955" i="1"/>
  <c r="Q955" i="1"/>
  <c r="P955" i="1" s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 s="1"/>
  <c r="Q935" i="1"/>
  <c r="P935" i="1" s="1"/>
  <c r="Q936" i="1"/>
  <c r="P936" i="1" s="1"/>
  <c r="Q937" i="1"/>
  <c r="P937" i="1" s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 s="1"/>
  <c r="B930" i="1"/>
  <c r="H930" i="1"/>
  <c r="J930" i="1"/>
  <c r="K930" i="1"/>
  <c r="Q930" i="1"/>
  <c r="P930" i="1" s="1"/>
  <c r="B925" i="1"/>
  <c r="H925" i="1"/>
  <c r="J925" i="1"/>
  <c r="K925" i="1"/>
  <c r="Q925" i="1"/>
  <c r="P925" i="1" s="1"/>
  <c r="B924" i="1"/>
  <c r="H924" i="1"/>
  <c r="J924" i="1"/>
  <c r="K924" i="1"/>
  <c r="Q924" i="1"/>
  <c r="P924" i="1" s="1"/>
  <c r="B923" i="1"/>
  <c r="H923" i="1"/>
  <c r="J923" i="1"/>
  <c r="K923" i="1"/>
  <c r="Q923" i="1"/>
  <c r="P923" i="1" s="1"/>
  <c r="B922" i="1"/>
  <c r="H922" i="1"/>
  <c r="J922" i="1"/>
  <c r="K922" i="1"/>
  <c r="Q922" i="1"/>
  <c r="P922" i="1" s="1"/>
  <c r="B921" i="1"/>
  <c r="H921" i="1"/>
  <c r="J921" i="1"/>
  <c r="K921" i="1"/>
  <c r="Q921" i="1"/>
  <c r="P921" i="1" s="1"/>
  <c r="B920" i="1"/>
  <c r="H920" i="1"/>
  <c r="J920" i="1"/>
  <c r="K920" i="1"/>
  <c r="Q920" i="1"/>
  <c r="P920" i="1" s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B907" i="1"/>
  <c r="H907" i="1"/>
  <c r="J907" i="1"/>
  <c r="K907" i="1"/>
  <c r="Q907" i="1"/>
  <c r="P907" i="1" s="1"/>
  <c r="B883" i="1"/>
  <c r="H883" i="1"/>
  <c r="J883" i="1"/>
  <c r="K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B908" i="1"/>
  <c r="H908" i="1"/>
  <c r="K908" i="1"/>
  <c r="Q908" i="1"/>
  <c r="P908" i="1" s="1"/>
  <c r="B906" i="1"/>
  <c r="H906" i="1"/>
  <c r="J906" i="1"/>
  <c r="K906" i="1"/>
  <c r="Q906" i="1"/>
  <c r="P906" i="1" s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B897" i="1"/>
  <c r="H897" i="1"/>
  <c r="J897" i="1"/>
  <c r="K897" i="1"/>
  <c r="Q897" i="1"/>
  <c r="P897" i="1" s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 s="1"/>
  <c r="Q892" i="1"/>
  <c r="P892" i="1" s="1"/>
  <c r="Q893" i="1"/>
  <c r="P893" i="1" s="1"/>
  <c r="Q894" i="1"/>
  <c r="P894" i="1" s="1"/>
  <c r="B895" i="1"/>
  <c r="H895" i="1"/>
  <c r="J895" i="1"/>
  <c r="K895" i="1"/>
  <c r="Q895" i="1"/>
  <c r="P895" i="1" s="1"/>
  <c r="B896" i="1"/>
  <c r="H896" i="1"/>
  <c r="J896" i="1"/>
  <c r="K896" i="1"/>
  <c r="Q896" i="1"/>
  <c r="P896" i="1" s="1"/>
  <c r="B886" i="1"/>
  <c r="B887" i="1"/>
  <c r="B888" i="1"/>
  <c r="B889" i="1"/>
  <c r="H886" i="1"/>
  <c r="H887" i="1"/>
  <c r="H888" i="1"/>
  <c r="H889" i="1"/>
  <c r="K886" i="1"/>
  <c r="K887" i="1"/>
  <c r="K888" i="1"/>
  <c r="K889" i="1"/>
  <c r="Q886" i="1"/>
  <c r="P886" i="1" s="1"/>
  <c r="Q887" i="1"/>
  <c r="P887" i="1" s="1"/>
  <c r="Q888" i="1"/>
  <c r="P888" i="1" s="1"/>
  <c r="Q889" i="1"/>
  <c r="P889" i="1" s="1"/>
  <c r="B890" i="1"/>
  <c r="H890" i="1"/>
  <c r="J890" i="1"/>
  <c r="K890" i="1"/>
  <c r="Q890" i="1"/>
  <c r="P890" i="1" s="1"/>
  <c r="B832" i="1"/>
  <c r="H832" i="1"/>
  <c r="K832" i="1"/>
  <c r="Q832" i="1"/>
  <c r="P832" i="1" s="1"/>
  <c r="J832" i="1"/>
  <c r="B884" i="1"/>
  <c r="B885" i="1"/>
  <c r="H884" i="1"/>
  <c r="H885" i="1"/>
  <c r="J884" i="1"/>
  <c r="J885" i="1"/>
  <c r="K884" i="1"/>
  <c r="K885" i="1"/>
  <c r="Q884" i="1"/>
  <c r="P884" i="1" s="1"/>
  <c r="Q885" i="1"/>
  <c r="P885" i="1" s="1"/>
  <c r="B882" i="1"/>
  <c r="H882" i="1"/>
  <c r="J882" i="1"/>
  <c r="K882" i="1"/>
  <c r="Q882" i="1"/>
  <c r="P882" i="1" s="1"/>
  <c r="B881" i="1"/>
  <c r="H881" i="1"/>
  <c r="J881" i="1"/>
  <c r="K881" i="1"/>
  <c r="Q881" i="1"/>
  <c r="P881" i="1" s="1"/>
  <c r="Q851" i="1"/>
  <c r="P851" i="1" s="1"/>
  <c r="K851" i="1"/>
  <c r="Q850" i="1"/>
  <c r="P850" i="1" s="1"/>
  <c r="K850" i="1"/>
  <c r="Q849" i="1"/>
  <c r="P849" i="1" s="1"/>
  <c r="K849" i="1"/>
  <c r="Q848" i="1"/>
  <c r="P848" i="1" s="1"/>
  <c r="K848" i="1"/>
  <c r="Q847" i="1"/>
  <c r="P847" i="1" s="1"/>
  <c r="K847" i="1"/>
  <c r="Q846" i="1"/>
  <c r="P846" i="1" s="1"/>
  <c r="K846" i="1"/>
  <c r="Q845" i="1"/>
  <c r="P845" i="1" s="1"/>
  <c r="K845" i="1"/>
  <c r="Q844" i="1"/>
  <c r="P844" i="1" s="1"/>
  <c r="K844" i="1"/>
  <c r="Q843" i="1"/>
  <c r="P843" i="1" s="1"/>
  <c r="K843" i="1"/>
  <c r="Q842" i="1"/>
  <c r="P842" i="1" s="1"/>
  <c r="K842" i="1"/>
  <c r="Q841" i="1"/>
  <c r="P841" i="1" s="1"/>
  <c r="K841" i="1"/>
  <c r="Q840" i="1"/>
  <c r="P840" i="1" s="1"/>
  <c r="K840" i="1"/>
  <c r="Q839" i="1"/>
  <c r="P839" i="1" s="1"/>
  <c r="K839" i="1"/>
  <c r="Q838" i="1"/>
  <c r="P838" i="1" s="1"/>
  <c r="K838" i="1"/>
  <c r="Q837" i="1"/>
  <c r="P837" i="1" s="1"/>
  <c r="K837" i="1"/>
  <c r="Q836" i="1"/>
  <c r="P836" i="1" s="1"/>
  <c r="K836" i="1"/>
  <c r="Q835" i="1"/>
  <c r="P835" i="1" s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 s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 s="1"/>
  <c r="Q853" i="1"/>
  <c r="P853" i="1" s="1"/>
  <c r="Q854" i="1"/>
  <c r="P854" i="1" s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K879" i="1"/>
  <c r="Q878" i="1"/>
  <c r="P878" i="1" s="1"/>
  <c r="K878" i="1"/>
  <c r="Q877" i="1"/>
  <c r="P877" i="1" s="1"/>
  <c r="K877" i="1"/>
  <c r="Q876" i="1"/>
  <c r="P876" i="1" s="1"/>
  <c r="K876" i="1"/>
  <c r="Q875" i="1"/>
  <c r="P875" i="1" s="1"/>
  <c r="K875" i="1"/>
  <c r="Q874" i="1"/>
  <c r="P874" i="1" s="1"/>
  <c r="K874" i="1"/>
  <c r="Q873" i="1"/>
  <c r="P873" i="1" s="1"/>
  <c r="K873" i="1"/>
  <c r="Q872" i="1"/>
  <c r="P872" i="1" s="1"/>
  <c r="K872" i="1"/>
  <c r="Q871" i="1"/>
  <c r="P871" i="1" s="1"/>
  <c r="K871" i="1"/>
  <c r="Q870" i="1"/>
  <c r="P870" i="1" s="1"/>
  <c r="K870" i="1"/>
  <c r="Q869" i="1"/>
  <c r="P869" i="1" s="1"/>
  <c r="K869" i="1"/>
  <c r="Q868" i="1"/>
  <c r="P868" i="1" s="1"/>
  <c r="K868" i="1"/>
  <c r="Q867" i="1"/>
  <c r="P867" i="1" s="1"/>
  <c r="K867" i="1"/>
  <c r="Q865" i="1"/>
  <c r="P865" i="1" s="1"/>
  <c r="K865" i="1"/>
  <c r="Q864" i="1"/>
  <c r="P864" i="1" s="1"/>
  <c r="K864" i="1"/>
  <c r="Q863" i="1"/>
  <c r="P863" i="1" s="1"/>
  <c r="K863" i="1"/>
  <c r="Q862" i="1"/>
  <c r="P862" i="1" s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K861" i="1"/>
  <c r="Q861" i="1"/>
  <c r="P861" i="1" s="1"/>
  <c r="B880" i="1"/>
  <c r="H880" i="1"/>
  <c r="J880" i="1"/>
  <c r="K880" i="1"/>
  <c r="Q880" i="1"/>
  <c r="P880" i="1" s="1"/>
  <c r="B831" i="1"/>
  <c r="H831" i="1"/>
  <c r="J831" i="1"/>
  <c r="K831" i="1"/>
  <c r="Q831" i="1"/>
  <c r="P831" i="1" s="1"/>
  <c r="B833" i="1"/>
  <c r="H833" i="1"/>
  <c r="K833" i="1"/>
  <c r="Q833" i="1"/>
  <c r="P833" i="1" s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 s="1"/>
  <c r="Q809" i="1"/>
  <c r="P809" i="1" s="1"/>
  <c r="Q810" i="1"/>
  <c r="P810" i="1" s="1"/>
  <c r="Q811" i="1"/>
  <c r="P811" i="1" s="1"/>
  <c r="Q812" i="1"/>
  <c r="P812" i="1" s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B813" i="1"/>
  <c r="H813" i="1"/>
  <c r="J813" i="1"/>
  <c r="K813" i="1"/>
  <c r="Q813" i="1"/>
  <c r="P813" i="1" s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 s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B761" i="1"/>
  <c r="H761" i="1"/>
  <c r="J761" i="1"/>
  <c r="K761" i="1"/>
  <c r="Q761" i="1"/>
  <c r="P761" i="1" s="1"/>
  <c r="B762" i="1"/>
  <c r="B763" i="1"/>
  <c r="H762" i="1"/>
  <c r="H763" i="1"/>
  <c r="J762" i="1"/>
  <c r="J763" i="1"/>
  <c r="K762" i="1"/>
  <c r="K763" i="1"/>
  <c r="Q762" i="1"/>
  <c r="P762" i="1" s="1"/>
  <c r="Q763" i="1"/>
  <c r="P763" i="1" s="1"/>
  <c r="B755" i="1"/>
  <c r="H755" i="1"/>
  <c r="J755" i="1"/>
  <c r="K755" i="1"/>
  <c r="Q755" i="1"/>
  <c r="P755" i="1" s="1"/>
  <c r="B754" i="1"/>
  <c r="H754" i="1"/>
  <c r="J754" i="1"/>
  <c r="K754" i="1"/>
  <c r="Q754" i="1"/>
  <c r="P754" i="1" s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 s="1"/>
  <c r="Q758" i="1"/>
  <c r="P758" i="1" s="1"/>
  <c r="Q759" i="1"/>
  <c r="P759" i="1" s="1"/>
  <c r="B756" i="1"/>
  <c r="H756" i="1"/>
  <c r="J756" i="1"/>
  <c r="K756" i="1"/>
  <c r="Q756" i="1"/>
  <c r="P756" i="1" s="1"/>
  <c r="B760" i="1"/>
  <c r="H760" i="1"/>
  <c r="J760" i="1"/>
  <c r="K760" i="1"/>
  <c r="Q760" i="1"/>
  <c r="P760" i="1" s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K735" i="1"/>
  <c r="Q734" i="1"/>
  <c r="P734" i="1" s="1"/>
  <c r="K734" i="1"/>
  <c r="Q733" i="1"/>
  <c r="P733" i="1" s="1"/>
  <c r="K733" i="1"/>
  <c r="Q732" i="1"/>
  <c r="P732" i="1" s="1"/>
  <c r="K732" i="1"/>
  <c r="Q731" i="1"/>
  <c r="P731" i="1" s="1"/>
  <c r="K731" i="1"/>
  <c r="Q730" i="1"/>
  <c r="P730" i="1" s="1"/>
  <c r="K730" i="1"/>
  <c r="Q729" i="1"/>
  <c r="P729" i="1" s="1"/>
  <c r="K729" i="1"/>
  <c r="Q728" i="1"/>
  <c r="P728" i="1" s="1"/>
  <c r="K728" i="1"/>
  <c r="Q727" i="1"/>
  <c r="P727" i="1" s="1"/>
  <c r="K727" i="1"/>
  <c r="Q726" i="1"/>
  <c r="P726" i="1" s="1"/>
  <c r="K726" i="1"/>
  <c r="Q725" i="1"/>
  <c r="P725" i="1" s="1"/>
  <c r="K725" i="1"/>
  <c r="Q724" i="1"/>
  <c r="P724" i="1" s="1"/>
  <c r="K724" i="1"/>
  <c r="Q723" i="1"/>
  <c r="P723" i="1" s="1"/>
  <c r="K723" i="1"/>
  <c r="Q722" i="1"/>
  <c r="P722" i="1" s="1"/>
  <c r="K722" i="1"/>
  <c r="Q721" i="1"/>
  <c r="P721" i="1" s="1"/>
  <c r="K721" i="1"/>
  <c r="Q720" i="1"/>
  <c r="P720" i="1" s="1"/>
  <c r="K720" i="1"/>
  <c r="Q719" i="1"/>
  <c r="P719" i="1" s="1"/>
  <c r="K719" i="1"/>
  <c r="Q718" i="1"/>
  <c r="P718" i="1" s="1"/>
  <c r="K718" i="1"/>
  <c r="Q717" i="1"/>
  <c r="P717" i="1" s="1"/>
  <c r="K717" i="1"/>
  <c r="Q716" i="1"/>
  <c r="P716" i="1" s="1"/>
  <c r="K716" i="1"/>
  <c r="Q715" i="1"/>
  <c r="P715" i="1" s="1"/>
  <c r="K715" i="1"/>
  <c r="Q714" i="1"/>
  <c r="P714" i="1" s="1"/>
  <c r="K714" i="1"/>
  <c r="Q713" i="1"/>
  <c r="P713" i="1" s="1"/>
  <c r="K713" i="1"/>
  <c r="Q712" i="1"/>
  <c r="P712" i="1" s="1"/>
  <c r="K712" i="1"/>
  <c r="Q711" i="1"/>
  <c r="P711" i="1" s="1"/>
  <c r="K711" i="1"/>
  <c r="Q710" i="1"/>
  <c r="P710" i="1" s="1"/>
  <c r="K710" i="1"/>
  <c r="Q709" i="1"/>
  <c r="P709" i="1" s="1"/>
  <c r="K709" i="1"/>
  <c r="Q708" i="1"/>
  <c r="P708" i="1" s="1"/>
  <c r="K708" i="1"/>
  <c r="Q707" i="1"/>
  <c r="P707" i="1" s="1"/>
  <c r="K707" i="1"/>
  <c r="Q706" i="1"/>
  <c r="P706" i="1" s="1"/>
  <c r="K706" i="1"/>
  <c r="Q705" i="1"/>
  <c r="P705" i="1" s="1"/>
  <c r="K705" i="1"/>
  <c r="Q704" i="1"/>
  <c r="P704" i="1" s="1"/>
  <c r="K704" i="1"/>
  <c r="Q703" i="1"/>
  <c r="P703" i="1" s="1"/>
  <c r="K703" i="1"/>
  <c r="Q702" i="1"/>
  <c r="P702" i="1" s="1"/>
  <c r="K702" i="1"/>
  <c r="Q701" i="1"/>
  <c r="P701" i="1" s="1"/>
  <c r="K701" i="1"/>
  <c r="Q700" i="1"/>
  <c r="P700" i="1" s="1"/>
  <c r="K700" i="1"/>
  <c r="Q699" i="1"/>
  <c r="P699" i="1" s="1"/>
  <c r="K699" i="1"/>
  <c r="Q698" i="1"/>
  <c r="P698" i="1" s="1"/>
  <c r="K698" i="1"/>
  <c r="Q697" i="1"/>
  <c r="P697" i="1" s="1"/>
  <c r="K697" i="1"/>
  <c r="Q696" i="1"/>
  <c r="P696" i="1" s="1"/>
  <c r="K696" i="1"/>
  <c r="Q695" i="1"/>
  <c r="P695" i="1" s="1"/>
  <c r="K695" i="1"/>
  <c r="Q694" i="1"/>
  <c r="P694" i="1" s="1"/>
  <c r="K694" i="1"/>
  <c r="Q693" i="1"/>
  <c r="P693" i="1" s="1"/>
  <c r="K693" i="1"/>
  <c r="Q692" i="1"/>
  <c r="P692" i="1" s="1"/>
  <c r="K692" i="1"/>
  <c r="Q691" i="1"/>
  <c r="P691" i="1" s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 s="1"/>
  <c r="Q738" i="1"/>
  <c r="P738" i="1" s="1"/>
  <c r="Q737" i="1"/>
  <c r="P737" i="1" s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 s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 s="1"/>
  <c r="Q664" i="1"/>
  <c r="P664" i="1" s="1"/>
  <c r="Q665" i="1"/>
  <c r="P665" i="1" s="1"/>
  <c r="B662" i="1"/>
  <c r="H662" i="1"/>
  <c r="J662" i="1"/>
  <c r="K662" i="1"/>
  <c r="Q662" i="1"/>
  <c r="P662" i="1" s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B666" i="1"/>
  <c r="H666" i="1"/>
  <c r="J666" i="1"/>
  <c r="K666" i="1"/>
  <c r="Q666" i="1"/>
  <c r="P666" i="1" s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B652" i="1"/>
  <c r="H652" i="1"/>
  <c r="J652" i="1"/>
  <c r="K652" i="1"/>
  <c r="Q652" i="1"/>
  <c r="P652" i="1" s="1"/>
  <c r="B643" i="1"/>
  <c r="H643" i="1"/>
  <c r="J643" i="1"/>
  <c r="K643" i="1"/>
  <c r="Q643" i="1"/>
  <c r="P643" i="1" s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B651" i="1"/>
  <c r="H651" i="1"/>
  <c r="J651" i="1"/>
  <c r="K651" i="1"/>
  <c r="Q651" i="1"/>
  <c r="P651" i="1" s="1"/>
  <c r="B642" i="1"/>
  <c r="H642" i="1"/>
  <c r="J642" i="1"/>
  <c r="K642" i="1"/>
  <c r="Q642" i="1"/>
  <c r="P642" i="1" s="1"/>
  <c r="B641" i="1"/>
  <c r="H641" i="1"/>
  <c r="J641" i="1"/>
  <c r="K641" i="1"/>
  <c r="Q641" i="1"/>
  <c r="P641" i="1" s="1"/>
  <c r="B640" i="1"/>
  <c r="H640" i="1"/>
  <c r="J640" i="1"/>
  <c r="K640" i="1"/>
  <c r="Q640" i="1"/>
  <c r="P640" i="1" s="1"/>
  <c r="B633" i="1"/>
  <c r="B634" i="1"/>
  <c r="H633" i="1"/>
  <c r="H634" i="1"/>
  <c r="J633" i="1"/>
  <c r="J634" i="1"/>
  <c r="K633" i="1"/>
  <c r="K634" i="1"/>
  <c r="Q633" i="1"/>
  <c r="P633" i="1" s="1"/>
  <c r="Q634" i="1"/>
  <c r="P634" i="1" s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B623" i="1"/>
  <c r="H623" i="1"/>
  <c r="J623" i="1"/>
  <c r="K623" i="1"/>
  <c r="Q623" i="1"/>
  <c r="P623" i="1" s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 s="1"/>
  <c r="Q637" i="1"/>
  <c r="P637" i="1" s="1"/>
  <c r="Q638" i="1"/>
  <c r="P638" i="1" s="1"/>
  <c r="Q639" i="1"/>
  <c r="P639" i="1" s="1"/>
  <c r="B635" i="1"/>
  <c r="H635" i="1"/>
  <c r="J635" i="1"/>
  <c r="K635" i="1"/>
  <c r="Q635" i="1"/>
  <c r="P635" i="1" s="1"/>
  <c r="B377" i="1"/>
  <c r="H377" i="1"/>
  <c r="J377" i="1"/>
  <c r="K377" i="1"/>
  <c r="Q377" i="1"/>
  <c r="P377" i="1" s="1"/>
  <c r="B382" i="1"/>
  <c r="H382" i="1"/>
  <c r="J382" i="1"/>
  <c r="K382" i="1"/>
  <c r="Q382" i="1"/>
  <c r="P382" i="1" s="1"/>
  <c r="B499" i="1"/>
  <c r="H499" i="1"/>
  <c r="J499" i="1"/>
  <c r="K499" i="1"/>
  <c r="Q499" i="1"/>
  <c r="P499" i="1" s="1"/>
  <c r="B500" i="1"/>
  <c r="H500" i="1"/>
  <c r="J500" i="1"/>
  <c r="K500" i="1"/>
  <c r="Q500" i="1"/>
  <c r="P500" i="1" s="1"/>
  <c r="B501" i="1"/>
  <c r="H501" i="1"/>
  <c r="J501" i="1"/>
  <c r="K501" i="1"/>
  <c r="Q501" i="1"/>
  <c r="P501" i="1" s="1"/>
  <c r="B502" i="1"/>
  <c r="H502" i="1"/>
  <c r="J502" i="1"/>
  <c r="K502" i="1"/>
  <c r="Q502" i="1"/>
  <c r="P502" i="1" s="1"/>
  <c r="B503" i="1"/>
  <c r="H503" i="1"/>
  <c r="J503" i="1"/>
  <c r="K503" i="1"/>
  <c r="Q503" i="1"/>
  <c r="P503" i="1" s="1"/>
  <c r="B504" i="1"/>
  <c r="H504" i="1"/>
  <c r="J504" i="1"/>
  <c r="K504" i="1"/>
  <c r="Q504" i="1"/>
  <c r="P504" i="1" s="1"/>
  <c r="B505" i="1"/>
  <c r="H505" i="1"/>
  <c r="J505" i="1"/>
  <c r="K505" i="1"/>
  <c r="Q505" i="1"/>
  <c r="P505" i="1" s="1"/>
  <c r="B506" i="1"/>
  <c r="H506" i="1"/>
  <c r="J506" i="1"/>
  <c r="K506" i="1"/>
  <c r="Q506" i="1"/>
  <c r="P506" i="1" s="1"/>
  <c r="B507" i="1"/>
  <c r="H507" i="1"/>
  <c r="J507" i="1"/>
  <c r="K507" i="1"/>
  <c r="Q507" i="1"/>
  <c r="P507" i="1" s="1"/>
  <c r="B508" i="1"/>
  <c r="H508" i="1"/>
  <c r="J508" i="1"/>
  <c r="K508" i="1"/>
  <c r="Q508" i="1"/>
  <c r="P508" i="1" s="1"/>
  <c r="B514" i="1"/>
  <c r="H514" i="1"/>
  <c r="J514" i="1"/>
  <c r="K514" i="1"/>
  <c r="Q514" i="1"/>
  <c r="P514" i="1" s="1"/>
  <c r="B515" i="1"/>
  <c r="H515" i="1"/>
  <c r="J515" i="1"/>
  <c r="K515" i="1"/>
  <c r="Q515" i="1"/>
  <c r="P515" i="1" s="1"/>
  <c r="B516" i="1"/>
  <c r="H516" i="1"/>
  <c r="J516" i="1"/>
  <c r="K516" i="1"/>
  <c r="Q516" i="1"/>
  <c r="P516" i="1" s="1"/>
  <c r="B517" i="1"/>
  <c r="H517" i="1"/>
  <c r="J517" i="1"/>
  <c r="K517" i="1"/>
  <c r="Q517" i="1"/>
  <c r="P517" i="1" s="1"/>
  <c r="B518" i="1"/>
  <c r="H518" i="1"/>
  <c r="J518" i="1"/>
  <c r="K518" i="1"/>
  <c r="Q518" i="1"/>
  <c r="P518" i="1" s="1"/>
  <c r="B519" i="1"/>
  <c r="H519" i="1"/>
  <c r="J519" i="1"/>
  <c r="K519" i="1"/>
  <c r="Q519" i="1"/>
  <c r="P519" i="1" s="1"/>
  <c r="B520" i="1"/>
  <c r="H520" i="1"/>
  <c r="J520" i="1"/>
  <c r="K520" i="1"/>
  <c r="Q520" i="1"/>
  <c r="P520" i="1" s="1"/>
  <c r="B521" i="1"/>
  <c r="H521" i="1"/>
  <c r="J521" i="1"/>
  <c r="K521" i="1"/>
  <c r="Q521" i="1"/>
  <c r="P521" i="1" s="1"/>
  <c r="B522" i="1"/>
  <c r="H522" i="1"/>
  <c r="J522" i="1"/>
  <c r="K522" i="1"/>
  <c r="Q522" i="1"/>
  <c r="P522" i="1" s="1"/>
  <c r="B523" i="1"/>
  <c r="H523" i="1"/>
  <c r="J523" i="1"/>
  <c r="K523" i="1"/>
  <c r="Q523" i="1"/>
  <c r="P523" i="1" s="1"/>
  <c r="B524" i="1"/>
  <c r="H524" i="1"/>
  <c r="J524" i="1"/>
  <c r="K524" i="1"/>
  <c r="Q524" i="1"/>
  <c r="P524" i="1" s="1"/>
  <c r="B525" i="1"/>
  <c r="H525" i="1"/>
  <c r="J525" i="1"/>
  <c r="K525" i="1"/>
  <c r="Q525" i="1"/>
  <c r="P525" i="1" s="1"/>
  <c r="B526" i="1"/>
  <c r="H526" i="1"/>
  <c r="J526" i="1"/>
  <c r="K526" i="1"/>
  <c r="Q526" i="1"/>
  <c r="P526" i="1" s="1"/>
  <c r="B527" i="1"/>
  <c r="H527" i="1"/>
  <c r="J527" i="1"/>
  <c r="K527" i="1"/>
  <c r="Q527" i="1"/>
  <c r="P527" i="1" s="1"/>
  <c r="B528" i="1"/>
  <c r="H528" i="1"/>
  <c r="J528" i="1"/>
  <c r="K528" i="1"/>
  <c r="Q528" i="1"/>
  <c r="P528" i="1" s="1"/>
  <c r="B529" i="1"/>
  <c r="H529" i="1"/>
  <c r="J529" i="1"/>
  <c r="K529" i="1"/>
  <c r="Q529" i="1"/>
  <c r="P529" i="1" s="1"/>
  <c r="B530" i="1"/>
  <c r="H530" i="1"/>
  <c r="J530" i="1"/>
  <c r="K530" i="1"/>
  <c r="Q530" i="1"/>
  <c r="P530" i="1" s="1"/>
  <c r="B531" i="1"/>
  <c r="H531" i="1"/>
  <c r="J531" i="1"/>
  <c r="K531" i="1"/>
  <c r="Q531" i="1"/>
  <c r="P531" i="1" s="1"/>
  <c r="B532" i="1"/>
  <c r="H532" i="1"/>
  <c r="J532" i="1"/>
  <c r="K532" i="1"/>
  <c r="Q532" i="1"/>
  <c r="P532" i="1" s="1"/>
  <c r="B533" i="1"/>
  <c r="H533" i="1"/>
  <c r="J533" i="1"/>
  <c r="K533" i="1"/>
  <c r="Q533" i="1"/>
  <c r="P533" i="1" s="1"/>
  <c r="B534" i="1"/>
  <c r="H534" i="1"/>
  <c r="J534" i="1"/>
  <c r="K534" i="1"/>
  <c r="Q534" i="1"/>
  <c r="P534" i="1" s="1"/>
  <c r="B535" i="1"/>
  <c r="H535" i="1"/>
  <c r="J535" i="1"/>
  <c r="K535" i="1"/>
  <c r="Q535" i="1"/>
  <c r="P535" i="1" s="1"/>
  <c r="B536" i="1"/>
  <c r="H536" i="1"/>
  <c r="J536" i="1"/>
  <c r="K536" i="1"/>
  <c r="Q536" i="1"/>
  <c r="P536" i="1" s="1"/>
  <c r="B537" i="1"/>
  <c r="H537" i="1"/>
  <c r="J537" i="1"/>
  <c r="K537" i="1"/>
  <c r="Q537" i="1"/>
  <c r="P537" i="1" s="1"/>
  <c r="B538" i="1"/>
  <c r="H538" i="1"/>
  <c r="J538" i="1"/>
  <c r="K538" i="1"/>
  <c r="Q538" i="1"/>
  <c r="P538" i="1" s="1"/>
  <c r="B539" i="1"/>
  <c r="H539" i="1"/>
  <c r="J539" i="1"/>
  <c r="K539" i="1"/>
  <c r="Q539" i="1"/>
  <c r="P539" i="1" s="1"/>
  <c r="B540" i="1"/>
  <c r="H540" i="1"/>
  <c r="J540" i="1"/>
  <c r="K540" i="1"/>
  <c r="Q540" i="1"/>
  <c r="P540" i="1" s="1"/>
  <c r="B541" i="1"/>
  <c r="H541" i="1"/>
  <c r="J541" i="1"/>
  <c r="K541" i="1"/>
  <c r="Q541" i="1"/>
  <c r="P541" i="1" s="1"/>
  <c r="B542" i="1"/>
  <c r="H542" i="1"/>
  <c r="J542" i="1"/>
  <c r="K542" i="1"/>
  <c r="Q542" i="1"/>
  <c r="P542" i="1" s="1"/>
  <c r="B543" i="1"/>
  <c r="H543" i="1"/>
  <c r="J543" i="1"/>
  <c r="K543" i="1"/>
  <c r="Q543" i="1"/>
  <c r="P543" i="1" s="1"/>
  <c r="B544" i="1"/>
  <c r="H544" i="1"/>
  <c r="J544" i="1"/>
  <c r="K544" i="1"/>
  <c r="Q544" i="1"/>
  <c r="P544" i="1" s="1"/>
  <c r="B545" i="1"/>
  <c r="H545" i="1"/>
  <c r="J545" i="1"/>
  <c r="K545" i="1"/>
  <c r="Q545" i="1"/>
  <c r="P545" i="1" s="1"/>
  <c r="B546" i="1"/>
  <c r="H546" i="1"/>
  <c r="J546" i="1"/>
  <c r="K546" i="1"/>
  <c r="Q546" i="1"/>
  <c r="P546" i="1" s="1"/>
  <c r="B547" i="1"/>
  <c r="H547" i="1"/>
  <c r="J547" i="1"/>
  <c r="K547" i="1"/>
  <c r="Q547" i="1"/>
  <c r="P547" i="1" s="1"/>
  <c r="B548" i="1"/>
  <c r="H548" i="1"/>
  <c r="J548" i="1"/>
  <c r="K548" i="1"/>
  <c r="Q548" i="1"/>
  <c r="P548" i="1" s="1"/>
  <c r="B549" i="1"/>
  <c r="H549" i="1"/>
  <c r="J549" i="1"/>
  <c r="K549" i="1"/>
  <c r="Q549" i="1"/>
  <c r="P549" i="1" s="1"/>
  <c r="B550" i="1"/>
  <c r="H550" i="1"/>
  <c r="J550" i="1"/>
  <c r="K550" i="1"/>
  <c r="Q550" i="1"/>
  <c r="P550" i="1" s="1"/>
  <c r="B551" i="1"/>
  <c r="H551" i="1"/>
  <c r="J551" i="1"/>
  <c r="K551" i="1"/>
  <c r="Q551" i="1"/>
  <c r="P551" i="1" s="1"/>
  <c r="B552" i="1"/>
  <c r="H552" i="1"/>
  <c r="J552" i="1"/>
  <c r="K552" i="1"/>
  <c r="Q552" i="1"/>
  <c r="P552" i="1" s="1"/>
  <c r="B553" i="1"/>
  <c r="H553" i="1"/>
  <c r="J553" i="1"/>
  <c r="K553" i="1"/>
  <c r="Q553" i="1"/>
  <c r="P553" i="1" s="1"/>
  <c r="B554" i="1"/>
  <c r="H554" i="1"/>
  <c r="J554" i="1"/>
  <c r="K554" i="1"/>
  <c r="Q554" i="1"/>
  <c r="P554" i="1" s="1"/>
  <c r="B555" i="1"/>
  <c r="H555" i="1"/>
  <c r="J555" i="1"/>
  <c r="K555" i="1"/>
  <c r="Q555" i="1"/>
  <c r="P555" i="1" s="1"/>
  <c r="B556" i="1"/>
  <c r="H556" i="1"/>
  <c r="J556" i="1"/>
  <c r="K556" i="1"/>
  <c r="Q556" i="1"/>
  <c r="P556" i="1" s="1"/>
  <c r="B557" i="1"/>
  <c r="H557" i="1"/>
  <c r="J557" i="1"/>
  <c r="K557" i="1"/>
  <c r="Q557" i="1"/>
  <c r="P557" i="1" s="1"/>
  <c r="B558" i="1"/>
  <c r="H558" i="1"/>
  <c r="J558" i="1"/>
  <c r="K558" i="1"/>
  <c r="Q558" i="1"/>
  <c r="P558" i="1" s="1"/>
  <c r="B559" i="1"/>
  <c r="H559" i="1"/>
  <c r="J559" i="1"/>
  <c r="K559" i="1"/>
  <c r="Q559" i="1"/>
  <c r="P559" i="1" s="1"/>
  <c r="B560" i="1"/>
  <c r="H560" i="1"/>
  <c r="J560" i="1"/>
  <c r="K560" i="1"/>
  <c r="Q560" i="1"/>
  <c r="P560" i="1" s="1"/>
  <c r="B561" i="1"/>
  <c r="H561" i="1"/>
  <c r="J561" i="1"/>
  <c r="K561" i="1"/>
  <c r="Q561" i="1"/>
  <c r="P561" i="1" s="1"/>
  <c r="B562" i="1"/>
  <c r="H562" i="1"/>
  <c r="J562" i="1"/>
  <c r="K562" i="1"/>
  <c r="Q562" i="1"/>
  <c r="P562" i="1" s="1"/>
  <c r="B563" i="1"/>
  <c r="H563" i="1"/>
  <c r="J563" i="1"/>
  <c r="K563" i="1"/>
  <c r="Q563" i="1"/>
  <c r="P563" i="1" s="1"/>
  <c r="B564" i="1"/>
  <c r="H564" i="1"/>
  <c r="J564" i="1"/>
  <c r="K564" i="1"/>
  <c r="Q564" i="1"/>
  <c r="P564" i="1" s="1"/>
  <c r="B565" i="1"/>
  <c r="H565" i="1"/>
  <c r="J565" i="1"/>
  <c r="K565" i="1"/>
  <c r="Q565" i="1"/>
  <c r="P565" i="1" s="1"/>
  <c r="B566" i="1"/>
  <c r="H566" i="1"/>
  <c r="J566" i="1"/>
  <c r="K566" i="1"/>
  <c r="Q566" i="1"/>
  <c r="P566" i="1" s="1"/>
  <c r="B567" i="1"/>
  <c r="H567" i="1"/>
  <c r="J567" i="1"/>
  <c r="K567" i="1"/>
  <c r="Q567" i="1"/>
  <c r="P567" i="1" s="1"/>
  <c r="B568" i="1"/>
  <c r="H568" i="1"/>
  <c r="J568" i="1"/>
  <c r="K568" i="1"/>
  <c r="Q568" i="1"/>
  <c r="P568" i="1" s="1"/>
  <c r="B569" i="1"/>
  <c r="H569" i="1"/>
  <c r="J569" i="1"/>
  <c r="K569" i="1"/>
  <c r="Q569" i="1"/>
  <c r="P569" i="1" s="1"/>
  <c r="B570" i="1"/>
  <c r="H570" i="1"/>
  <c r="J570" i="1"/>
  <c r="K570" i="1"/>
  <c r="Q570" i="1"/>
  <c r="P570" i="1" s="1"/>
  <c r="B571" i="1"/>
  <c r="H571" i="1"/>
  <c r="J571" i="1"/>
  <c r="K571" i="1"/>
  <c r="Q571" i="1"/>
  <c r="P571" i="1" s="1"/>
  <c r="B572" i="1"/>
  <c r="H572" i="1"/>
  <c r="J572" i="1"/>
  <c r="K572" i="1"/>
  <c r="Q572" i="1"/>
  <c r="P572" i="1" s="1"/>
  <c r="B573" i="1"/>
  <c r="H573" i="1"/>
  <c r="J573" i="1"/>
  <c r="K573" i="1"/>
  <c r="Q573" i="1"/>
  <c r="P573" i="1" s="1"/>
  <c r="B574" i="1"/>
  <c r="H574" i="1"/>
  <c r="J574" i="1"/>
  <c r="K574" i="1"/>
  <c r="Q574" i="1"/>
  <c r="P574" i="1" s="1"/>
  <c r="B575" i="1"/>
  <c r="H575" i="1"/>
  <c r="J575" i="1"/>
  <c r="K575" i="1"/>
  <c r="Q575" i="1"/>
  <c r="P575" i="1" s="1"/>
  <c r="B576" i="1"/>
  <c r="H576" i="1"/>
  <c r="J576" i="1"/>
  <c r="K576" i="1"/>
  <c r="Q576" i="1"/>
  <c r="P576" i="1" s="1"/>
  <c r="B577" i="1"/>
  <c r="H577" i="1"/>
  <c r="J577" i="1"/>
  <c r="K577" i="1"/>
  <c r="Q577" i="1"/>
  <c r="P577" i="1" s="1"/>
  <c r="B578" i="1"/>
  <c r="H578" i="1"/>
  <c r="J578" i="1"/>
  <c r="K578" i="1"/>
  <c r="Q578" i="1"/>
  <c r="P578" i="1" s="1"/>
  <c r="B579" i="1"/>
  <c r="H579" i="1"/>
  <c r="J579" i="1"/>
  <c r="K579" i="1"/>
  <c r="Q579" i="1"/>
  <c r="P579" i="1" s="1"/>
  <c r="B580" i="1"/>
  <c r="H580" i="1"/>
  <c r="J580" i="1"/>
  <c r="K580" i="1"/>
  <c r="Q580" i="1"/>
  <c r="P580" i="1" s="1"/>
  <c r="B581" i="1"/>
  <c r="H581" i="1"/>
  <c r="J581" i="1"/>
  <c r="K581" i="1"/>
  <c r="Q581" i="1"/>
  <c r="P581" i="1" s="1"/>
  <c r="B582" i="1"/>
  <c r="H582" i="1"/>
  <c r="J582" i="1"/>
  <c r="K582" i="1"/>
  <c r="Q582" i="1"/>
  <c r="P582" i="1" s="1"/>
  <c r="B583" i="1"/>
  <c r="H583" i="1"/>
  <c r="J583" i="1"/>
  <c r="K583" i="1"/>
  <c r="Q583" i="1"/>
  <c r="P583" i="1" s="1"/>
  <c r="B584" i="1"/>
  <c r="H584" i="1"/>
  <c r="J584" i="1"/>
  <c r="K584" i="1"/>
  <c r="Q584" i="1"/>
  <c r="P584" i="1" s="1"/>
  <c r="B585" i="1"/>
  <c r="H585" i="1"/>
  <c r="J585" i="1"/>
  <c r="K585" i="1"/>
  <c r="Q585" i="1"/>
  <c r="P585" i="1" s="1"/>
  <c r="B586" i="1"/>
  <c r="H586" i="1"/>
  <c r="J586" i="1"/>
  <c r="K586" i="1"/>
  <c r="Q586" i="1"/>
  <c r="P586" i="1" s="1"/>
  <c r="B587" i="1"/>
  <c r="H587" i="1"/>
  <c r="J587" i="1"/>
  <c r="K587" i="1"/>
  <c r="Q587" i="1"/>
  <c r="P587" i="1" s="1"/>
  <c r="B588" i="1"/>
  <c r="H588" i="1"/>
  <c r="J588" i="1"/>
  <c r="K588" i="1"/>
  <c r="Q588" i="1"/>
  <c r="P588" i="1" s="1"/>
  <c r="B589" i="1"/>
  <c r="H589" i="1"/>
  <c r="J589" i="1"/>
  <c r="K589" i="1"/>
  <c r="Q589" i="1"/>
  <c r="P589" i="1" s="1"/>
  <c r="B590" i="1"/>
  <c r="H590" i="1"/>
  <c r="J590" i="1"/>
  <c r="K590" i="1"/>
  <c r="Q590" i="1"/>
  <c r="P590" i="1" s="1"/>
  <c r="B591" i="1"/>
  <c r="H591" i="1"/>
  <c r="J591" i="1"/>
  <c r="K591" i="1"/>
  <c r="Q591" i="1"/>
  <c r="P591" i="1" s="1"/>
  <c r="B592" i="1"/>
  <c r="H592" i="1"/>
  <c r="J592" i="1"/>
  <c r="K592" i="1"/>
  <c r="Q592" i="1"/>
  <c r="P592" i="1" s="1"/>
  <c r="B593" i="1"/>
  <c r="H593" i="1"/>
  <c r="J593" i="1"/>
  <c r="K593" i="1"/>
  <c r="Q593" i="1"/>
  <c r="P593" i="1" s="1"/>
  <c r="B594" i="1"/>
  <c r="H594" i="1"/>
  <c r="J594" i="1"/>
  <c r="K594" i="1"/>
  <c r="Q594" i="1"/>
  <c r="P594" i="1" s="1"/>
  <c r="B595" i="1"/>
  <c r="H595" i="1"/>
  <c r="J595" i="1"/>
  <c r="K595" i="1"/>
  <c r="Q595" i="1"/>
  <c r="P595" i="1" s="1"/>
  <c r="B596" i="1"/>
  <c r="H596" i="1"/>
  <c r="J596" i="1"/>
  <c r="K596" i="1"/>
  <c r="Q596" i="1"/>
  <c r="P596" i="1" s="1"/>
  <c r="B597" i="1"/>
  <c r="H597" i="1"/>
  <c r="J597" i="1"/>
  <c r="K597" i="1"/>
  <c r="Q597" i="1"/>
  <c r="P597" i="1" s="1"/>
  <c r="B598" i="1"/>
  <c r="H598" i="1"/>
  <c r="J598" i="1"/>
  <c r="K598" i="1"/>
  <c r="Q598" i="1"/>
  <c r="P598" i="1" s="1"/>
  <c r="B599" i="1"/>
  <c r="H599" i="1"/>
  <c r="J599" i="1"/>
  <c r="K599" i="1"/>
  <c r="Q599" i="1"/>
  <c r="P599" i="1" s="1"/>
  <c r="B600" i="1"/>
  <c r="H600" i="1"/>
  <c r="J600" i="1"/>
  <c r="K600" i="1"/>
  <c r="Q600" i="1"/>
  <c r="P600" i="1" s="1"/>
  <c r="B601" i="1"/>
  <c r="H601" i="1"/>
  <c r="J601" i="1"/>
  <c r="K601" i="1"/>
  <c r="Q601" i="1"/>
  <c r="P601" i="1" s="1"/>
  <c r="B602" i="1"/>
  <c r="H602" i="1"/>
  <c r="J602" i="1"/>
  <c r="K602" i="1"/>
  <c r="Q602" i="1"/>
  <c r="P602" i="1" s="1"/>
  <c r="B603" i="1"/>
  <c r="H603" i="1"/>
  <c r="J603" i="1"/>
  <c r="K603" i="1"/>
  <c r="Q603" i="1"/>
  <c r="P603" i="1" s="1"/>
  <c r="B604" i="1"/>
  <c r="H604" i="1"/>
  <c r="J604" i="1"/>
  <c r="K604" i="1"/>
  <c r="Q604" i="1"/>
  <c r="P604" i="1" s="1"/>
  <c r="B605" i="1"/>
  <c r="H605" i="1"/>
  <c r="J605" i="1"/>
  <c r="K605" i="1"/>
  <c r="Q605" i="1"/>
  <c r="P605" i="1" s="1"/>
  <c r="B606" i="1"/>
  <c r="H606" i="1"/>
  <c r="J606" i="1"/>
  <c r="K606" i="1"/>
  <c r="Q606" i="1"/>
  <c r="P606" i="1" s="1"/>
  <c r="B607" i="1"/>
  <c r="H607" i="1"/>
  <c r="J607" i="1"/>
  <c r="K607" i="1"/>
  <c r="Q607" i="1"/>
  <c r="P607" i="1" s="1"/>
  <c r="B608" i="1"/>
  <c r="H608" i="1"/>
  <c r="J608" i="1"/>
  <c r="K608" i="1"/>
  <c r="Q608" i="1"/>
  <c r="P608" i="1" s="1"/>
  <c r="B609" i="1"/>
  <c r="H609" i="1"/>
  <c r="J609" i="1"/>
  <c r="K609" i="1"/>
  <c r="Q609" i="1"/>
  <c r="P609" i="1" s="1"/>
  <c r="B610" i="1"/>
  <c r="H610" i="1"/>
  <c r="J610" i="1"/>
  <c r="K610" i="1"/>
  <c r="Q610" i="1"/>
  <c r="P610" i="1" s="1"/>
  <c r="B611" i="1"/>
  <c r="H611" i="1"/>
  <c r="J611" i="1"/>
  <c r="K611" i="1"/>
  <c r="Q611" i="1"/>
  <c r="P611" i="1" s="1"/>
  <c r="B612" i="1"/>
  <c r="H612" i="1"/>
  <c r="J612" i="1"/>
  <c r="K612" i="1"/>
  <c r="Q612" i="1"/>
  <c r="P612" i="1" s="1"/>
  <c r="B613" i="1"/>
  <c r="H613" i="1"/>
  <c r="J613" i="1"/>
  <c r="K613" i="1"/>
  <c r="Q613" i="1"/>
  <c r="P613" i="1" s="1"/>
  <c r="B614" i="1"/>
  <c r="H614" i="1"/>
  <c r="J614" i="1"/>
  <c r="K614" i="1"/>
  <c r="Q614" i="1"/>
  <c r="P614" i="1" s="1"/>
  <c r="B615" i="1"/>
  <c r="H615" i="1"/>
  <c r="J615" i="1"/>
  <c r="K615" i="1"/>
  <c r="Q615" i="1"/>
  <c r="P615" i="1" s="1"/>
  <c r="B616" i="1"/>
  <c r="H616" i="1"/>
  <c r="J616" i="1"/>
  <c r="K616" i="1"/>
  <c r="Q616" i="1"/>
  <c r="P616" i="1" s="1"/>
  <c r="B617" i="1"/>
  <c r="H617" i="1"/>
  <c r="J617" i="1"/>
  <c r="K617" i="1"/>
  <c r="Q617" i="1"/>
  <c r="P617" i="1" s="1"/>
  <c r="B618" i="1"/>
  <c r="H618" i="1"/>
  <c r="J618" i="1"/>
  <c r="K618" i="1"/>
  <c r="Q618" i="1"/>
  <c r="P618" i="1" s="1"/>
  <c r="B619" i="1"/>
  <c r="H619" i="1"/>
  <c r="J619" i="1"/>
  <c r="K619" i="1"/>
  <c r="Q619" i="1"/>
  <c r="P619" i="1" s="1"/>
  <c r="B620" i="1"/>
  <c r="H620" i="1"/>
  <c r="J620" i="1"/>
  <c r="K620" i="1"/>
  <c r="Q620" i="1"/>
  <c r="P620" i="1" s="1"/>
  <c r="B621" i="1"/>
  <c r="H621" i="1"/>
  <c r="J621" i="1"/>
  <c r="K621" i="1"/>
  <c r="Q621" i="1"/>
  <c r="P621" i="1" s="1"/>
  <c r="B622" i="1"/>
  <c r="H622" i="1"/>
  <c r="J622" i="1"/>
  <c r="K622" i="1"/>
  <c r="Q622" i="1"/>
  <c r="P622" i="1" s="1"/>
  <c r="B513" i="1"/>
  <c r="H513" i="1"/>
  <c r="J513" i="1"/>
  <c r="K513" i="1"/>
  <c r="Q513" i="1"/>
  <c r="P513" i="1" s="1"/>
  <c r="B512" i="1"/>
  <c r="H512" i="1"/>
  <c r="J512" i="1"/>
  <c r="K512" i="1"/>
  <c r="Q512" i="1"/>
  <c r="P512" i="1" s="1"/>
  <c r="B511" i="1"/>
  <c r="H511" i="1"/>
  <c r="J511" i="1"/>
  <c r="K511" i="1"/>
  <c r="Q511" i="1"/>
  <c r="P511" i="1" s="1"/>
  <c r="B510" i="1"/>
  <c r="H510" i="1"/>
  <c r="J510" i="1"/>
  <c r="K510" i="1"/>
  <c r="Q510" i="1"/>
  <c r="P510" i="1" s="1"/>
  <c r="B509" i="1"/>
  <c r="H509" i="1"/>
  <c r="J509" i="1"/>
  <c r="K509" i="1"/>
  <c r="Q509" i="1"/>
  <c r="P509" i="1" s="1"/>
  <c r="H498" i="1"/>
  <c r="B498" i="1"/>
  <c r="J498" i="1"/>
  <c r="K498" i="1"/>
  <c r="Q498" i="1"/>
  <c r="P498" i="1" s="1"/>
  <c r="H2" i="1"/>
  <c r="J2" i="1"/>
  <c r="K2" i="1"/>
  <c r="Q2" i="1"/>
  <c r="P2" i="1" s="1"/>
  <c r="H3" i="1"/>
  <c r="J3" i="1"/>
  <c r="K3" i="1"/>
  <c r="Q3" i="1"/>
  <c r="P3" i="1" s="1"/>
  <c r="H4" i="1"/>
  <c r="J4" i="1"/>
  <c r="K4" i="1"/>
  <c r="Q4" i="1"/>
  <c r="P4" i="1" s="1"/>
  <c r="H5" i="1"/>
  <c r="J5" i="1"/>
  <c r="K5" i="1"/>
  <c r="Q5" i="1"/>
  <c r="P5" i="1" s="1"/>
  <c r="H6" i="1"/>
  <c r="J6" i="1"/>
  <c r="K6" i="1"/>
  <c r="Q6" i="1"/>
  <c r="P6" i="1" s="1"/>
  <c r="H7" i="1"/>
  <c r="J7" i="1"/>
  <c r="K7" i="1"/>
  <c r="Q7" i="1"/>
  <c r="P7" i="1" s="1"/>
  <c r="H8" i="1"/>
  <c r="J8" i="1"/>
  <c r="K8" i="1"/>
  <c r="Q8" i="1"/>
  <c r="P8" i="1" s="1"/>
  <c r="H9" i="1"/>
  <c r="J9" i="1"/>
  <c r="K9" i="1"/>
  <c r="Q9" i="1"/>
  <c r="P9" i="1" s="1"/>
  <c r="H10" i="1"/>
  <c r="J10" i="1"/>
  <c r="K10" i="1"/>
  <c r="Q10" i="1"/>
  <c r="P10" i="1" s="1"/>
  <c r="B496" i="1"/>
  <c r="B497" i="1"/>
  <c r="H496" i="1"/>
  <c r="H497" i="1"/>
  <c r="J496" i="1"/>
  <c r="J497" i="1"/>
  <c r="K496" i="1"/>
  <c r="K497" i="1"/>
  <c r="Q496" i="1"/>
  <c r="P496" i="1" s="1"/>
  <c r="Q497" i="1"/>
  <c r="P497" i="1" s="1"/>
  <c r="B495" i="1"/>
  <c r="H495" i="1"/>
  <c r="J495" i="1"/>
  <c r="K495" i="1"/>
  <c r="Q495" i="1"/>
  <c r="P495" i="1" s="1"/>
  <c r="B494" i="1"/>
  <c r="H494" i="1"/>
  <c r="J494" i="1"/>
  <c r="K494" i="1"/>
  <c r="Q494" i="1"/>
  <c r="P494" i="1" s="1"/>
  <c r="B493" i="1"/>
  <c r="H493" i="1"/>
  <c r="J493" i="1"/>
  <c r="K493" i="1"/>
  <c r="Q493" i="1"/>
  <c r="P493" i="1" s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 s="1"/>
  <c r="Q489" i="1"/>
  <c r="P489" i="1" s="1"/>
  <c r="Q490" i="1"/>
  <c r="P490" i="1" s="1"/>
  <c r="Q491" i="1"/>
  <c r="P491" i="1" s="1"/>
  <c r="Q492" i="1"/>
  <c r="P492" i="1" s="1"/>
  <c r="B431" i="1"/>
  <c r="B430" i="1"/>
  <c r="H430" i="1"/>
  <c r="H431" i="1"/>
  <c r="J430" i="1"/>
  <c r="J431" i="1"/>
  <c r="K430" i="1"/>
  <c r="K431" i="1"/>
  <c r="Q430" i="1"/>
  <c r="P430" i="1" s="1"/>
  <c r="Q431" i="1"/>
  <c r="P431" i="1" s="1"/>
  <c r="B429" i="1"/>
  <c r="H429" i="1"/>
  <c r="J429" i="1"/>
  <c r="K429" i="1"/>
  <c r="Q429" i="1"/>
  <c r="P429" i="1" s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B432" i="1"/>
  <c r="H432" i="1"/>
  <c r="J432" i="1"/>
  <c r="K432" i="1"/>
  <c r="Q432" i="1"/>
  <c r="P432" i="1" s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 s="1"/>
  <c r="Q385" i="1"/>
  <c r="P385" i="1" s="1"/>
  <c r="Q386" i="1"/>
  <c r="P386" i="1" s="1"/>
  <c r="B383" i="1"/>
  <c r="H383" i="1"/>
  <c r="J383" i="1"/>
  <c r="K383" i="1"/>
  <c r="Q383" i="1"/>
  <c r="P383" i="1" s="1"/>
  <c r="B387" i="1"/>
  <c r="H387" i="1"/>
  <c r="J387" i="1"/>
  <c r="K387" i="1"/>
  <c r="Q387" i="1"/>
  <c r="P387" i="1" s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B365" i="1"/>
  <c r="H365" i="1"/>
  <c r="J365" i="1"/>
  <c r="K365" i="1"/>
  <c r="Q365" i="1"/>
  <c r="P365" i="1" s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B366" i="1"/>
  <c r="H366" i="1"/>
  <c r="J366" i="1"/>
  <c r="K366" i="1"/>
  <c r="Q366" i="1"/>
  <c r="P366" i="1" s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 s="1"/>
  <c r="Q343" i="1"/>
  <c r="P343" i="1" s="1"/>
  <c r="Q344" i="1"/>
  <c r="P344" i="1" s="1"/>
  <c r="Q345" i="1"/>
  <c r="P345" i="1" s="1"/>
  <c r="Q346" i="1"/>
  <c r="P346" i="1" s="1"/>
  <c r="B341" i="1"/>
  <c r="H341" i="1"/>
  <c r="J341" i="1"/>
  <c r="K341" i="1"/>
  <c r="Q341" i="1"/>
  <c r="P341" i="1" s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 s="1"/>
  <c r="Q362" i="1"/>
  <c r="P362" i="1" s="1"/>
  <c r="Q363" i="1"/>
  <c r="P363" i="1" s="1"/>
  <c r="B360" i="1"/>
  <c r="H360" i="1"/>
  <c r="J360" i="1"/>
  <c r="K360" i="1"/>
  <c r="Q360" i="1"/>
  <c r="P360" i="1" s="1"/>
  <c r="B364" i="1"/>
  <c r="H364" i="1"/>
  <c r="J364" i="1"/>
  <c r="K364" i="1"/>
  <c r="Q364" i="1"/>
  <c r="P364" i="1" s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B315" i="1"/>
  <c r="H315" i="1"/>
  <c r="J315" i="1"/>
  <c r="K315" i="1"/>
  <c r="Q315" i="1"/>
  <c r="P315" i="1" s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 s="1"/>
  <c r="Q318" i="1"/>
  <c r="P318" i="1" s="1"/>
  <c r="Q319" i="1"/>
  <c r="P319" i="1" s="1"/>
  <c r="Q320" i="1"/>
  <c r="P320" i="1" s="1"/>
  <c r="Q321" i="1"/>
  <c r="P321" i="1" s="1"/>
  <c r="B316" i="1"/>
  <c r="H316" i="1"/>
  <c r="J316" i="1"/>
  <c r="K316" i="1"/>
  <c r="Q316" i="1"/>
  <c r="P316" i="1" s="1"/>
  <c r="B322" i="1"/>
  <c r="H322" i="1"/>
  <c r="J322" i="1"/>
  <c r="K322" i="1"/>
  <c r="Q322" i="1"/>
  <c r="P322" i="1" s="1"/>
  <c r="B314" i="1"/>
  <c r="H314" i="1"/>
  <c r="J314" i="1"/>
  <c r="K314" i="1"/>
  <c r="Q314" i="1"/>
  <c r="P314" i="1" s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 s="1"/>
  <c r="Q310" i="1"/>
  <c r="P310" i="1" s="1"/>
  <c r="Q311" i="1"/>
  <c r="P311" i="1" s="1"/>
  <c r="Q312" i="1"/>
  <c r="P312" i="1" s="1"/>
  <c r="Q313" i="1"/>
  <c r="P313" i="1" s="1"/>
  <c r="B308" i="1"/>
  <c r="H308" i="1"/>
  <c r="J308" i="1"/>
  <c r="K308" i="1"/>
  <c r="Q308" i="1"/>
  <c r="P308" i="1" s="1"/>
  <c r="B307" i="1"/>
  <c r="H307" i="1"/>
  <c r="J307" i="1"/>
  <c r="K307" i="1"/>
  <c r="Q307" i="1"/>
  <c r="P307" i="1" s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B296" i="1"/>
  <c r="H296" i="1"/>
  <c r="J296" i="1"/>
  <c r="K296" i="1"/>
  <c r="Q296" i="1"/>
  <c r="P296" i="1" s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B286" i="1"/>
  <c r="H286" i="1"/>
  <c r="J286" i="1"/>
  <c r="K286" i="1"/>
  <c r="Q286" i="1"/>
  <c r="P286" i="1" s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 s="1"/>
  <c r="Q283" i="1"/>
  <c r="P283" i="1" s="1"/>
  <c r="Q284" i="1"/>
  <c r="P284" i="1" s="1"/>
  <c r="Q285" i="1"/>
  <c r="P285" i="1" s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 s="1"/>
  <c r="Q268" i="1"/>
  <c r="P268" i="1" s="1"/>
  <c r="Q269" i="1"/>
  <c r="P269" i="1" s="1"/>
  <c r="B266" i="1"/>
  <c r="H266" i="1"/>
  <c r="J266" i="1"/>
  <c r="K266" i="1"/>
  <c r="Q266" i="1"/>
  <c r="P266" i="1" s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B270" i="1"/>
  <c r="H270" i="1"/>
  <c r="J270" i="1"/>
  <c r="K270" i="1"/>
  <c r="Q270" i="1"/>
  <c r="P270" i="1" s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 s="1"/>
  <c r="Q264" i="1"/>
  <c r="P264" i="1" s="1"/>
  <c r="Q265" i="1"/>
  <c r="P265" i="1" s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 s="1"/>
  <c r="Q252" i="1"/>
  <c r="P252" i="1" s="1"/>
  <c r="Q253" i="1"/>
  <c r="P253" i="1" s="1"/>
  <c r="Q254" i="1"/>
  <c r="P254" i="1" s="1"/>
  <c r="Q255" i="1"/>
  <c r="P255" i="1" s="1"/>
  <c r="B250" i="1"/>
  <c r="H250" i="1"/>
  <c r="J250" i="1"/>
  <c r="K250" i="1"/>
  <c r="Q250" i="1"/>
  <c r="P250" i="1" s="1"/>
  <c r="B249" i="1"/>
  <c r="H249" i="1"/>
  <c r="J249" i="1"/>
  <c r="K249" i="1"/>
  <c r="Q249" i="1"/>
  <c r="P249" i="1" s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 s="1"/>
  <c r="Q246" i="1"/>
  <c r="P246" i="1" s="1"/>
  <c r="Q247" i="1"/>
  <c r="P247" i="1" s="1"/>
  <c r="Q248" i="1"/>
  <c r="P248" i="1" s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B206" i="1"/>
  <c r="B207" i="1"/>
  <c r="H206" i="1"/>
  <c r="H207" i="1"/>
  <c r="J206" i="1"/>
  <c r="J207" i="1"/>
  <c r="K206" i="1"/>
  <c r="K207" i="1"/>
  <c r="Q206" i="1"/>
  <c r="P206" i="1" s="1"/>
  <c r="Q207" i="1"/>
  <c r="P207" i="1" s="1"/>
  <c r="B205" i="1"/>
  <c r="H205" i="1"/>
  <c r="J205" i="1"/>
  <c r="K205" i="1"/>
  <c r="Q205" i="1"/>
  <c r="P205" i="1" s="1"/>
  <c r="B204" i="1"/>
  <c r="H204" i="1"/>
  <c r="J204" i="1"/>
  <c r="K204" i="1"/>
  <c r="Q204" i="1"/>
  <c r="P204" i="1" s="1"/>
  <c r="B203" i="1"/>
  <c r="H203" i="1"/>
  <c r="J203" i="1"/>
  <c r="K203" i="1"/>
  <c r="Q203" i="1"/>
  <c r="P203" i="1" s="1"/>
  <c r="B190" i="1"/>
  <c r="H190" i="1"/>
  <c r="J190" i="1"/>
  <c r="K190" i="1"/>
  <c r="Q190" i="1"/>
  <c r="P190" i="1" s="1"/>
  <c r="B191" i="1"/>
  <c r="H191" i="1"/>
  <c r="J191" i="1"/>
  <c r="K191" i="1"/>
  <c r="Q191" i="1"/>
  <c r="P191" i="1" s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 s="1"/>
  <c r="Q193" i="1"/>
  <c r="P193" i="1" s="1"/>
  <c r="Q194" i="1"/>
  <c r="P194" i="1" s="1"/>
  <c r="Q195" i="1"/>
  <c r="P195" i="1" s="1"/>
  <c r="Q196" i="1"/>
  <c r="P196" i="1" s="1"/>
  <c r="B201" i="1"/>
  <c r="B202" i="1"/>
  <c r="H201" i="1"/>
  <c r="H202" i="1"/>
  <c r="J201" i="1"/>
  <c r="J202" i="1"/>
  <c r="K201" i="1"/>
  <c r="K202" i="1"/>
  <c r="Q201" i="1"/>
  <c r="P201" i="1" s="1"/>
  <c r="Q202" i="1"/>
  <c r="P202" i="1" s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 s="1"/>
  <c r="Q198" i="1"/>
  <c r="P198" i="1" s="1"/>
  <c r="Q199" i="1"/>
  <c r="P199" i="1" s="1"/>
  <c r="Q200" i="1"/>
  <c r="P200" i="1" s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 s="1"/>
  <c r="Q188" i="1"/>
  <c r="P188" i="1" s="1"/>
  <c r="Q189" i="1"/>
  <c r="P189" i="1" s="1"/>
  <c r="B164" i="1"/>
  <c r="H164" i="1"/>
  <c r="K164" i="1"/>
  <c r="Q164" i="1"/>
  <c r="P164" i="1" s="1"/>
  <c r="B165" i="1"/>
  <c r="B166" i="1"/>
  <c r="H165" i="1"/>
  <c r="H166" i="1"/>
  <c r="J165" i="1"/>
  <c r="J166" i="1"/>
  <c r="K165" i="1"/>
  <c r="K166" i="1"/>
  <c r="Q165" i="1"/>
  <c r="P165" i="1" s="1"/>
  <c r="Q166" i="1"/>
  <c r="P166" i="1" s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B163" i="1"/>
  <c r="H163" i="1"/>
  <c r="J163" i="1"/>
  <c r="K163" i="1"/>
  <c r="Q163" i="1"/>
  <c r="P163" i="1" s="1"/>
  <c r="B162" i="1"/>
  <c r="H162" i="1"/>
  <c r="J162" i="1"/>
  <c r="K162" i="1"/>
  <c r="Q162" i="1"/>
  <c r="P162" i="1" s="1"/>
  <c r="B160" i="1"/>
  <c r="B161" i="1"/>
  <c r="H160" i="1"/>
  <c r="H161" i="1"/>
  <c r="J160" i="1"/>
  <c r="J161" i="1"/>
  <c r="K160" i="1"/>
  <c r="K161" i="1"/>
  <c r="Q160" i="1"/>
  <c r="P160" i="1" s="1"/>
  <c r="Q161" i="1"/>
  <c r="P161" i="1" s="1"/>
  <c r="B159" i="1"/>
  <c r="H159" i="1"/>
  <c r="J159" i="1"/>
  <c r="K159" i="1"/>
  <c r="Q159" i="1"/>
  <c r="P159" i="1" s="1"/>
  <c r="B157" i="1"/>
  <c r="B158" i="1"/>
  <c r="H157" i="1"/>
  <c r="H158" i="1"/>
  <c r="J157" i="1"/>
  <c r="J158" i="1"/>
  <c r="K157" i="1"/>
  <c r="K158" i="1"/>
  <c r="Q157" i="1"/>
  <c r="P157" i="1" s="1"/>
  <c r="Q158" i="1"/>
  <c r="P158" i="1" s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B130" i="1"/>
  <c r="B131" i="1"/>
  <c r="H130" i="1"/>
  <c r="H131" i="1"/>
  <c r="J130" i="1"/>
  <c r="J131" i="1"/>
  <c r="K130" i="1"/>
  <c r="K131" i="1"/>
  <c r="Q130" i="1"/>
  <c r="P130" i="1" s="1"/>
  <c r="Q131" i="1"/>
  <c r="P131" i="1" s="1"/>
  <c r="Q129" i="1"/>
  <c r="P129" i="1" s="1"/>
  <c r="K129" i="1"/>
  <c r="Q128" i="1"/>
  <c r="P128" i="1" s="1"/>
  <c r="K128" i="1"/>
  <c r="Q127" i="1"/>
  <c r="P127" i="1" s="1"/>
  <c r="K127" i="1"/>
  <c r="Q126" i="1"/>
  <c r="P126" i="1" s="1"/>
  <c r="K126" i="1"/>
  <c r="Q125" i="1"/>
  <c r="P125" i="1" s="1"/>
  <c r="K125" i="1"/>
  <c r="Q124" i="1"/>
  <c r="P124" i="1" s="1"/>
  <c r="K124" i="1"/>
  <c r="Q123" i="1"/>
  <c r="P123" i="1" s="1"/>
  <c r="K123" i="1"/>
  <c r="Q122" i="1"/>
  <c r="P122" i="1" s="1"/>
  <c r="K122" i="1"/>
  <c r="Q121" i="1"/>
  <c r="P121" i="1" s="1"/>
  <c r="K121" i="1"/>
  <c r="Q120" i="1"/>
  <c r="P120" i="1" s="1"/>
  <c r="K120" i="1"/>
  <c r="Q119" i="1"/>
  <c r="P119" i="1" s="1"/>
  <c r="K119" i="1"/>
  <c r="Q118" i="1"/>
  <c r="P118" i="1" s="1"/>
  <c r="K118" i="1"/>
  <c r="Q117" i="1"/>
  <c r="P117" i="1" s="1"/>
  <c r="K117" i="1"/>
  <c r="Q116" i="1"/>
  <c r="P116" i="1" s="1"/>
  <c r="K116" i="1"/>
  <c r="Q115" i="1"/>
  <c r="P115" i="1" s="1"/>
  <c r="K115" i="1"/>
  <c r="Q114" i="1"/>
  <c r="P114" i="1" s="1"/>
  <c r="K114" i="1"/>
  <c r="Q113" i="1"/>
  <c r="P113" i="1" s="1"/>
  <c r="K113" i="1"/>
  <c r="Q112" i="1"/>
  <c r="P112" i="1" s="1"/>
  <c r="K112" i="1"/>
  <c r="Q111" i="1"/>
  <c r="P111" i="1" s="1"/>
  <c r="K111" i="1"/>
  <c r="Q110" i="1"/>
  <c r="P110" i="1" s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 s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 s="1"/>
  <c r="Q87" i="1"/>
  <c r="P87" i="1" s="1"/>
  <c r="Q88" i="1"/>
  <c r="P88" i="1" s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B89" i="1"/>
  <c r="H89" i="1"/>
  <c r="J89" i="1"/>
  <c r="K89" i="1"/>
  <c r="Q89" i="1"/>
  <c r="P89" i="1" s="1"/>
  <c r="Q85" i="1"/>
  <c r="P85" i="1" s="1"/>
  <c r="K85" i="1"/>
  <c r="Q84" i="1"/>
  <c r="P84" i="1" s="1"/>
  <c r="K84" i="1"/>
  <c r="Q83" i="1"/>
  <c r="P83" i="1" s="1"/>
  <c r="K83" i="1"/>
  <c r="Q82" i="1"/>
  <c r="P82" i="1" s="1"/>
  <c r="K82" i="1"/>
  <c r="Q81" i="1"/>
  <c r="P81" i="1" s="1"/>
  <c r="K81" i="1"/>
  <c r="Q80" i="1"/>
  <c r="P80" i="1" s="1"/>
  <c r="K80" i="1"/>
  <c r="Q79" i="1"/>
  <c r="P79" i="1" s="1"/>
  <c r="K79" i="1"/>
  <c r="Q78" i="1"/>
  <c r="P78" i="1" s="1"/>
  <c r="K78" i="1"/>
  <c r="Q77" i="1"/>
  <c r="P77" i="1" s="1"/>
  <c r="K77" i="1"/>
  <c r="Q76" i="1"/>
  <c r="P76" i="1" s="1"/>
  <c r="K76" i="1"/>
  <c r="Q75" i="1"/>
  <c r="P75" i="1" s="1"/>
  <c r="K75" i="1"/>
  <c r="Q74" i="1"/>
  <c r="P74" i="1" s="1"/>
  <c r="K74" i="1"/>
  <c r="Q73" i="1"/>
  <c r="P73" i="1" s="1"/>
  <c r="K73" i="1"/>
  <c r="Q72" i="1"/>
  <c r="P72" i="1" s="1"/>
  <c r="K72" i="1"/>
  <c r="Q71" i="1"/>
  <c r="P71" i="1" s="1"/>
  <c r="K71" i="1"/>
  <c r="Q70" i="1"/>
  <c r="P70" i="1" s="1"/>
  <c r="K70" i="1"/>
  <c r="Q69" i="1"/>
  <c r="P69" i="1" s="1"/>
  <c r="K69" i="1"/>
  <c r="Q68" i="1"/>
  <c r="P68" i="1" s="1"/>
  <c r="K68" i="1"/>
  <c r="Q67" i="1"/>
  <c r="P67" i="1" s="1"/>
  <c r="K67" i="1"/>
  <c r="Q66" i="1"/>
  <c r="P66" i="1" s="1"/>
  <c r="K66" i="1"/>
  <c r="Q65" i="1"/>
  <c r="P65" i="1" s="1"/>
  <c r="K65" i="1"/>
  <c r="Q64" i="1"/>
  <c r="P64" i="1" s="1"/>
  <c r="K64" i="1"/>
  <c r="Q63" i="1"/>
  <c r="P63" i="1" s="1"/>
  <c r="K63" i="1"/>
  <c r="Q62" i="1"/>
  <c r="P62" i="1" s="1"/>
  <c r="K62" i="1"/>
  <c r="Q61" i="1"/>
  <c r="P61" i="1" s="1"/>
  <c r="K61" i="1"/>
  <c r="Q60" i="1"/>
  <c r="P60" i="1" s="1"/>
  <c r="K60" i="1"/>
  <c r="Q59" i="1"/>
  <c r="P59" i="1" s="1"/>
  <c r="K59" i="1"/>
  <c r="Q58" i="1"/>
  <c r="P58" i="1" s="1"/>
  <c r="K58" i="1"/>
  <c r="Q57" i="1"/>
  <c r="P57" i="1" s="1"/>
  <c r="K57" i="1"/>
  <c r="Q56" i="1"/>
  <c r="P56" i="1" s="1"/>
  <c r="K56" i="1"/>
  <c r="Q55" i="1"/>
  <c r="P55" i="1" s="1"/>
  <c r="K55" i="1"/>
  <c r="Q54" i="1"/>
  <c r="P54" i="1" s="1"/>
  <c r="K54" i="1"/>
  <c r="Q53" i="1"/>
  <c r="P53" i="1" s="1"/>
  <c r="K53" i="1"/>
  <c r="Q52" i="1"/>
  <c r="P52" i="1" s="1"/>
  <c r="K52" i="1"/>
  <c r="Q51" i="1"/>
  <c r="P51" i="1" s="1"/>
  <c r="K51" i="1"/>
  <c r="Q50" i="1"/>
  <c r="P50" i="1" s="1"/>
  <c r="K50" i="1"/>
  <c r="Q49" i="1"/>
  <c r="P49" i="1" s="1"/>
  <c r="K49" i="1"/>
  <c r="Q48" i="1"/>
  <c r="P48" i="1" s="1"/>
  <c r="K48" i="1"/>
  <c r="Q47" i="1"/>
  <c r="P47" i="1" s="1"/>
  <c r="K47" i="1"/>
  <c r="Q46" i="1"/>
  <c r="P46" i="1" s="1"/>
  <c r="K46" i="1"/>
  <c r="Q45" i="1"/>
  <c r="P45" i="1" s="1"/>
  <c r="K45" i="1"/>
  <c r="Q44" i="1"/>
  <c r="P44" i="1" s="1"/>
  <c r="K44" i="1"/>
  <c r="Q43" i="1"/>
  <c r="P43" i="1" s="1"/>
  <c r="K43" i="1"/>
  <c r="Q42" i="1"/>
  <c r="P42" i="1" s="1"/>
  <c r="K42" i="1"/>
  <c r="Q41" i="1"/>
  <c r="P41" i="1" s="1"/>
  <c r="K41" i="1"/>
  <c r="Q40" i="1"/>
  <c r="P40" i="1" s="1"/>
  <c r="K40" i="1"/>
  <c r="Q39" i="1"/>
  <c r="P39" i="1" s="1"/>
  <c r="K39" i="1"/>
  <c r="Q38" i="1"/>
  <c r="P38" i="1" s="1"/>
  <c r="K38" i="1"/>
  <c r="Q37" i="1"/>
  <c r="P37" i="1" s="1"/>
  <c r="K37" i="1"/>
  <c r="Q36" i="1"/>
  <c r="P36" i="1" s="1"/>
  <c r="K36" i="1"/>
  <c r="Q35" i="1"/>
  <c r="P35" i="1" s="1"/>
  <c r="K35" i="1"/>
  <c r="Q34" i="1"/>
  <c r="P34" i="1" s="1"/>
  <c r="K34" i="1"/>
  <c r="Q33" i="1"/>
  <c r="P33" i="1" s="1"/>
  <c r="K33" i="1"/>
  <c r="Q32" i="1"/>
  <c r="P32" i="1" s="1"/>
  <c r="K32" i="1"/>
  <c r="Q31" i="1"/>
  <c r="P31" i="1" s="1"/>
  <c r="K31" i="1"/>
  <c r="Q30" i="1"/>
  <c r="P30" i="1" s="1"/>
  <c r="K30" i="1"/>
  <c r="Q29" i="1"/>
  <c r="P29" i="1" s="1"/>
  <c r="K29" i="1"/>
  <c r="Q28" i="1"/>
  <c r="P28" i="1" s="1"/>
  <c r="K28" i="1"/>
  <c r="Q27" i="1"/>
  <c r="P27" i="1" s="1"/>
  <c r="K27" i="1"/>
  <c r="Q26" i="1"/>
  <c r="P26" i="1" s="1"/>
  <c r="K26" i="1"/>
  <c r="Q25" i="1"/>
  <c r="P25" i="1" s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 s="1"/>
  <c r="Q23" i="1"/>
  <c r="P23" i="1" s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B21" i="1"/>
  <c r="B22" i="1"/>
  <c r="H21" i="1"/>
  <c r="H22" i="1"/>
  <c r="J21" i="1"/>
  <c r="J22" i="1"/>
  <c r="K21" i="1"/>
  <c r="K22" i="1"/>
  <c r="Q21" i="1"/>
  <c r="P21" i="1" s="1"/>
  <c r="Q22" i="1"/>
  <c r="P22" i="1" s="1"/>
  <c r="B11" i="1"/>
  <c r="H11" i="1"/>
  <c r="J11" i="1"/>
  <c r="K11" i="1"/>
  <c r="Q11" i="1"/>
  <c r="P11" i="1" s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9" i="1" s="1"/>
  <c r="B7" i="1" l="1"/>
  <c r="B8" i="1"/>
  <c r="B3" i="1"/>
  <c r="B2" i="1"/>
  <c r="B4" i="1"/>
  <c r="B5" i="1"/>
  <c r="B10" i="1"/>
  <c r="B6" i="1"/>
  <c r="J2894" i="1"/>
  <c r="J2893" i="1"/>
  <c r="J2891" i="1"/>
  <c r="J2896" i="1"/>
  <c r="J2895" i="1"/>
  <c r="J289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<sst xmlns="http://schemas.openxmlformats.org/spreadsheetml/2006/main" count="27102" uniqueCount="4949">
  <si>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</si>
  <si>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</si>
  <si>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</si>
  <si>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</si>
  <si>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</si>
  <si>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</si>
  <si>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</si>
  <si>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</si>
  <si>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</si>
  <si>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</si>
  <si>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</si>
  <si>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</si>
  <si>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</si>
  <si>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</si>
  <si>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</si>
  <si>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</si>
  <si>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</si>
  <si>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</si>
  <si>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</si>
  <si>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</si>
  <si>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</si>
  <si>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</si>
  <si>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</si>
  <si>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</si>
  <si>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</si>
  <si>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</si>
  <si>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</si>
  <si>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</si>
  <si>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</si>
  <si>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</si>
  <si>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</si>
  <si>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</si>
  <si>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</si>
  <si>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</si>
  <si>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</si>
  <si>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</si>
  <si>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</si>
  <si>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</si>
  <si>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</si>
  <si>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</si>
  <si>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</si>
  <si>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</si>
  <si>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</si>
  <si>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</si>
  <si>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</si>
  <si>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</si>
  <si>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</si>
  <si>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</si>
  <si>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</si>
  <si>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</si>
  <si>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</si>
  <si>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</si>
  <si>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</si>
  <si>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</si>
  <si>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</si>
  <si>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</si>
  <si>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</si>
  <si>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</si>
  <si>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</si>
  <si>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</si>
  <si>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</si>
  <si>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</si>
  <si>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</si>
  <si>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</si>
  <si>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</si>
  <si>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</si>
  <si>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</si>
  <si>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</si>
  <si>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</si>
  <si>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</si>
  <si>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</si>
  <si>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</si>
  <si>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</si>
  <si>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</si>
  <si>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</si>
  <si>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</si>
  <si>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</si>
  <si>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</si>
  <si>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</si>
  <si>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</si>
  <si>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</si>
  <si>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</si>
  <si>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</si>
  <si>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</si>
  <si>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</si>
  <si>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</si>
  <si>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</si>
  <si>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</si>
  <si>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</si>
  <si>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</si>
  <si>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</si>
  <si>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</si>
  <si>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</si>
  <si>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</si>
  <si>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</si>
  <si>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</si>
  <si>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</si>
  <si>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</si>
  <si>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</si>
  <si>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</si>
  <si>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</si>
  <si>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</si>
  <si>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</si>
  <si>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</si>
  <si>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</si>
  <si>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</si>
  <si>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</si>
  <si>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</si>
  <si>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</si>
  <si>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</si>
  <si>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</si>
  <si>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</si>
  <si>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</si>
  <si>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</si>
  <si>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</si>
  <si>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</si>
  <si>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</si>
  <si>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</si>
  <si>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</si>
  <si>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</si>
  <si>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</si>
  <si>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</si>
  <si>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</si>
  <si>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</si>
  <si>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</si>
  <si>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</si>
  <si>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</si>
  <si>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</si>
  <si>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</si>
  <si>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</si>
  <si>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</si>
  <si>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</si>
  <si>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</si>
  <si>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</si>
  <si>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</si>
  <si>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</si>
  <si>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</si>
  <si>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</si>
  <si>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</si>
  <si>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</si>
  <si>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</si>
  <si>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</si>
  <si>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</si>
  <si>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</si>
  <si>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</si>
  <si>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</si>
  <si>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</si>
  <si>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</si>
  <si>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</si>
  <si>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</si>
  <si>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</si>
  <si>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</si>
  <si>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</si>
  <si>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</si>
  <si>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</si>
  <si>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</si>
  <si>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</si>
  <si>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</si>
  <si>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</si>
  <si>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</si>
  <si>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</si>
  <si>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</si>
  <si>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</si>
  <si>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</si>
  <si>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</si>
  <si>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</si>
  <si>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</si>
  <si>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</si>
  <si>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</si>
  <si>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</si>
  <si>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</si>
  <si>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</si>
  <si>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</si>
  <si>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</si>
  <si>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</si>
  <si>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</si>
  <si>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</si>
  <si>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</si>
  <si>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</si>
  <si>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</si>
  <si>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</si>
  <si>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</si>
  <si>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</si>
  <si>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</si>
  <si>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</si>
  <si>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</si>
  <si>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</si>
  <si>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</si>
  <si>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</si>
  <si>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</si>
  <si>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</si>
  <si>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</si>
  <si>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</si>
  <si>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</si>
  <si>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</si>
  <si>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</si>
  <si>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</si>
  <si>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</si>
  <si>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</si>
  <si>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</si>
  <si>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</si>
  <si>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</si>
  <si>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</si>
  <si>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</si>
  <si>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</si>
  <si>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</si>
  <si>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</si>
  <si>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</si>
  <si>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</si>
  <si>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</si>
  <si>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</si>
  <si>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</si>
  <si>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</si>
  <si>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</si>
  <si>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</si>
  <si>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</si>
  <si>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</si>
  <si>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</si>
  <si>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</si>
  <si>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</si>
  <si>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</si>
  <si>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</si>
  <si>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</si>
  <si>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</si>
  <si>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</si>
  <si>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</si>
  <si>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</si>
  <si>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</si>
  <si>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</si>
  <si>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</si>
  <si>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</si>
  <si>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</si>
  <si>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</si>
  <si>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</si>
  <si>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</si>
  <si>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</si>
  <si>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</si>
  <si>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</si>
  <si>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</si>
  <si>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</si>
  <si>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</si>
  <si>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</si>
  <si>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</si>
  <si>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</si>
  <si>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</si>
  <si>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</si>
  <si>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</si>
  <si>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</si>
  <si>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</si>
  <si>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</si>
  <si>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</si>
  <si>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</si>
  <si>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</si>
  <si>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</si>
  <si>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</si>
  <si>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</si>
  <si>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</si>
  <si>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</si>
  <si>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</si>
  <si>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</si>
  <si>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</si>
  <si>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</si>
  <si>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</si>
  <si>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</si>
  <si>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</si>
  <si>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</si>
  <si>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</si>
  <si>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</si>
  <si>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</si>
  <si>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</si>
  <si>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</si>
  <si>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</si>
  <si>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</si>
  <si>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</si>
  <si>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</si>
  <si>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</si>
  <si>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</si>
  <si>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</si>
  <si>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</si>
  <si>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</si>
  <si>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</si>
  <si>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</si>
  <si>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</si>
  <si>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</si>
  <si>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</si>
  <si>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</si>
  <si>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</si>
  <si>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</si>
  <si>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</si>
  <si>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</si>
  <si>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</si>
  <si>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</si>
  <si>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</si>
  <si>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</si>
  <si>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</si>
  <si>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</si>
  <si>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</si>
  <si>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</si>
  <si>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</si>
  <si>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</si>
  <si>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</si>
  <si>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</si>
  <si>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</si>
  <si>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</si>
  <si>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</si>
  <si>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</si>
  <si>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</si>
  <si>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</si>
  <si>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</si>
  <si>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</si>
  <si>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</si>
  <si>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</si>
  <si>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</si>
  <si>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</si>
  <si>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</si>
  <si>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</si>
  <si>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</si>
  <si>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</si>
  <si>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</si>
  <si>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</si>
  <si>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</si>
  <si>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</si>
  <si>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</si>
  <si>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</si>
  <si>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</si>
  <si>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</si>
  <si>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</si>
  <si>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</si>
  <si>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</si>
  <si>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</si>
  <si>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</si>
  <si>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</si>
  <si>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</si>
  <si>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</si>
  <si>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</si>
  <si>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</si>
  <si>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</si>
  <si>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</si>
  <si>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</si>
  <si>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</si>
  <si>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</si>
  <si>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</si>
  <si>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</si>
  <si>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</si>
  <si>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</si>
  <si>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</si>
  <si>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</si>
  <si>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</si>
  <si>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</si>
  <si>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</si>
  <si>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</si>
  <si>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</si>
  <si>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</si>
  <si>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</si>
  <si>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</si>
  <si>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</si>
  <si>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</si>
  <si>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</si>
  <si>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</si>
  <si>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</si>
  <si>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</si>
  <si>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</si>
  <si>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</si>
  <si>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</si>
  <si>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</si>
  <si>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</si>
  <si>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</si>
  <si>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</si>
  <si>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</si>
  <si>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</si>
  <si>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</si>
  <si>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</si>
  <si>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</si>
  <si>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</si>
  <si>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</si>
  <si>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</si>
  <si>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</si>
  <si>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</si>
  <si>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</si>
  <si>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</si>
  <si>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</si>
  <si>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</si>
  <si>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</si>
  <si>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</si>
  <si>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</si>
  <si>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</si>
  <si>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</si>
  <si>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</si>
  <si>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</si>
  <si>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</si>
  <si>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</si>
  <si>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</si>
  <si>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</si>
  <si>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</si>
  <si>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</si>
  <si>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</si>
  <si>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</si>
  <si>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</si>
  <si>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</si>
  <si>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</si>
  <si>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</si>
  <si>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</si>
  <si>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</si>
  <si>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</si>
  <si>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</si>
  <si>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</si>
  <si>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</si>
  <si>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</si>
  <si>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</si>
  <si>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</si>
  <si>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</si>
  <si>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</si>
  <si>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</si>
  <si>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</si>
  <si>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</si>
  <si>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</si>
  <si>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</si>
  <si>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</si>
  <si>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</si>
  <si>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</si>
  <si>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</si>
  <si>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</si>
  <si>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</si>
  <si>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</si>
  <si>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</si>
  <si>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</si>
  <si>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</si>
  <si>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</si>
  <si>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</si>
  <si>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</si>
  <si>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</si>
  <si>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</si>
  <si>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</si>
  <si>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</si>
  <si>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</si>
  <si>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</si>
  <si>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</si>
  <si>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</si>
  <si>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</si>
  <si>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</si>
  <si>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</si>
  <si>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</si>
  <si>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</si>
  <si>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</si>
  <si>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</si>
  <si>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</si>
  <si>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</si>
  <si>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</si>
  <si>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</si>
  <si>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</si>
  <si>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</si>
  <si>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</si>
  <si>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</si>
  <si>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</si>
  <si>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</si>
  <si>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</si>
  <si>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</si>
  <si>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</si>
  <si>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</si>
  <si>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</si>
  <si>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</si>
  <si>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</si>
  <si>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</si>
  <si>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</si>
  <si>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</si>
  <si>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</si>
  <si>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</si>
  <si>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</si>
  <si>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</si>
  <si>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</si>
  <si>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</si>
  <si>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</si>
  <si>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</si>
  <si>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</si>
  <si>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</si>
  <si>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</si>
  <si>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</si>
  <si>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</si>
  <si>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</si>
  <si>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</si>
  <si>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</si>
  <si>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</si>
  <si>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</si>
  <si>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</si>
  <si>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</si>
  <si>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</si>
  <si>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</si>
  <si>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</si>
  <si>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</si>
  <si>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</si>
  <si>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</si>
  <si>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</si>
  <si>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</si>
  <si>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</si>
  <si>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</si>
  <si>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</si>
  <si>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</si>
  <si>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</si>
  <si>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</si>
  <si>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</si>
  <si>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</si>
  <si>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</si>
  <si>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</si>
  <si>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</si>
  <si>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</si>
  <si>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</si>
  <si>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</si>
  <si>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</si>
  <si>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</si>
  <si>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</si>
  <si>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</si>
  <si>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</si>
  <si>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</si>
  <si>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</si>
  <si>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</si>
  <si>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</si>
  <si>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</si>
  <si>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</si>
  <si>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</si>
  <si>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</si>
  <si>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</si>
  <si>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</si>
  <si>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</si>
  <si>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</si>
  <si>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</si>
  <si>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</si>
  <si>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</si>
  <si>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</si>
  <si>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</si>
  <si>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</si>
  <si>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</si>
  <si>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</si>
  <si>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</si>
  <si>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</si>
  <si>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</si>
  <si>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</si>
  <si>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</si>
  <si>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</si>
  <si>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</si>
  <si>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</si>
  <si>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</si>
  <si>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</si>
  <si>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</si>
  <si>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</si>
  <si>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</si>
  <si>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</si>
  <si>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</si>
  <si>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</si>
  <si>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</si>
  <si>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</si>
  <si>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</si>
  <si>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</si>
  <si>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</si>
  <si>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</si>
  <si>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</si>
  <si>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</si>
  <si>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</si>
  <si>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</si>
  <si>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</si>
  <si>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</si>
  <si>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</si>
  <si>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</si>
  <si>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</si>
  <si>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</si>
  <si>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</si>
  <si>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</si>
  <si>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</si>
  <si>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</si>
  <si>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</si>
  <si>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</si>
  <si>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</si>
  <si>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</si>
  <si>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</si>
  <si>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</si>
  <si>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</si>
  <si>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</si>
  <si>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</si>
  <si>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</si>
  <si>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</si>
  <si>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</si>
  <si>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</si>
  <si>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</si>
  <si>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</si>
  <si>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</si>
  <si>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</si>
  <si>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</si>
  <si>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</si>
  <si>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</si>
  <si>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</si>
  <si>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</si>
  <si>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</si>
  <si>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</si>
  <si>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</si>
  <si>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</si>
  <si>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</si>
  <si>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</si>
  <si>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</si>
  <si>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</si>
  <si>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</si>
  <si>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</si>
  <si>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</si>
  <si>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</si>
  <si>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</si>
  <si>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</si>
  <si>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</si>
  <si>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</si>
  <si>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</si>
  <si>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</si>
  <si>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</si>
  <si>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</si>
  <si>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</si>
  <si>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</si>
  <si>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</si>
  <si>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</si>
  <si>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</si>
  <si>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</si>
  <si>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</si>
  <si>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</si>
  <si>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</si>
  <si>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</si>
  <si>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</si>
  <si>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</si>
  <si>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</si>
  <si>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</si>
  <si>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</si>
  <si>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</si>
  <si>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</si>
  <si>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</si>
  <si>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</si>
  <si>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</si>
  <si>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</si>
  <si>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</si>
  <si>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</si>
  <si>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</si>
  <si>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</si>
  <si>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</si>
  <si>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</si>
  <si>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</si>
  <si>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</si>
  <si>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</si>
  <si>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</si>
  <si>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</si>
  <si>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</si>
  <si>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</si>
  <si>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</si>
  <si>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</si>
  <si>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</si>
  <si>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</si>
  <si>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</si>
  <si>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</si>
  <si>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</si>
  <si>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</si>
  <si>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</si>
  <si>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</si>
  <si>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</si>
  <si>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</si>
  <si>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</si>
  <si>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</si>
  <si>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</si>
  <si>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</si>
  <si>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</si>
  <si>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</si>
  <si>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</si>
  <si>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</si>
  <si>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</si>
  <si>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</si>
  <si>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</si>
  <si>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</si>
  <si>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</si>
  <si>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</si>
  <si>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</si>
  <si>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</si>
  <si>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</si>
  <si>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</si>
  <si>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</si>
  <si>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</si>
  <si>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</si>
  <si>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</si>
  <si>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</si>
  <si>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</si>
  <si>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</si>
  <si>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</si>
  <si>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</si>
  <si>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</si>
  <si>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</si>
  <si>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</si>
  <si>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</si>
  <si>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</si>
  <si>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</si>
  <si>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</si>
  <si>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</si>
  <si>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</si>
  <si>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</si>
  <si>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</si>
  <si>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</si>
  <si>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</si>
  <si>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</si>
  <si>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</si>
  <si>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</si>
  <si>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</si>
  <si>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</si>
  <si>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</si>
  <si>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</si>
  <si>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</si>
  <si>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</si>
  <si>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</si>
  <si>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</si>
  <si>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</si>
  <si>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</si>
  <si>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</si>
  <si>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</si>
  <si>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</si>
  <si>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</si>
  <si>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</si>
  <si>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</si>
  <si>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</si>
  <si>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</si>
  <si>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</si>
  <si>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</si>
  <si>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</si>
  <si>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</si>
  <si>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</si>
  <si>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</si>
  <si>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</si>
  <si>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</si>
  <si>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</si>
  <si>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</si>
  <si>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</si>
  <si>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</si>
  <si>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</si>
  <si>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</si>
  <si>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</si>
  <si>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</si>
  <si>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</si>
  <si>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</si>
  <si>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</si>
  <si>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</si>
  <si>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</si>
  <si>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</si>
  <si>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</si>
  <si>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</si>
  <si>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</si>
  <si>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</si>
  <si>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</si>
  <si>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</si>
  <si>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</si>
  <si>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</si>
  <si>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</si>
  <si>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</si>
  <si>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</si>
  <si>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</si>
  <si>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</si>
  <si>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</si>
  <si>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</si>
  <si>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</si>
  <si>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</si>
  <si>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</si>
  <si>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</si>
  <si>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</si>
  <si>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</si>
  <si>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</si>
  <si>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</si>
  <si>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</si>
  <si>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</si>
  <si>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</si>
  <si>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</si>
  <si>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</si>
  <si>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</si>
  <si>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</si>
  <si>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</si>
  <si>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</si>
  <si>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</si>
  <si>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</si>
  <si>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</si>
  <si>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</si>
  <si>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</si>
  <si>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</si>
  <si>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</si>
  <si>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</si>
  <si>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</si>
  <si>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</si>
  <si>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</si>
  <si>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</si>
  <si>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</si>
  <si>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</si>
  <si>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</si>
  <si>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</si>
  <si>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</si>
  <si>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</si>
  <si>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</si>
  <si>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</si>
  <si>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</si>
  <si>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</si>
  <si>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</si>
  <si>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</si>
  <si>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</si>
  <si>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</si>
  <si>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</si>
  <si>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</si>
  <si>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</si>
  <si>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</si>
  <si>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</si>
  <si>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</si>
  <si>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</si>
  <si>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</si>
  <si>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</si>
  <si>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</si>
  <si>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</si>
  <si>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</si>
  <si>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</si>
  <si>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</si>
  <si>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</si>
  <si>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</si>
  <si>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</si>
  <si>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</si>
  <si>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</si>
  <si>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</si>
  <si>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</si>
  <si>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</si>
  <si>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</si>
  <si>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</si>
  <si>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</si>
  <si>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</si>
  <si>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</si>
  <si>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</si>
  <si>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</si>
  <si>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</si>
  <si>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</si>
  <si>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</si>
  <si>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</si>
  <si>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</si>
  <si>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</si>
  <si>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</si>
  <si>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</si>
  <si>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</si>
  <si>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</si>
  <si>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</si>
  <si>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</si>
  <si>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</si>
  <si>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</si>
  <si>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</si>
  <si>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</si>
  <si>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</si>
  <si>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</si>
  <si>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</si>
  <si>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</si>
  <si>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</si>
  <si>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</si>
  <si>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</si>
  <si>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</si>
  <si>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</si>
  <si>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</si>
  <si>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</si>
  <si>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</si>
  <si>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</si>
  <si>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</si>
  <si>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</si>
  <si>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</si>
  <si>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</si>
  <si>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</si>
  <si>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</si>
  <si>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</si>
  <si>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</si>
  <si>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</si>
  <si>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</si>
  <si>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</si>
  <si>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</si>
  <si>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</si>
  <si>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</si>
  <si>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</si>
  <si>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</si>
  <si>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</si>
  <si>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</si>
  <si>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</si>
  <si>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</si>
  <si>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</si>
  <si>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</si>
  <si>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</si>
  <si>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</si>
  <si>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</si>
  <si>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</si>
  <si>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</si>
  <si>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</si>
  <si>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</si>
  <si>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</si>
  <si>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</si>
  <si>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</si>
  <si>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</si>
  <si>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</si>
  <si>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</si>
  <si>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</si>
  <si>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</si>
  <si>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</si>
  <si>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</si>
  <si>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</si>
  <si>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</si>
  <si>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</si>
  <si>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</si>
  <si>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</si>
  <si>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</si>
  <si>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</si>
  <si>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</si>
  <si>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</si>
  <si>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</si>
  <si>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</si>
  <si>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</si>
  <si>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</si>
  <si>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</si>
  <si>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</si>
  <si>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</si>
  <si>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</si>
  <si>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</si>
  <si>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</si>
  <si>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</si>
  <si>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</si>
  <si>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</si>
  <si>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</si>
  <si>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</si>
  <si>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</si>
  <si>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</si>
  <si>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</si>
  <si>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</si>
  <si>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</si>
  <si>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</si>
  <si>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</si>
  <si>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</si>
  <si>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</si>
  <si>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</si>
  <si>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</si>
  <si>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</si>
  <si>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</si>
  <si>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</si>
  <si>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</si>
  <si>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</si>
  <si>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</si>
  <si>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</si>
  <si>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</si>
  <si>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</si>
  <si>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</si>
  <si>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</si>
  <si>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</si>
  <si>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</si>
  <si>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</si>
  <si>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</si>
  <si>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</si>
  <si>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</si>
  <si>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</si>
  <si>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</si>
  <si>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</si>
  <si>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</si>
  <si>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</si>
  <si>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</si>
  <si>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</si>
  <si>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</si>
  <si>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</si>
  <si>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</si>
  <si>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</si>
  <si>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</si>
  <si>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</si>
  <si>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</si>
  <si>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</si>
  <si>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</si>
  <si>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</si>
  <si>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</si>
  <si>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</si>
  <si>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</si>
  <si>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</si>
  <si>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</si>
  <si>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</si>
  <si>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</si>
  <si>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</si>
  <si>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</si>
  <si>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</si>
  <si>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</si>
  <si>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</si>
  <si>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</si>
  <si>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</si>
  <si>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</si>
  <si>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</si>
  <si>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</si>
  <si>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</si>
  <si>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</si>
  <si>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</si>
  <si>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</si>
  <si>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</si>
  <si>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</si>
  <si>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</si>
  <si>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</si>
  <si>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</si>
  <si>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</si>
  <si>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</si>
  <si>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</si>
  <si>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</si>
  <si>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</si>
  <si>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</si>
  <si>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</si>
  <si>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</si>
  <si>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</si>
  <si>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</si>
  <si>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</si>
  <si>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</si>
  <si>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</si>
  <si>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</si>
  <si>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</si>
  <si>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</si>
  <si>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</si>
  <si>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</si>
  <si>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</si>
  <si>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</si>
  <si>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</si>
  <si>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</si>
  <si>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</si>
  <si>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</si>
  <si>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</si>
  <si>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</si>
  <si>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</si>
  <si>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</si>
  <si>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</si>
  <si>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</si>
  <si>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</si>
  <si>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</si>
  <si>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</si>
  <si>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</si>
  <si>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</si>
  <si>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</si>
  <si>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</si>
  <si>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</si>
  <si>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</si>
  <si>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</si>
  <si>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</si>
  <si>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</si>
  <si>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</si>
  <si>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</si>
  <si>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</si>
  <si>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</si>
  <si>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</si>
  <si>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</si>
  <si>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</si>
  <si>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</si>
  <si>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</si>
  <si>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</si>
  <si>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</si>
  <si>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</si>
  <si>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</si>
  <si>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</si>
  <si>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</si>
  <si>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</si>
  <si>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</si>
  <si>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</si>
  <si>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</si>
  <si>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</si>
  <si>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</si>
  <si>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</si>
  <si>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</si>
  <si>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</si>
  <si>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</si>
  <si>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</si>
  <si>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</si>
  <si>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</si>
  <si>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</si>
  <si>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</si>
  <si>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</si>
  <si>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</si>
  <si>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</si>
  <si>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</si>
  <si>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</si>
  <si>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</si>
  <si>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</si>
  <si>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</si>
  <si>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</si>
  <si>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</si>
  <si>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</si>
  <si>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</si>
  <si>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</si>
  <si>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</si>
  <si>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</si>
  <si>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</si>
  <si>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</si>
  <si>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</si>
  <si>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</si>
  <si>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</si>
  <si>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</si>
  <si>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</si>
  <si>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</si>
  <si>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</si>
  <si>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</si>
  <si>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</si>
  <si>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</si>
  <si>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</si>
  <si>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</si>
  <si>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</si>
  <si>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</si>
  <si>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</si>
  <si>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</si>
  <si>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</si>
  <si>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</si>
  <si>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</si>
  <si>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</si>
  <si>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</si>
  <si>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</si>
  <si>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</si>
  <si>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</si>
  <si>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</si>
  <si>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</si>
  <si>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</si>
  <si>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</si>
  <si>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</si>
  <si>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</si>
  <si>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</si>
  <si>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</si>
  <si>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</si>
  <si>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</si>
  <si>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</si>
  <si>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</si>
  <si>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</si>
  <si>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</si>
  <si>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</si>
  <si>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</si>
  <si>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</si>
  <si>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</si>
  <si>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</si>
  <si>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</si>
  <si>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</si>
  <si>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</si>
  <si>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</si>
  <si>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</si>
  <si>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</si>
  <si>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</si>
  <si>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</si>
  <si>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</si>
  <si>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</si>
  <si>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</si>
  <si>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</si>
  <si>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</si>
  <si>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</si>
  <si>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</si>
  <si>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</si>
  <si>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</si>
  <si>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</si>
  <si>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</si>
  <si>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</si>
  <si>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</si>
  <si>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</si>
  <si>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</si>
  <si>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</si>
  <si>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</si>
  <si>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</si>
  <si>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</si>
  <si>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</si>
  <si>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</si>
  <si>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</si>
  <si>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</si>
  <si>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</si>
  <si>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</si>
  <si>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</si>
  <si>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</si>
  <si>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</si>
  <si>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</si>
  <si>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</si>
  <si>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</si>
  <si>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</si>
  <si>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</si>
  <si>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</si>
  <si>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</si>
  <si>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</si>
  <si>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</si>
  <si>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</si>
  <si>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</si>
  <si>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</si>
  <si>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</si>
  <si>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</si>
  <si>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</si>
  <si>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</si>
  <si>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</si>
  <si>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</si>
  <si>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</si>
  <si>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</si>
  <si>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</si>
  <si>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</si>
  <si>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</si>
  <si>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</si>
  <si>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</si>
  <si>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</si>
  <si>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</si>
  <si>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</si>
  <si>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</si>
  <si>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</si>
  <si>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</si>
  <si>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</si>
  <si>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</si>
  <si>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</si>
  <si>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</si>
  <si>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</si>
  <si>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</si>
  <si>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</si>
  <si>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</si>
  <si>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</si>
  <si>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</si>
  <si>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</si>
  <si>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</si>
  <si>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</si>
  <si>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</si>
  <si>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</si>
  <si>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</si>
  <si>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</si>
  <si>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</si>
  <si>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</si>
  <si>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</si>
  <si>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</si>
  <si>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</si>
  <si>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</si>
  <si>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</si>
  <si>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</si>
  <si>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</si>
  <si>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</si>
  <si>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</si>
  <si>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</si>
  <si>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</si>
  <si>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</si>
  <si>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</si>
  <si>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</si>
  <si>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</si>
  <si>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</si>
  <si>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</si>
  <si>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</si>
  <si>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</si>
  <si>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</si>
  <si>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</si>
  <si>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</si>
  <si>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</si>
  <si>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</si>
  <si>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</si>
  <si>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</si>
  <si>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</si>
  <si>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</si>
  <si>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</si>
  <si>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</si>
  <si>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</si>
  <si>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</si>
  <si>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</si>
  <si>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</si>
  <si>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</si>
  <si>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</si>
  <si>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</si>
  <si>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</si>
  <si>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</si>
  <si>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</si>
  <si>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</si>
  <si>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</si>
  <si>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</si>
  <si>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</si>
  <si>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</si>
  <si>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</si>
  <si>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</si>
  <si>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</si>
  <si>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</si>
  <si>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</si>
  <si>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</si>
  <si>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</si>
  <si>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</si>
  <si>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</si>
  <si>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</si>
  <si>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</si>
  <si>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</si>
  <si>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</si>
  <si>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</si>
  <si>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</si>
  <si>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</si>
  <si>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</si>
  <si>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</si>
  <si>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</si>
  <si>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</si>
  <si>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</si>
  <si>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</si>
  <si>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</si>
  <si>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</si>
  <si>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</si>
  <si>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</si>
  <si>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</si>
  <si>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</si>
  <si>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</si>
  <si>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</si>
  <si>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</si>
  <si>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</si>
  <si>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</si>
  <si>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</si>
  <si>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</si>
  <si>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</si>
  <si>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</si>
  <si>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</si>
  <si>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</si>
  <si>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</si>
  <si>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</si>
  <si>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</si>
  <si>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</si>
  <si>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</si>
  <si>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</si>
  <si>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</si>
  <si>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</si>
  <si>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</si>
  <si>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</si>
  <si>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</si>
  <si>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</si>
  <si>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</si>
  <si>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</si>
  <si>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</si>
  <si>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</si>
  <si>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</si>
  <si>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</si>
  <si>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</si>
  <si>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</si>
  <si>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</si>
  <si>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</si>
  <si>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</si>
  <si>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</si>
  <si>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</si>
  <si>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</si>
  <si>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</si>
  <si>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</si>
  <si>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</si>
  <si>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</si>
  <si>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</si>
  <si>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</si>
  <si>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</si>
  <si>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</si>
  <si>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</si>
  <si>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</si>
  <si>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</si>
  <si>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</si>
  <si>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</si>
  <si>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</si>
  <si>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</si>
  <si>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</si>
  <si>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</si>
  <si>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</si>
  <si>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</si>
  <si>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</si>
  <si>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</si>
  <si>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</si>
  <si>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</si>
  <si>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</si>
  <si>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</si>
  <si>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</si>
  <si>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</si>
  <si>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</si>
  <si>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</si>
  <si>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</si>
  <si>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</si>
  <si>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</si>
  <si>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</si>
  <si>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</si>
  <si>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</si>
  <si>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</si>
  <si>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</si>
  <si>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</si>
  <si>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</si>
  <si>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</si>
  <si>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</si>
  <si>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</si>
  <si>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</si>
  <si>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</si>
  <si>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</si>
  <si>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</si>
  <si>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</si>
  <si>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</si>
  <si>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</si>
  <si>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</si>
  <si>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</si>
  <si>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</si>
  <si>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</si>
  <si>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</si>
  <si>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</si>
  <si>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</si>
  <si>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</si>
  <si>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</si>
  <si>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</si>
  <si>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</si>
  <si>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</si>
  <si>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</si>
  <si>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</si>
  <si>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</si>
  <si>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</si>
  <si>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</si>
  <si>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</si>
  <si>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</si>
  <si>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</si>
  <si>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</si>
  <si>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</si>
  <si>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</si>
  <si>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</si>
  <si>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</si>
  <si>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</si>
  <si>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</si>
  <si>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</si>
  <si>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</si>
  <si>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</si>
  <si>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</si>
  <si>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</si>
  <si>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</si>
  <si>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</si>
  <si>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</si>
  <si>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</si>
  <si>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</si>
  <si>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</si>
  <si>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</si>
  <si>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</si>
  <si>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</si>
  <si>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</si>
  <si>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</si>
  <si>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</si>
  <si>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</si>
  <si>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</si>
  <si>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</si>
  <si>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</si>
  <si>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</si>
  <si>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</si>
  <si>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</si>
  <si>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</si>
  <si>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</si>
  <si>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</si>
  <si>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</si>
  <si>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</si>
  <si>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</si>
  <si>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</si>
  <si>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</si>
  <si>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</si>
  <si>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</si>
  <si>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</si>
  <si>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</si>
  <si>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</si>
  <si>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</si>
  <si>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</si>
  <si>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</si>
  <si>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</si>
  <si>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</si>
  <si>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</si>
  <si>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</si>
  <si>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</si>
  <si>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</si>
  <si>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</si>
  <si>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</si>
  <si>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</si>
  <si>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</si>
  <si>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</si>
  <si>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</si>
  <si>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</si>
  <si>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</si>
  <si>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</si>
  <si>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</si>
  <si>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</si>
  <si>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</si>
  <si>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</si>
  <si>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</si>
  <si>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</si>
  <si>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</si>
  <si>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</si>
  <si>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</si>
  <si>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</si>
  <si>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</si>
  <si>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</si>
  <si>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</si>
  <si>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</si>
  <si>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</si>
  <si>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</si>
  <si>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</si>
  <si>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</si>
  <si>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</si>
  <si>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</si>
  <si>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</si>
  <si>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</si>
  <si>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</si>
  <si>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</si>
  <si>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</si>
  <si>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</si>
  <si>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</si>
  <si>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</si>
  <si>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</si>
  <si>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</si>
  <si>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</si>
  <si>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</si>
  <si>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</si>
  <si>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</si>
  <si>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</si>
  <si>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</si>
  <si>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</si>
  <si>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</si>
  <si>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</si>
  <si>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</si>
  <si>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</si>
  <si>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</si>
  <si>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</si>
  <si>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</si>
  <si>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</si>
  <si>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</si>
  <si>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</si>
  <si>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</si>
  <si>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</si>
  <si>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</si>
  <si>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</si>
  <si>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</si>
  <si>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</si>
  <si>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</si>
  <si>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</si>
  <si>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</si>
  <si>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</si>
  <si>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</si>
  <si>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</si>
  <si>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</si>
  <si>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</si>
  <si>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</si>
  <si>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</si>
  <si>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</si>
  <si>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</si>
  <si>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</si>
  <si>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</si>
  <si>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</si>
  <si>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</si>
  <si>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</si>
  <si>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</si>
  <si>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</si>
  <si>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</si>
  <si>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</si>
  <si>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</si>
  <si>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</si>
  <si>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</si>
  <si>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</si>
  <si>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</si>
  <si>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</si>
  <si>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</si>
  <si>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</si>
  <si>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</si>
  <si>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</si>
  <si>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</si>
  <si>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</si>
  <si>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</si>
  <si>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</si>
  <si>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</si>
  <si>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</si>
  <si>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</si>
  <si>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</si>
  <si>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</si>
  <si>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</si>
  <si>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</si>
  <si>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</si>
  <si>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</si>
  <si>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</si>
  <si>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</si>
  <si>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</si>
  <si>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</si>
  <si>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</si>
  <si>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</si>
  <si>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</si>
  <si>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</si>
  <si>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</si>
  <si>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</si>
  <si>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</si>
  <si>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</si>
  <si>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</si>
  <si>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</si>
  <si>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</si>
  <si>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</si>
  <si>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</si>
  <si>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</si>
  <si>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</si>
  <si>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</si>
  <si>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</si>
  <si>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</si>
  <si>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</si>
  <si>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</si>
  <si>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</si>
  <si>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</si>
  <si>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</si>
  <si>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</si>
  <si>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</si>
  <si>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</si>
  <si>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</si>
  <si>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</si>
  <si>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</si>
  <si>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</si>
  <si>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</si>
  <si>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</si>
  <si>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</si>
  <si>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</si>
  <si>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</si>
  <si>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</si>
  <si>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</si>
  <si>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</si>
  <si>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</si>
  <si>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</si>
  <si>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</si>
  <si>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</si>
  <si>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</si>
  <si>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</si>
  <si>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</si>
  <si>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</si>
  <si>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</si>
  <si>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</si>
  <si>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</si>
  <si>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</si>
  <si>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</si>
  <si>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</si>
  <si>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</si>
  <si>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</si>
  <si>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</si>
  <si>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</si>
  <si>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</si>
  <si>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</si>
  <si>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</si>
  <si>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</si>
  <si>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</si>
  <si>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</si>
  <si>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</si>
  <si>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</si>
  <si>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</si>
  <si>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</si>
  <si>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</si>
  <si>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</si>
  <si>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</si>
  <si>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</si>
  <si>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</si>
  <si>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</si>
  <si>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</si>
  <si>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</si>
  <si>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</si>
  <si>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</si>
  <si>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</si>
  <si>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</si>
  <si>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</si>
  <si>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</si>
  <si>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</si>
  <si>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</si>
  <si>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</si>
  <si>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</si>
  <si>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</si>
  <si>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</si>
  <si>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</si>
  <si>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</si>
  <si>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</si>
  <si>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</si>
  <si>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</si>
  <si>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</si>
  <si>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</si>
  <si>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</si>
  <si>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</si>
  <si>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</si>
  <si>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</si>
  <si>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</si>
  <si>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</si>
  <si>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</si>
  <si>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</si>
  <si>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</si>
  <si>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</si>
  <si>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</si>
  <si>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</si>
  <si>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</si>
  <si>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</si>
  <si>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</si>
  <si>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</si>
  <si>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</si>
  <si>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</si>
  <si>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</si>
  <si>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</si>
  <si>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</si>
  <si>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</si>
  <si>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</si>
  <si>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</si>
  <si>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</si>
  <si>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</si>
  <si>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</si>
  <si>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</si>
  <si>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</si>
  <si>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</si>
  <si>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</si>
  <si>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</si>
  <si>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</si>
  <si>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</si>
  <si>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</si>
  <si>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</si>
  <si>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</si>
  <si>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</si>
  <si>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</si>
  <si>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</si>
  <si>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</si>
  <si>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</si>
  <si>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</si>
  <si>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</si>
  <si>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</si>
  <si>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</si>
  <si>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</si>
  <si>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</si>
  <si>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</si>
  <si>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</si>
  <si>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</si>
  <si>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</si>
  <si>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</si>
  <si>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</si>
  <si>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</si>
  <si>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</si>
  <si>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</si>
  <si>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</si>
  <si>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</si>
  <si>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</si>
  <si>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</si>
  <si>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</si>
  <si>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</si>
  <si>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</si>
  <si>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</si>
  <si>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</si>
  <si>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</si>
  <si>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</si>
  <si>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</si>
  <si>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</si>
  <si>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</si>
  <si>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</si>
  <si>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</si>
  <si>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</si>
  <si>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</si>
  <si>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</si>
  <si>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</si>
  <si>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</si>
  <si>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</si>
  <si>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</si>
  <si>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</si>
  <si>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</si>
  <si>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</si>
  <si>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</si>
  <si>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</si>
  <si>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</si>
  <si>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</si>
  <si>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</si>
  <si>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</si>
  <si>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</si>
  <si>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</si>
  <si>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</si>
  <si>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</si>
  <si>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</si>
  <si>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</si>
  <si>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</si>
  <si>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</si>
  <si>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</si>
  <si>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</si>
  <si>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</si>
  <si>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</si>
  <si>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</si>
  <si>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</si>
  <si>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</si>
  <si>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</si>
  <si>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</si>
  <si>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</si>
  <si>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</si>
  <si>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</si>
  <si>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</si>
  <si>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</si>
  <si>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</si>
  <si>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</si>
  <si>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</si>
  <si>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</si>
  <si>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</si>
  <si>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</si>
  <si>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</si>
  <si>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</si>
  <si>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</si>
  <si>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</si>
  <si>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</si>
  <si>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</si>
  <si>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</si>
  <si>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</si>
  <si>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</si>
  <si>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</si>
  <si>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</si>
  <si>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</si>
  <si>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</si>
  <si>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</si>
  <si>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</si>
  <si>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</si>
  <si>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</si>
  <si>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</si>
  <si>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</si>
  <si>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</si>
  <si>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</si>
  <si>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</si>
  <si>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</si>
  <si>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</si>
  <si>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</si>
  <si>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</si>
  <si>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</si>
  <si>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</si>
  <si>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</si>
  <si>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</si>
  <si>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</si>
  <si>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</si>
  <si>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</si>
  <si>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</si>
  <si>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</si>
  <si>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</si>
  <si>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</si>
  <si>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</si>
  <si>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</si>
  <si>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</si>
  <si>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</si>
  <si>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</si>
  <si>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</si>
  <si>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</si>
  <si>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</si>
  <si>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</si>
  <si>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</si>
  <si>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</si>
  <si>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</si>
  <si>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</si>
  <si>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</si>
  <si>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</si>
  <si>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</si>
  <si>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</si>
  <si>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</si>
  <si>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</si>
  <si>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</si>
  <si>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</si>
  <si>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</si>
  <si>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</si>
  <si>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</si>
  <si>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</si>
  <si>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</si>
  <si>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</si>
  <si>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</si>
  <si>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</si>
  <si>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</si>
  <si>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</si>
  <si>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</si>
  <si>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</si>
  <si>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</si>
  <si>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</si>
  <si>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</si>
  <si>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</si>
  <si>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</si>
  <si>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</si>
  <si>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</si>
  <si>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</si>
  <si>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</si>
  <si>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</si>
  <si>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</si>
  <si>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</si>
  <si>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</si>
  <si>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</si>
  <si>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</si>
  <si>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</si>
  <si>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</si>
  <si>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</si>
  <si>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</si>
  <si>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</si>
  <si>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</si>
  <si>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</si>
  <si>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</si>
  <si>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</si>
  <si>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</si>
  <si>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</si>
  <si>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</si>
  <si>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</si>
  <si>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</si>
  <si>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</si>
  <si>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</si>
  <si>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</si>
  <si>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</si>
  <si>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</si>
  <si>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</si>
  <si>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</si>
  <si>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</si>
  <si>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</si>
  <si>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</si>
  <si>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</si>
  <si>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</si>
  <si>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</si>
  <si>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</si>
  <si>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</si>
  <si>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</si>
  <si>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</si>
  <si>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</si>
  <si>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</si>
  <si>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</si>
  <si>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</si>
  <si>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</si>
  <si>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</si>
  <si>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</si>
  <si>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</si>
  <si>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</si>
  <si>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</si>
  <si>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</si>
  <si>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</si>
  <si>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</si>
  <si>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</si>
  <si>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</si>
  <si>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</si>
  <si>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</si>
  <si>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</si>
  <si>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</si>
  <si>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</si>
  <si>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</si>
  <si>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</si>
  <si>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</si>
  <si>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</si>
  <si>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</si>
  <si>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</si>
  <si>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</si>
  <si>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</si>
  <si>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</si>
  <si>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</si>
  <si>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</si>
  <si>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</si>
  <si>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</si>
  <si>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</si>
  <si>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</si>
  <si>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</si>
  <si>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</si>
  <si>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</si>
  <si>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</si>
  <si>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</si>
  <si>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</si>
  <si>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</si>
  <si>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</si>
  <si>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</si>
  <si>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</si>
  <si>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</si>
  <si>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</si>
  <si>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</si>
  <si>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</si>
  <si>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</si>
  <si>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</si>
  <si>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</si>
  <si>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</si>
  <si>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</si>
  <si>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</si>
  <si>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</si>
  <si>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</si>
  <si>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</si>
  <si>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</si>
  <si>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</si>
  <si>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</si>
  <si>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</si>
  <si>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</si>
  <si>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</si>
  <si>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</si>
  <si>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</si>
  <si>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</si>
  <si>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</si>
  <si>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</si>
  <si>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</si>
  <si>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</si>
  <si>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</si>
  <si>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</si>
  <si>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</si>
  <si>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</si>
  <si>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</si>
  <si>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</si>
  <si>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</si>
  <si>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</si>
  <si>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</si>
  <si>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</si>
  <si>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</si>
  <si>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</si>
  <si>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</si>
  <si>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</si>
  <si>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</si>
  <si>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</si>
  <si>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</si>
  <si>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</si>
  <si>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</si>
  <si>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</si>
  <si>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</si>
  <si>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</si>
  <si>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</si>
  <si>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</si>
  <si>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</si>
  <si>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</si>
  <si>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</si>
  <si>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</si>
  <si>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</si>
  <si>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</si>
  <si>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</si>
  <si>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</si>
  <si>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</si>
  <si>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</si>
  <si>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</si>
  <si>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</si>
  <si>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</si>
  <si>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</si>
  <si>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</si>
  <si>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</si>
  <si>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</si>
  <si>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</si>
  <si>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</si>
  <si>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</si>
  <si>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</si>
  <si>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</si>
  <si>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</si>
  <si>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</si>
  <si>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</si>
  <si>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</si>
  <si>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</si>
  <si>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</si>
  <si>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</si>
  <si>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</si>
  <si>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</si>
  <si>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</si>
  <si>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</si>
  <si>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</si>
  <si>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</si>
  <si>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</si>
  <si>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</si>
  <si>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</si>
  <si>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</si>
  <si>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</si>
  <si>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</si>
  <si>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</si>
  <si>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</si>
  <si>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</si>
  <si>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</si>
  <si>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</si>
  <si>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</si>
  <si>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</si>
  <si>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</si>
  <si>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</si>
  <si>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</si>
  <si>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</si>
  <si>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</si>
  <si>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</si>
  <si>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</si>
  <si>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</si>
  <si>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</si>
  <si>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</si>
  <si>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</si>
  <si>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</si>
  <si>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</si>
  <si>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</si>
  <si>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</si>
  <si>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</si>
  <si>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</si>
  <si>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</si>
  <si>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</si>
  <si>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</si>
  <si>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</si>
  <si>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</si>
  <si>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</si>
  <si>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</si>
  <si>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</si>
  <si>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</si>
  <si>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</si>
  <si>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</si>
  <si>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</si>
  <si>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</si>
  <si>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</si>
  <si>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</si>
  <si>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</si>
  <si>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</si>
  <si>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</si>
  <si>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</si>
  <si>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</si>
  <si>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</si>
  <si>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</si>
  <si>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</si>
  <si>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</si>
  <si>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</si>
  <si>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</si>
  <si>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</si>
  <si>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</si>
  <si>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</si>
  <si>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</si>
  <si>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</si>
  <si>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</si>
  <si>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</si>
  <si>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</si>
  <si>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</si>
  <si>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</si>
  <si>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</si>
  <si>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</si>
  <si>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</si>
  <si>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</si>
  <si>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</si>
  <si>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</si>
  <si>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</si>
  <si>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</si>
  <si>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</si>
  <si>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</si>
  <si>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</si>
  <si>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</si>
  <si>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</si>
  <si>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</si>
  <si>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</si>
  <si>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</si>
  <si>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</si>
  <si>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</si>
  <si>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</si>
  <si>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</si>
  <si>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</si>
  <si>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</si>
  <si>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</si>
  <si>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</si>
  <si>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</si>
  <si>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</si>
  <si>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</si>
  <si>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</si>
  <si>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</si>
  <si>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</si>
  <si>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</si>
  <si>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</si>
  <si>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</si>
  <si>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</si>
  <si>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</si>
  <si>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</si>
  <si>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</si>
  <si>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</si>
  <si>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</si>
  <si>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</si>
  <si>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</si>
  <si>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</si>
  <si>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</si>
  <si>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</si>
  <si>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</si>
  <si>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</si>
  <si>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</si>
  <si>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</si>
  <si>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</si>
  <si>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</si>
  <si>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</si>
  <si>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</si>
  <si>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</si>
  <si>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</si>
  <si>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</si>
  <si>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</si>
  <si>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</si>
  <si>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</si>
  <si>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</si>
  <si>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</si>
  <si>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</si>
  <si>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</si>
  <si>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</si>
  <si>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</si>
  <si>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</si>
  <si>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</si>
  <si>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</si>
  <si>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</si>
  <si>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</si>
  <si>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</si>
  <si>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</si>
  <si>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</si>
  <si>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</si>
  <si>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</si>
  <si>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</si>
  <si>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</si>
  <si>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</si>
  <si>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</si>
  <si>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</si>
  <si>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</si>
  <si>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</si>
  <si>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</si>
  <si>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</si>
  <si>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</si>
  <si>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</si>
  <si>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</si>
  <si>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</si>
  <si>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</si>
  <si>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</si>
  <si>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</si>
  <si>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</si>
  <si>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</si>
  <si>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</si>
  <si>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</si>
  <si>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</si>
  <si>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</si>
  <si>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</si>
  <si>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</si>
  <si>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</si>
  <si>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</si>
  <si>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</si>
  <si>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</si>
  <si>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</si>
  <si>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</si>
  <si>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</si>
  <si>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</si>
  <si>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</si>
  <si>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</si>
  <si>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</si>
  <si>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</si>
  <si>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</si>
  <si>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</si>
  <si>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</si>
  <si>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</si>
  <si>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</si>
  <si>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</si>
  <si>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</si>
  <si>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</si>
  <si>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</si>
  <si>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</si>
  <si>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</si>
  <si>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</si>
  <si>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</si>
  <si>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</si>
  <si>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</si>
  <si>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</si>
  <si>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</si>
  <si>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</si>
  <si>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</si>
  <si>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</si>
  <si>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</si>
  <si>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</si>
  <si>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</si>
  <si>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</si>
  <si>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</si>
  <si>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</si>
  <si>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</si>
  <si>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</si>
  <si>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</si>
  <si>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</si>
  <si>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</si>
  <si>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</si>
  <si>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</si>
  <si>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</si>
  <si>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</si>
  <si>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</si>
  <si>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</si>
  <si>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</si>
  <si>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</si>
  <si>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</si>
  <si>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</si>
  <si>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</si>
  <si>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</si>
  <si>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</si>
  <si>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</si>
  <si>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</si>
  <si>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</si>
  <si>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</si>
  <si>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</si>
  <si>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</si>
  <si>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</si>
  <si>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</si>
  <si>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</si>
  <si>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</si>
  <si>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</si>
  <si>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</si>
  <si>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</si>
  <si>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</si>
  <si>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</si>
  <si>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</si>
  <si>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</si>
  <si>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</si>
  <si>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</si>
  <si>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</si>
  <si>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</si>
  <si>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</si>
  <si>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</si>
  <si>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</si>
  <si>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</si>
  <si>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</si>
  <si>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</si>
  <si>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</si>
  <si>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</si>
  <si>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</si>
  <si>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</si>
  <si>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</si>
  <si>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</si>
  <si>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</si>
  <si>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</si>
  <si>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</si>
  <si>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</si>
  <si>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</si>
  <si>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</si>
  <si>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</si>
  <si>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</si>
  <si>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</si>
  <si>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</si>
  <si>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</si>
  <si>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</si>
  <si>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</si>
  <si>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</si>
  <si>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</si>
  <si>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</si>
  <si>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</si>
  <si>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</si>
  <si>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</si>
  <si>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</si>
  <si>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</si>
  <si>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</si>
  <si>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</si>
  <si>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</si>
  <si>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</si>
  <si>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</si>
  <si>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</si>
  <si>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</si>
  <si>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</si>
  <si>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</si>
  <si>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</si>
  <si>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</si>
  <si>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</si>
  <si>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</si>
  <si>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</si>
  <si>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</si>
  <si>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</si>
  <si>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</si>
  <si>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</si>
  <si>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</si>
  <si>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</si>
  <si>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</si>
  <si>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</si>
  <si>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</si>
  <si>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</si>
  <si>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</si>
  <si>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</si>
  <si>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</si>
  <si>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</si>
  <si>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</si>
  <si>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</si>
  <si>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</si>
  <si>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</si>
  <si>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</si>
  <si>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</si>
  <si>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</si>
  <si>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</si>
  <si>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</si>
  <si>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</si>
  <si>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</si>
  <si>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</si>
  <si>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</si>
  <si>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</si>
  <si>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</si>
  <si>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</si>
  <si>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</si>
  <si>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</si>
  <si>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</si>
  <si>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</si>
  <si>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</si>
  <si>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</si>
  <si>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</si>
  <si>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</si>
  <si>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</si>
  <si>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</si>
  <si>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</si>
  <si>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</si>
  <si>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</si>
  <si>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</si>
  <si>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</si>
  <si>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</si>
  <si>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</si>
  <si>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</si>
  <si>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</si>
  <si>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</si>
  <si>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</si>
  <si>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</si>
  <si>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</si>
  <si>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</si>
  <si>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</si>
  <si>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</si>
  <si>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</si>
  <si>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</si>
  <si>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</si>
  <si>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</si>
  <si>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</si>
  <si>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</si>
  <si>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</si>
  <si>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</si>
  <si>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</si>
  <si>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</si>
  <si>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</si>
  <si>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</si>
  <si>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</si>
  <si>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</si>
  <si>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</si>
  <si>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</si>
  <si>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</si>
  <si>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</si>
  <si>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</si>
  <si>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</si>
  <si>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</si>
  <si>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</si>
  <si>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</si>
  <si>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</si>
  <si>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</si>
  <si>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</si>
  <si>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</si>
  <si>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</si>
  <si>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</si>
  <si>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</si>
  <si>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</si>
  <si>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</si>
  <si>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</si>
  <si>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</si>
  <si>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</si>
  <si>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</si>
  <si>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</si>
  <si>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</si>
  <si>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</si>
  <si>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</si>
  <si>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</si>
  <si>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</si>
  <si>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</si>
  <si>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</si>
  <si>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</si>
  <si>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</si>
  <si>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</si>
  <si>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</si>
  <si>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</si>
  <si>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</si>
  <si>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</si>
  <si>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</si>
  <si>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</si>
  <si>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</si>
  <si>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</si>
  <si>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</si>
  <si>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</si>
  <si>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</si>
  <si>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</si>
  <si>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</si>
  <si>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</si>
  <si>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</si>
  <si>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</si>
  <si>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</si>
  <si>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</si>
  <si>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</si>
  <si>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</si>
  <si>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</si>
  <si>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</si>
  <si>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</si>
  <si>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</si>
  <si>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</si>
  <si>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</si>
  <si>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</si>
  <si>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</si>
  <si>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</si>
  <si>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</si>
  <si>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</si>
  <si>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</si>
  <si>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</si>
  <si>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</si>
  <si>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</si>
  <si>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</si>
  <si>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</si>
  <si>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</si>
  <si>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</si>
  <si>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</si>
  <si>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</si>
  <si>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</si>
  <si>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</si>
  <si>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</si>
  <si>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</si>
  <si>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</si>
  <si>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</si>
  <si>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</si>
  <si>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</si>
  <si>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</si>
  <si>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</si>
  <si>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</si>
  <si>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</si>
  <si>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</si>
  <si>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</si>
  <si>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</si>
  <si>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</si>
  <si>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</si>
  <si>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</si>
  <si>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</si>
  <si>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</si>
  <si>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</si>
  <si>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</si>
  <si>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</si>
  <si>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</si>
  <si>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</si>
  <si>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</si>
  <si>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</si>
  <si>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</si>
  <si>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</si>
  <si>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</si>
  <si>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</si>
  <si>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</si>
  <si>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</si>
  <si>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</si>
  <si>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</si>
  <si>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</si>
  <si>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</si>
  <si>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</si>
  <si>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</si>
  <si>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</si>
  <si>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</si>
  <si>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</si>
  <si>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</si>
  <si>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</si>
  <si>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</si>
  <si>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</si>
  <si>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</si>
  <si>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</si>
  <si>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</si>
  <si>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</si>
  <si>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</si>
  <si>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</si>
  <si>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</si>
  <si>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</si>
  <si>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</si>
  <si>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</si>
  <si>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</si>
  <si>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</si>
  <si>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</si>
  <si>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</si>
  <si>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</si>
  <si>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</si>
  <si>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</si>
  <si>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</si>
  <si>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</si>
  <si>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</si>
  <si>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</si>
  <si>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</si>
  <si>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</si>
  <si>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</si>
  <si>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</si>
  <si>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</si>
  <si>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</si>
  <si>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</si>
  <si>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</si>
  <si>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</si>
  <si>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</si>
  <si>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</si>
  <si>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</si>
  <si>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</si>
  <si>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</si>
  <si>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</si>
  <si>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</si>
  <si>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</si>
  <si>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</si>
  <si>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</si>
  <si>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</si>
  <si>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</si>
  <si>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</si>
  <si>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</si>
  <si>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</si>
  <si>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</si>
  <si>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</si>
  <si>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</si>
  <si>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</si>
  <si>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</si>
  <si>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</si>
  <si>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</si>
  <si>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</si>
  <si>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</si>
  <si>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</si>
  <si>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</si>
  <si>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</si>
  <si>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</si>
  <si>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</si>
  <si>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</si>
  <si>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</si>
  <si>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</si>
  <si>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</si>
  <si>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</si>
  <si>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</si>
  <si>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</si>
  <si>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</si>
  <si>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</si>
  <si>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</si>
  <si>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</si>
  <si>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</si>
  <si>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</si>
  <si>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</si>
  <si>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</si>
  <si>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</si>
  <si>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</si>
  <si>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</si>
  <si>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</si>
  <si>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</si>
  <si>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</si>
  <si>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</si>
  <si>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</si>
  <si>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</si>
  <si>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</si>
  <si>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</si>
  <si>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</si>
  <si>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</si>
  <si>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</si>
  <si>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</si>
  <si>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</si>
  <si>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</si>
  <si>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</si>
  <si>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</si>
  <si>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</si>
  <si>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</si>
  <si>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</si>
  <si>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</si>
  <si>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</si>
  <si>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</si>
  <si>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</si>
  <si>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</si>
  <si>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</si>
  <si>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</si>
  <si>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</si>
  <si>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</si>
  <si>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</si>
  <si>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</si>
  <si>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</si>
  <si>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</si>
  <si>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</si>
  <si>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</si>
  <si>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</si>
  <si>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</si>
  <si>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</si>
  <si>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</si>
  <si>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</si>
  <si>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</si>
  <si>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</si>
  <si>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</si>
  <si>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</si>
  <si>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</si>
  <si>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</si>
  <si>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</si>
  <si>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</si>
  <si>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</si>
  <si>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</si>
  <si>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</si>
  <si>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</si>
  <si>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</si>
  <si>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</si>
  <si>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</si>
  <si>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</si>
  <si>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</si>
  <si>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</si>
  <si>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</si>
  <si>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</si>
  <si>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</si>
  <si>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</si>
  <si>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</si>
  <si>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</si>
  <si>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</si>
  <si>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</si>
  <si>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</si>
  <si>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</si>
  <si>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</si>
  <si>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</si>
  <si>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</si>
  <si>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</si>
  <si>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</si>
  <si>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</si>
  <si>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</si>
  <si>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</si>
  <si>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</si>
  <si>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</si>
  <si>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</si>
  <si>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</si>
  <si>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</si>
  <si>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</si>
  <si>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</si>
  <si>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</si>
  <si>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</si>
  <si>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</si>
  <si>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</si>
  <si>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</si>
  <si>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</si>
  <si>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</si>
  <si>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</si>
  <si>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</si>
  <si>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</si>
  <si>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</si>
  <si>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</si>
  <si>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</si>
  <si>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</si>
  <si>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</si>
  <si>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</si>
  <si>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</si>
  <si>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</si>
  <si>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</si>
  <si>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</si>
  <si>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</si>
  <si>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</si>
  <si>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</si>
  <si>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</si>
  <si>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</si>
  <si>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</si>
  <si>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</si>
  <si>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</si>
  <si>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</si>
  <si>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</si>
  <si>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</si>
  <si>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</si>
  <si>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</si>
  <si>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</si>
  <si>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</si>
  <si>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</si>
  <si>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</si>
  <si>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</si>
  <si>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</si>
  <si>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</si>
  <si>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</si>
  <si>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</si>
  <si>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</si>
  <si>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</si>
  <si>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</si>
  <si>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</si>
  <si>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</si>
  <si>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</si>
  <si>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</si>
  <si>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</si>
  <si>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</si>
  <si>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</si>
  <si>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</si>
  <si>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</si>
  <si>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</si>
  <si>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</si>
  <si>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</si>
  <si>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</si>
  <si>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</si>
  <si>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</si>
  <si>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</si>
  <si>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</si>
  <si>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</si>
  <si>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</si>
  <si>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</si>
  <si>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</si>
  <si>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</si>
  <si>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</si>
  <si>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</si>
  <si>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</si>
  <si>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</si>
  <si>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</si>
  <si>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</si>
  <si>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</si>
  <si>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</si>
  <si>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</si>
  <si>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</si>
  <si>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</si>
  <si>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</si>
  <si>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</si>
  <si>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</si>
  <si>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</si>
  <si>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</si>
  <si>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</si>
  <si>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</si>
  <si>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</si>
  <si>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</si>
  <si>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</si>
  <si>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</si>
  <si>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</si>
  <si>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</si>
  <si>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</si>
  <si>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</si>
  <si>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</si>
  <si>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</si>
  <si>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</si>
  <si>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</si>
  <si>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</si>
  <si>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</si>
  <si>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</si>
  <si>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</si>
  <si>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</si>
  <si>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</si>
  <si>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</si>
  <si>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</si>
  <si>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</si>
  <si>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</si>
  <si>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</si>
  <si>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</si>
  <si>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</si>
  <si>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</si>
  <si>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</si>
  <si>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</si>
  <si>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</si>
  <si>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</si>
  <si>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</si>
  <si>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</si>
  <si>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</si>
  <si>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</si>
  <si>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</si>
  <si>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</si>
  <si>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</si>
  <si>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</si>
  <si>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</si>
  <si>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</si>
  <si>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</si>
  <si>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</si>
  <si>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</si>
  <si>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</si>
  <si>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</si>
  <si>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</si>
  <si>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</si>
  <si>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</si>
  <si>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</si>
  <si>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</si>
  <si>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</si>
  <si>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</si>
  <si>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</si>
  <si>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</si>
  <si>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</si>
  <si>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</si>
  <si>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</si>
  <si>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</si>
  <si>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</si>
  <si>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</si>
  <si>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</si>
  <si>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</si>
  <si>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</si>
  <si>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</si>
  <si>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</si>
  <si>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</si>
  <si>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</si>
  <si>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</si>
  <si>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</si>
  <si>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</si>
  <si>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</si>
  <si>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</si>
  <si>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</si>
  <si>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</si>
  <si>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</si>
  <si>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</si>
  <si>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</si>
  <si>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</si>
  <si>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</si>
  <si>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</si>
  <si>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</si>
  <si>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</si>
  <si>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</si>
  <si>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</si>
  <si>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</si>
  <si>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</si>
  <si>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</si>
  <si>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</si>
  <si>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</si>
  <si>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</si>
  <si>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</si>
  <si>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</si>
  <si>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</si>
  <si>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</si>
  <si>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</si>
  <si>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</si>
  <si>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</si>
  <si>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</si>
  <si>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</si>
  <si>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</si>
  <si>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</si>
  <si>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</si>
  <si>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</si>
  <si>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</si>
  <si>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</si>
  <si>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</si>
  <si>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</si>
  <si>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</si>
  <si>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</si>
  <si>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</si>
  <si>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</si>
  <si>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</si>
  <si>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</si>
  <si>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</si>
  <si>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</si>
  <si>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</si>
  <si>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</si>
  <si>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</si>
  <si>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</si>
  <si>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</si>
  <si>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</si>
  <si>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</si>
  <si>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</si>
  <si>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</si>
  <si>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</si>
  <si>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</si>
  <si>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</si>
  <si>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</si>
  <si>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</si>
  <si>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</si>
  <si>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</si>
  <si>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</si>
  <si>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</si>
  <si>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</si>
  <si>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</si>
  <si>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</si>
  <si>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</si>
  <si>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</si>
  <si>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</si>
  <si>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</si>
  <si>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</si>
  <si>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</si>
  <si>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</si>
  <si>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</si>
  <si>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</si>
  <si>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</si>
  <si>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</si>
  <si>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</si>
  <si>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</si>
  <si>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</si>
  <si>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</si>
  <si>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</si>
  <si>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</si>
  <si>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</si>
  <si>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</si>
  <si>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</si>
  <si>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</si>
  <si>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</si>
  <si>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</si>
  <si>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</si>
  <si>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</si>
  <si>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</si>
  <si>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</si>
  <si>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</si>
  <si>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</si>
  <si>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</si>
  <si>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</si>
  <si>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</si>
  <si>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</si>
  <si>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</si>
  <si>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</si>
  <si>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</si>
  <si>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</si>
  <si>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</si>
  <si>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</si>
  <si>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</si>
  <si>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</si>
  <si>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</si>
  <si>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</si>
  <si>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</si>
  <si>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</si>
  <si>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</si>
  <si>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</si>
  <si>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</si>
  <si>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</si>
  <si>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</si>
  <si>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</si>
  <si>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</si>
  <si>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</si>
  <si>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</si>
  <si>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</si>
  <si>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</si>
  <si>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</si>
  <si>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</si>
  <si>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</si>
  <si>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</si>
  <si>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</si>
  <si>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</si>
  <si>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</si>
  <si>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</si>
  <si>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</si>
  <si>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</si>
  <si>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</si>
  <si>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</si>
  <si>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</si>
  <si>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</si>
  <si>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</si>
  <si>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</si>
  <si>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</si>
  <si>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</si>
  <si>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</si>
  <si>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</si>
  <si>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</si>
  <si>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</si>
  <si>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</si>
  <si>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</si>
  <si>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</si>
  <si>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</si>
  <si>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</si>
  <si>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</si>
  <si>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</si>
  <si>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</si>
  <si>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</si>
  <si>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</si>
  <si>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</si>
  <si>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</si>
  <si>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</si>
  <si>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</si>
  <si>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</si>
  <si>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</si>
  <si>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</si>
  <si>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</si>
  <si>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</si>
  <si>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</si>
  <si>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</si>
  <si>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</si>
  <si>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</si>
  <si>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</si>
  <si>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</si>
  <si>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</si>
  <si>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</si>
  <si>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</si>
  <si>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</si>
  <si>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</si>
  <si>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</si>
  <si>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</si>
  <si>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</si>
  <si>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</si>
  <si>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</si>
  <si>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</si>
  <si>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</si>
  <si>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</si>
  <si>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</si>
  <si>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</si>
  <si>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</si>
  <si>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</si>
  <si>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</si>
  <si>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</si>
  <si>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</si>
  <si>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</si>
  <si>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</si>
  <si>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</si>
  <si>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</si>
  <si>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</si>
  <si>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</si>
  <si>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</si>
  <si>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</si>
  <si>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</si>
  <si>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</si>
  <si>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</si>
  <si>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</si>
  <si>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</si>
  <si>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</si>
  <si>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</si>
  <si>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</si>
  <si>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</si>
  <si>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</si>
  <si>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</si>
  <si>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</si>
  <si>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</si>
  <si>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</si>
  <si>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</si>
  <si>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</si>
  <si>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</si>
  <si>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</si>
  <si>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</si>
  <si>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</si>
  <si>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</si>
  <si>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</si>
  <si>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</si>
  <si>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</si>
  <si>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</si>
  <si>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</si>
  <si>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</si>
  <si>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</si>
  <si>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</si>
  <si>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</si>
  <si>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</si>
  <si>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</si>
  <si>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</si>
  <si>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</si>
  <si>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</si>
  <si>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</si>
  <si>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</si>
  <si>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</si>
  <si>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</si>
  <si>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</si>
  <si>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</si>
  <si>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</si>
  <si>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</si>
  <si>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</si>
  <si>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</si>
  <si>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</si>
  <si>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</si>
  <si>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</si>
  <si>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</si>
  <si>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</si>
  <si>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</si>
  <si>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</si>
  <si>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</si>
  <si>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</si>
  <si>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</si>
  <si>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</si>
  <si>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</si>
  <si>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</si>
  <si>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</si>
  <si>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</si>
  <si>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</si>
  <si>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</si>
  <si>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</si>
  <si>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</si>
  <si>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</si>
  <si>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</si>
  <si>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</si>
  <si>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</si>
  <si>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</si>
  <si>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</si>
  <si>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</si>
  <si>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</si>
  <si>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</si>
  <si>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</si>
  <si>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</si>
  <si>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</si>
  <si>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</si>
  <si>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</si>
  <si>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</si>
  <si>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</si>
  <si>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</si>
  <si>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</si>
  <si>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</si>
  <si>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</si>
  <si>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</si>
  <si>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</si>
  <si>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</si>
  <si>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</si>
  <si>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</si>
  <si>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</si>
  <si>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</si>
  <si>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</si>
  <si>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</si>
  <si>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</si>
  <si>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</si>
  <si>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</si>
  <si>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</si>
  <si>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</si>
  <si>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</si>
  <si>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</si>
  <si>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</si>
  <si>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</si>
  <si>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</si>
  <si>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</si>
  <si>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</si>
  <si>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</si>
  <si>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</si>
  <si>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</si>
  <si>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</si>
  <si>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</si>
  <si>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</si>
  <si>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</si>
  <si>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</si>
  <si>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</si>
  <si>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</si>
  <si>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</si>
  <si>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</si>
  <si>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</si>
  <si>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</si>
  <si>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</si>
  <si>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</si>
  <si>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</si>
  <si>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</si>
  <si>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</si>
  <si>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</si>
  <si>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</si>
  <si>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</si>
  <si>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</si>
  <si>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</si>
  <si>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</si>
  <si>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</si>
  <si>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</si>
  <si>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</si>
  <si>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</si>
  <si>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</si>
  <si>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</si>
  <si>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</si>
  <si>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</si>
  <si>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</si>
  <si>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</si>
  <si>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</si>
  <si>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</si>
  <si>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</si>
  <si>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</si>
  <si>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</si>
  <si>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</si>
  <si>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</si>
  <si>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</si>
  <si>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</si>
  <si>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</si>
  <si>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</si>
  <si>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</si>
  <si>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</si>
  <si>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</si>
  <si>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</si>
  <si>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</si>
  <si>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</si>
  <si>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</si>
  <si>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</si>
  <si>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</si>
  <si>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</si>
  <si>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</si>
  <si>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</si>
  <si>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</si>
  <si>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</si>
  <si>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</si>
  <si>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</si>
  <si>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</si>
  <si>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</si>
  <si>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</si>
  <si>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</si>
  <si>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</si>
  <si>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</si>
  <si>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</si>
  <si>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</si>
  <si>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</si>
  <si>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</si>
  <si>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</si>
  <si>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</si>
  <si>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</si>
  <si>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</si>
  <si>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</si>
  <si>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</si>
  <si>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</si>
  <si>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</si>
  <si>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</si>
  <si>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</si>
  <si>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</si>
  <si>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</si>
  <si>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</si>
  <si>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</si>
  <si>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</si>
  <si>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</si>
  <si>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</si>
  <si>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</si>
  <si>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</si>
  <si>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</si>
  <si>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</si>
  <si>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</si>
  <si>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</si>
  <si>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</si>
  <si>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</si>
  <si>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</si>
  <si>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</si>
  <si>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</si>
  <si>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</si>
  <si>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</si>
  <si>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</si>
  <si>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</si>
  <si>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</si>
  <si>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</si>
  <si>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</si>
  <si>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</si>
  <si>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</si>
  <si>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</si>
  <si>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</si>
  <si>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</si>
  <si>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</si>
  <si>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</si>
  <si>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</si>
  <si>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</si>
  <si>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</si>
  <si>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</si>
  <si>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</si>
  <si>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</si>
  <si>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</si>
  <si>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</si>
  <si>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</si>
  <si>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</si>
  <si>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</si>
  <si>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</si>
  <si>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</si>
  <si>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</si>
  <si>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</si>
  <si>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</si>
  <si>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</si>
  <si>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</si>
  <si>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</si>
  <si>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</si>
  <si>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</si>
  <si>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</si>
  <si>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</si>
  <si>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</si>
  <si>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</si>
  <si>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</si>
  <si>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</si>
  <si>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</si>
  <si>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</si>
  <si>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</si>
  <si>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</si>
  <si>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</si>
  <si>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</si>
  <si>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</si>
  <si>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</si>
  <si>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</si>
  <si>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</si>
  <si>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</si>
  <si>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</si>
  <si>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</si>
  <si>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</si>
  <si>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</si>
  <si>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</si>
  <si>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</si>
  <si>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</si>
  <si>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</si>
  <si>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</si>
  <si>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</si>
  <si>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</si>
  <si>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</si>
  <si>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</si>
  <si>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</si>
  <si>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</si>
  <si>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</si>
  <si>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</si>
  <si>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</si>
  <si>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</si>
  <si>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</si>
  <si>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</si>
  <si>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</si>
  <si>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</si>
  <si>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</si>
  <si>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</si>
  <si>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</si>
  <si>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</si>
  <si>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</si>
  <si>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</si>
  <si>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</si>
  <si>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</si>
  <si>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</si>
  <si>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</si>
  <si>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</si>
  <si>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</si>
  <si>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</si>
  <si>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</si>
  <si>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</si>
  <si>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</si>
  <si>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</si>
  <si>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</si>
  <si>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</si>
  <si>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</si>
  <si>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</si>
  <si>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</si>
  <si>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</si>
  <si>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</si>
  <si>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</si>
  <si>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</si>
  <si>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</si>
  <si>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</si>
  <si>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</si>
  <si>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</si>
  <si>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</si>
  <si>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</si>
  <si>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</si>
  <si>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</si>
  <si>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</si>
  <si>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</si>
  <si>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</si>
  <si>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</si>
  <si>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</si>
  <si>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</si>
  <si>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</si>
  <si>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</si>
  <si>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</si>
  <si>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</si>
  <si>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</si>
  <si>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</si>
  <si>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</si>
  <si>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</si>
  <si>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</si>
  <si>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</si>
  <si>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</si>
  <si>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</si>
  <si>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</si>
  <si>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</si>
  <si>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</si>
  <si>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</si>
  <si>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</si>
  <si>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</si>
  <si>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</si>
  <si>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</si>
  <si>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</si>
  <si>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</si>
  <si>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</si>
  <si>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</si>
  <si>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</si>
  <si>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</si>
  <si>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</si>
  <si>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</si>
  <si>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</si>
  <si>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</si>
  <si>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</si>
  <si>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</si>
  <si>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</si>
  <si>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</si>
  <si>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</si>
  <si>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</si>
  <si>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</si>
  <si>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</si>
  <si>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</si>
  <si>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</si>
  <si>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</si>
  <si>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</si>
  <si>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</si>
  <si>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</si>
  <si>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</si>
  <si>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</si>
  <si>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</si>
  <si>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</si>
  <si>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</si>
  <si>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</si>
  <si>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</si>
  <si>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</si>
  <si>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</si>
  <si>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</si>
  <si>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</si>
  <si>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</si>
  <si>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</si>
  <si>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</si>
  <si>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</si>
  <si>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</si>
  <si>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</si>
  <si>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</si>
  <si>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</si>
  <si>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</si>
  <si>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</si>
  <si>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</si>
  <si>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</si>
  <si>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</si>
  <si>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</si>
  <si>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</si>
  <si>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</si>
  <si>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</si>
  <si>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</si>
  <si>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</si>
  <si>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</si>
  <si>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</si>
  <si>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</si>
  <si>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</si>
  <si>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</si>
  <si>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</si>
  <si>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</si>
  <si>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</si>
  <si>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</si>
  <si>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</si>
  <si>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</si>
  <si>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</si>
  <si>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</si>
  <si>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</si>
  <si>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</si>
  <si>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</si>
  <si>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</si>
  <si>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</si>
  <si>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</si>
  <si>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</si>
  <si>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</si>
  <si>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</si>
  <si>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</si>
  <si>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</si>
  <si>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</si>
  <si>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</si>
  <si>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</si>
  <si>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</si>
  <si>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</si>
  <si>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</si>
  <si>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</si>
  <si>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</si>
  <si>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</si>
  <si>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</si>
  <si>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</si>
  <si>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</si>
  <si>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</si>
  <si>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</si>
  <si>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</si>
  <si>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</si>
  <si>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</si>
  <si>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</si>
  <si>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</si>
  <si>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</si>
  <si>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</si>
  <si>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</si>
  <si>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</si>
  <si>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</si>
  <si>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</si>
  <si>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</si>
  <si>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</si>
  <si>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</si>
  <si>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</si>
  <si>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</si>
  <si>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</si>
  <si>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</si>
  <si>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</si>
  <si>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</si>
  <si>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</si>
  <si>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</si>
  <si>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</si>
  <si>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</si>
  <si>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</si>
  <si>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</si>
  <si>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</si>
  <si>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</si>
  <si>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</si>
  <si>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</si>
  <si>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</si>
  <si>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</si>
  <si>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</si>
  <si>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</si>
  <si>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</si>
  <si>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</si>
  <si>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</si>
  <si>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</si>
  <si>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</si>
  <si>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</si>
  <si>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</si>
  <si>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</si>
  <si>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</si>
  <si>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</si>
  <si>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</si>
  <si>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</si>
  <si>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</si>
  <si>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</si>
  <si>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</si>
  <si>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</si>
  <si>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</si>
  <si>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</si>
  <si>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</si>
  <si>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</si>
  <si>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</si>
  <si>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</si>
  <si>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</si>
  <si>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</si>
  <si>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</si>
  <si>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</si>
  <si>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</si>
  <si>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</si>
  <si>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</si>
  <si>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</si>
  <si>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</si>
  <si>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</si>
  <si>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</si>
  <si>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</si>
  <si>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</si>
  <si>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</si>
  <si>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</si>
  <si>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</si>
  <si>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</si>
  <si>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</si>
  <si>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</si>
  <si>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</si>
  <si>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</si>
  <si>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</si>
  <si>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</si>
  <si>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</si>
  <si>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</si>
  <si>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</si>
  <si>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</si>
  <si>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</si>
  <si>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</si>
  <si>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</si>
  <si>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</si>
  <si>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</si>
  <si>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</si>
  <si>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</si>
  <si>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</si>
  <si>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</si>
  <si>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</si>
  <si>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</si>
  <si>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</si>
  <si>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</si>
  <si>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</si>
  <si>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</si>
  <si>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</si>
  <si>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</si>
  <si>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</si>
  <si>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</si>
  <si>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</si>
  <si>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</si>
  <si>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</si>
  <si>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</si>
  <si>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</si>
  <si>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</si>
  <si>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</si>
  <si>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</si>
  <si>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</si>
  <si>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</si>
  <si>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</si>
  <si>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</si>
  <si>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</si>
  <si>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</si>
  <si>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</si>
  <si>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</si>
  <si>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</si>
  <si>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</si>
  <si>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</si>
  <si>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</si>
  <si>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</si>
  <si>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</si>
  <si>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</si>
  <si>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</si>
  <si>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</si>
  <si>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</si>
  <si>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</si>
  <si>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</si>
  <si>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</si>
  <si>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</si>
  <si>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</si>
  <si>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</si>
  <si>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</si>
  <si>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</si>
  <si>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</si>
  <si>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</si>
  <si>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</si>
  <si>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</si>
  <si>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</si>
  <si>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</si>
  <si>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</si>
  <si>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</si>
  <si>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</si>
  <si>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</si>
  <si>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</si>
  <si>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</si>
  <si>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</si>
  <si>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</si>
  <si>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</si>
  <si>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</si>
  <si>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</si>
  <si>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</si>
  <si>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</si>
  <si>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</si>
  <si>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</si>
  <si>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</si>
  <si>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</si>
  <si>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</si>
  <si>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</si>
  <si>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</si>
  <si>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</si>
  <si>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</si>
  <si>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</si>
  <si>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</si>
  <si>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</si>
  <si>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</si>
  <si>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</si>
  <si>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</si>
  <si>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</si>
  <si>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</si>
  <si>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</si>
  <si>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</si>
  <si>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</si>
  <si>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</si>
  <si>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</si>
  <si>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</si>
  <si>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</si>
  <si>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</si>
  <si>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</si>
  <si>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</si>
  <si>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</si>
  <si>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</si>
  <si>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</si>
  <si>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</si>
  <si>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</si>
  <si>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</si>
  <si>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</si>
  <si>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</si>
  <si>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</si>
  <si>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</si>
  <si>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</si>
  <si>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</si>
  <si>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</si>
  <si>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</si>
  <si>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</si>
  <si>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</si>
  <si>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</si>
  <si>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</si>
  <si>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</si>
  <si>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</si>
  <si>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</si>
  <si>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</si>
  <si>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</si>
  <si>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</si>
  <si>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</si>
  <si>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</si>
  <si>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</si>
  <si>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</si>
  <si>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</si>
  <si>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</si>
  <si>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</si>
  <si>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</si>
  <si>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</si>
  <si>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</si>
  <si>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</si>
  <si>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</si>
  <si>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</si>
  <si>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</si>
  <si>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</si>
  <si>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</si>
  <si>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</si>
  <si>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</si>
  <si>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</si>
  <si>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</si>
  <si>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</si>
  <si>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</si>
  <si>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</si>
  <si>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</si>
  <si>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</si>
  <si>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</si>
  <si>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</si>
  <si>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</si>
  <si>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</si>
  <si>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</si>
  <si>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</si>
  <si>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</si>
  <si>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</si>
  <si>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</si>
  <si>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</si>
  <si>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</si>
  <si>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</si>
  <si>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</si>
  <si>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</si>
  <si>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</si>
  <si>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</si>
  <si>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</si>
  <si>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</si>
  <si>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</si>
  <si>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</si>
  <si>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</si>
  <si>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</si>
  <si>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</si>
  <si>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</si>
  <si>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</si>
  <si>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</si>
  <si>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</si>
  <si>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</si>
  <si>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</si>
  <si>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</si>
  <si>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</si>
  <si>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</si>
  <si>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</si>
  <si>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</si>
  <si>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</si>
  <si>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</si>
  <si>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</si>
  <si>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</si>
  <si>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</si>
  <si>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</si>
  <si>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</si>
  <si>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</si>
  <si>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</si>
  <si>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</si>
  <si>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</si>
  <si>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</si>
  <si>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</si>
  <si>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</si>
  <si>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</si>
  <si>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</si>
  <si>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</si>
  <si>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</si>
  <si>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</si>
  <si>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</si>
  <si>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</si>
  <si>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</si>
  <si>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</si>
  <si>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</si>
  <si>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</si>
  <si>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</si>
  <si>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</si>
  <si>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</si>
  <si>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</si>
  <si>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</si>
  <si>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</si>
  <si>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</si>
  <si>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</si>
  <si>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</si>
  <si>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</si>
  <si>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</si>
  <si>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</si>
  <si>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</si>
  <si>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</si>
  <si>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</si>
  <si>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</si>
  <si>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</si>
  <si>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</si>
  <si>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</si>
  <si>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</si>
  <si>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</si>
  <si>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</si>
  <si>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</si>
  <si>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</si>
  <si>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</si>
  <si>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</si>
  <si>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</si>
  <si>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</si>
  <si>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</si>
  <si>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</si>
  <si>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</si>
  <si>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</si>
  <si>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</si>
  <si>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</si>
  <si>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</si>
  <si>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</si>
  <si>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</si>
  <si>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</si>
  <si>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</si>
  <si>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</si>
  <si>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</si>
  <si>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</si>
  <si>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</si>
  <si>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</si>
  <si>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</si>
  <si>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</si>
  <si>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</si>
  <si>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</si>
  <si>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</si>
  <si>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</si>
  <si>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</si>
  <si>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</si>
  <si>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</si>
  <si>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</si>
  <si>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</si>
  <si>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</si>
  <si>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</si>
  <si>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</si>
  <si>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</si>
  <si>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</si>
  <si>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</si>
  <si>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</si>
  <si>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</si>
  <si>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</si>
  <si>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</si>
  <si>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</si>
  <si>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</si>
  <si>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</si>
  <si>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</si>
  <si>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</si>
  <si>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</si>
  <si>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</si>
  <si>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</si>
  <si>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</si>
  <si>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</si>
  <si>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</si>
  <si>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</si>
  <si>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</si>
  <si>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</si>
  <si>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</si>
  <si>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</si>
  <si>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</si>
  <si>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</si>
  <si>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</si>
  <si>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</si>
  <si>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</si>
  <si>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</si>
  <si>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</si>
  <si>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</si>
  <si>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</si>
  <si>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</si>
  <si>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</si>
  <si>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</si>
  <si>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</si>
  <si>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</si>
  <si>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</si>
  <si>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</si>
  <si>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</si>
  <si>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</si>
  <si>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</si>
  <si>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</si>
  <si>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</si>
  <si>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</si>
  <si>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</si>
  <si>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</si>
  <si>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</si>
  <si>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</si>
  <si>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</si>
  <si>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</si>
  <si>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</si>
  <si>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</si>
  <si>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</si>
  <si>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</si>
  <si>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</si>
  <si>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</si>
  <si>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</si>
  <si>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</si>
  <si>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</si>
  <si>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</si>
  <si>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</si>
  <si>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</si>
  <si>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</si>
  <si>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</si>
  <si>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</si>
  <si>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</si>
  <si>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</si>
  <si>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</si>
  <si>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</si>
  <si>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</si>
  <si>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</si>
  <si>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</si>
  <si>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</si>
  <si>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</si>
  <si>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</si>
  <si>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</si>
  <si>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</si>
  <si>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</si>
  <si>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</si>
  <si>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</si>
  <si>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</si>
  <si>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</si>
  <si>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</si>
  <si>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</si>
  <si>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</si>
  <si>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</si>
  <si>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</si>
  <si>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</si>
  <si>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</si>
  <si>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</si>
  <si>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</si>
  <si>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</si>
  <si>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</si>
  <si>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</si>
  <si>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</si>
  <si>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</si>
  <si>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</si>
  <si>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</si>
  <si>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</si>
  <si>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</si>
  <si>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</si>
  <si>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</si>
  <si>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</si>
  <si>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</si>
  <si>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</si>
  <si>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</si>
  <si>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</si>
  <si>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</si>
  <si>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</si>
  <si>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</si>
  <si>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</si>
  <si>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</si>
  <si>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</si>
  <si>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</si>
  <si>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</si>
  <si>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</si>
  <si>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</si>
  <si>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</si>
  <si>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</si>
  <si>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</si>
  <si>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</si>
  <si>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</si>
  <si>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</si>
  <si>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</si>
  <si>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</si>
  <si>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</si>
  <si>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</si>
  <si>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</si>
  <si>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</si>
  <si>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</si>
  <si>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</si>
  <si>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</si>
  <si>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</si>
  <si>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</si>
  <si>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</si>
  <si>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</si>
  <si>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</si>
  <si>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</si>
  <si>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</si>
  <si>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</si>
  <si>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</si>
  <si>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</si>
  <si>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</si>
  <si>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</si>
  <si>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</si>
  <si>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</si>
  <si>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</si>
  <si>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</si>
  <si>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</si>
  <si>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</si>
  <si>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</si>
  <si>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</si>
  <si>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</si>
  <si>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</si>
  <si>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</si>
  <si>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</si>
  <si>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</si>
  <si>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</si>
  <si>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</si>
  <si>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</si>
  <si>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</si>
  <si>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</si>
  <si>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</si>
  <si>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</si>
  <si>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</si>
  <si>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</si>
  <si>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</si>
  <si>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</si>
  <si>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</si>
  <si>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</si>
  <si>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</si>
  <si>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</si>
  <si>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</si>
  <si>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</si>
  <si>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</si>
  <si>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</si>
  <si>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</si>
  <si>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</si>
  <si>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</si>
  <si>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</si>
  <si>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</si>
  <si>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</si>
  <si>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</si>
  <si>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</si>
  <si>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</si>
  <si>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</si>
  <si>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</si>
  <si>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</si>
  <si>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</si>
  <si>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</si>
  <si>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</si>
  <si>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</si>
  <si>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</si>
  <si>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</si>
  <si>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</si>
  <si>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</si>
  <si>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</si>
  <si>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</si>
  <si>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</si>
  <si>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</si>
  <si>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</si>
  <si>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</si>
  <si>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</si>
  <si>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</si>
  <si>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</si>
  <si>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</si>
  <si>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</si>
  <si>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</si>
  <si>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</si>
  <si>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</si>
  <si>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</si>
  <si>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</si>
  <si>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</si>
  <si>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</si>
  <si>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</si>
  <si>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</si>
  <si>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</si>
  <si>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</si>
  <si>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</si>
  <si>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</si>
  <si>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</si>
  <si>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</si>
  <si>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</si>
  <si>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</si>
  <si>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</si>
  <si>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</si>
  <si>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</si>
  <si>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</si>
  <si>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</si>
  <si>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</si>
  <si>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</si>
  <si>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</si>
  <si>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</si>
  <si>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</si>
  <si>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</si>
  <si>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</si>
  <si>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</si>
  <si>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</si>
  <si>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</si>
  <si>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</si>
  <si>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</si>
  <si>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</si>
  <si>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</si>
  <si>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</si>
  <si>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</si>
  <si>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</si>
  <si>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</si>
  <si>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</si>
  <si>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</si>
  <si>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</si>
  <si>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</si>
  <si>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</si>
  <si>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</si>
  <si>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</si>
  <si>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</si>
  <si>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</si>
  <si>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</si>
  <si>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</si>
  <si>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</si>
  <si>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</si>
  <si>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</si>
  <si>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</si>
  <si>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</si>
  <si>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</si>
  <si>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</si>
  <si>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</si>
  <si>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</si>
  <si>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</si>
  <si>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</si>
  <si>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</si>
  <si>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</si>
  <si>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</si>
  <si>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</si>
  <si>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</si>
  <si>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</si>
  <si>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</si>
  <si>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</si>
  <si>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</si>
  <si>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</si>
  <si>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</si>
  <si>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</si>
  <si>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</si>
  <si>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</si>
  <si>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</si>
  <si>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</si>
  <si>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</si>
  <si>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</si>
  <si>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</si>
  <si>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</si>
  <si>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</si>
  <si>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</si>
  <si>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</si>
  <si>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</si>
  <si>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</si>
  <si>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</si>
  <si>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</si>
  <si>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</si>
  <si>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</si>
  <si>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</si>
  <si>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</si>
  <si>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</si>
  <si>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</si>
  <si>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</si>
  <si>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</si>
  <si>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</si>
  <si>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</si>
  <si>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</si>
  <si>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</si>
  <si>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</si>
  <si>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</si>
  <si>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</si>
  <si>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</si>
  <si>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</si>
  <si>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</si>
  <si>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</si>
  <si>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</si>
  <si>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</si>
  <si>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</si>
  <si>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</si>
  <si>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</si>
  <si>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</si>
  <si>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</si>
  <si>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</si>
  <si>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</si>
  <si>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</si>
  <si>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</si>
  <si>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</si>
  <si>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</si>
  <si>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</si>
  <si>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</si>
  <si>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</si>
  <si>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</si>
  <si>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</si>
  <si>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</si>
  <si>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</si>
  <si>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</si>
  <si>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</si>
  <si>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</si>
  <si>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</si>
  <si>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</si>
  <si>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</si>
  <si>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</si>
  <si>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</si>
  <si>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</si>
  <si>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</si>
  <si>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</si>
  <si>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</si>
  <si>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</si>
  <si>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</si>
  <si>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</si>
  <si>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</si>
  <si>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</si>
  <si>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</si>
  <si>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</si>
  <si>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</si>
  <si>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</si>
  <si>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</si>
  <si>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</si>
  <si>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</si>
  <si>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</si>
  <si>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</si>
  <si>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</si>
  <si>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</si>
  <si>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</si>
  <si>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</si>
  <si>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</si>
  <si>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</si>
  <si>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</si>
  <si>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</si>
  <si>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</si>
  <si>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</si>
  <si>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</si>
  <si>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</si>
  <si>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</si>
  <si>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</si>
  <si>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</si>
  <si>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</si>
  <si>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</si>
  <si>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</si>
  <si>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</si>
  <si>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</si>
  <si>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</si>
  <si>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</si>
  <si>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</si>
  <si>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</si>
  <si>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</si>
  <si>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</si>
  <si>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</si>
  <si>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</si>
  <si>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</si>
  <si>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</si>
  <si>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</si>
  <si>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</si>
  <si>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</si>
  <si>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</si>
  <si>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</si>
  <si>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</si>
  <si>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</si>
  <si>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</si>
  <si>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</si>
  <si>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</si>
  <si>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</si>
  <si>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</si>
  <si>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</si>
  <si>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</si>
  <si>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</si>
  <si>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</si>
  <si>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</si>
  <si>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</si>
  <si>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</si>
  <si>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</si>
  <si>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</si>
  <si>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</si>
  <si>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</si>
  <si>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</si>
  <si>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</si>
  <si>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</si>
  <si>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</si>
  <si>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</si>
  <si>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</si>
  <si>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</si>
  <si>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</si>
  <si>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</si>
  <si>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</si>
  <si>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</si>
  <si>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</si>
  <si>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</si>
  <si>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</si>
  <si>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</si>
  <si>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</si>
  <si>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</si>
  <si>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</si>
  <si>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</si>
  <si>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</si>
  <si>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</si>
  <si>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</si>
  <si>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</si>
  <si>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</si>
  <si>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</si>
  <si>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</si>
  <si>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</si>
  <si>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</si>
  <si>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</si>
  <si>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</si>
  <si>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</si>
  <si>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</si>
  <si>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</si>
  <si>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</si>
  <si>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</si>
  <si>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</si>
  <si>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</si>
  <si>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</si>
  <si>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</si>
  <si>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</si>
  <si>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</si>
  <si>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</si>
  <si>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</si>
  <si>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</si>
  <si>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</si>
  <si>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</si>
  <si>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</si>
  <si>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</si>
  <si>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</si>
  <si>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</si>
  <si>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</si>
  <si>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</si>
  <si>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</si>
  <si>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</si>
  <si>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</si>
  <si>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</si>
  <si>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</si>
  <si>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</si>
  <si>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</si>
  <si>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</si>
  <si>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</si>
  <si>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</si>
  <si>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</si>
  <si>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</si>
  <si>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</si>
  <si>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</si>
  <si>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</si>
  <si>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</si>
  <si>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</si>
  <si>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</si>
  <si>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</si>
  <si>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</si>
  <si>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</si>
  <si>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</si>
  <si>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</si>
  <si>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</si>
  <si>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</si>
  <si>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</si>
  <si>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</si>
  <si>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</si>
  <si>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</si>
  <si>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</si>
  <si>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</si>
  <si>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</si>
  <si>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</si>
  <si>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</si>
  <si>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</si>
  <si>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</si>
  <si>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</si>
  <si>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</si>
  <si>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</si>
  <si>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</si>
  <si>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</si>
  <si>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</si>
  <si>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</si>
  <si>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</si>
  <si>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</si>
  <si>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</si>
  <si>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</si>
  <si>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</si>
  <si>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</si>
  <si>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</si>
  <si>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</si>
  <si>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</si>
  <si>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</si>
  <si>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</si>
  <si>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</si>
  <si>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</si>
  <si>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</si>
  <si>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</si>
  <si>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</si>
  <si>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</si>
  <si>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</si>
  <si>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</si>
  <si>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</si>
  <si>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</si>
  <si>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</si>
  <si>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</si>
  <si>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</si>
  <si>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</si>
  <si>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</si>
  <si>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</si>
  <si>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</si>
  <si>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</si>
  <si>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</si>
  <si>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</si>
  <si>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</si>
  <si>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</si>
  <si>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</si>
  <si>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</si>
  <si>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</si>
  <si>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</si>
  <si>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</si>
  <si>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</si>
  <si>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</si>
  <si>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</si>
  <si>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</si>
  <si>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</si>
  <si>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</si>
  <si>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</si>
  <si>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</si>
  <si>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</si>
  <si>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</si>
  <si>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</si>
  <si>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</si>
  <si>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</si>
  <si>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</si>
  <si>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</si>
  <si>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</si>
  <si>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</si>
  <si>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</si>
  <si>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</si>
  <si>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</si>
  <si>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</si>
  <si>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</si>
  <si>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</si>
  <si>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</si>
  <si>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</si>
  <si>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</si>
  <si>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</si>
  <si>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</si>
  <si>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</si>
  <si>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</si>
  <si>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</si>
  <si>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</si>
  <si>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</si>
  <si>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</si>
  <si>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</si>
  <si>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</si>
  <si>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</si>
  <si>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</si>
  <si>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</si>
  <si>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</si>
  <si>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</si>
  <si>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</si>
  <si>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</si>
  <si>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</si>
  <si>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</si>
  <si>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</si>
  <si>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</si>
  <si>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</si>
  <si>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</si>
  <si>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</si>
  <si>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</si>
  <si>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</si>
  <si>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</si>
  <si>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</si>
  <si>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</si>
  <si>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</si>
  <si>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</si>
  <si>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</si>
  <si>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</si>
  <si>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</si>
  <si>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</si>
  <si>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</si>
  <si>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</si>
  <si>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</si>
  <si>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</si>
  <si>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</si>
  <si>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</si>
  <si>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</si>
  <si>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</si>
  <si>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</si>
  <si>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</si>
  <si>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</si>
  <si>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</si>
  <si>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</si>
  <si>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</si>
  <si>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</si>
  <si>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</si>
  <si>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</si>
  <si>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</si>
  <si>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</si>
  <si>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</si>
  <si>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</si>
  <si>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</si>
  <si>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</si>
  <si>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</si>
  <si>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</si>
  <si>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</si>
  <si>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</si>
  <si>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</si>
  <si>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</si>
  <si>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</si>
  <si>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</si>
  <si>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DFLTPGCOH_BF-C2_001242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</si>
  <si>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</si>
  <si>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</si>
  <si>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</si>
  <si>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</si>
  <si>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</si>
  <si>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</si>
  <si>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</si>
  <si>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</si>
  <si>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</si>
  <si>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</si>
  <si>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</si>
  <si>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</si>
  <si>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</si>
  <si>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</si>
  <si>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</si>
  <si>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</si>
  <si>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</si>
  <si>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</si>
  <si>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</si>
  <si>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</si>
  <si>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</si>
  <si>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</si>
  <si>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</si>
  <si>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</si>
  <si>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</si>
  <si>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</si>
  <si>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</si>
  <si>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</si>
  <si>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</si>
  <si>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</si>
  <si>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</si>
  <si>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</si>
  <si>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</si>
  <si>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</si>
  <si>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</si>
  <si>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</si>
  <si>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</si>
  <si>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</si>
  <si>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</si>
  <si>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</si>
  <si>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</si>
  <si>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</si>
  <si>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</si>
  <si>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</si>
  <si>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</si>
  <si>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</si>
  <si>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</si>
  <si>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</si>
  <si>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</si>
  <si>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</si>
  <si>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</si>
  <si>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</si>
  <si>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</si>
  <si>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</si>
  <si>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</si>
  <si>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</si>
  <si>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</si>
  <si>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</si>
  <si>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</si>
  <si>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</si>
  <si>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</si>
  <si>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</si>
  <si>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</si>
  <si>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</si>
  <si>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</si>
  <si>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</si>
  <si>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</si>
  <si>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</si>
  <si>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</si>
  <si>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</si>
  <si>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</si>
  <si>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</si>
  <si>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</si>
  <si>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</si>
  <si>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</si>
  <si>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</si>
  <si>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</si>
  <si>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</si>
  <si>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</si>
  <si>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</si>
  <si>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</si>
  <si>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</si>
  <si>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</si>
  <si>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</si>
  <si>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</si>
  <si>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</si>
  <si>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</si>
  <si>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</si>
  <si>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</si>
  <si>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</si>
  <si>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</si>
  <si>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</si>
  <si>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</si>
  <si>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</si>
  <si>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</si>
  <si>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</si>
  <si>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</si>
  <si>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</si>
  <si>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</si>
  <si>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</si>
  <si>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</si>
  <si>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</si>
  <si>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</si>
  <si>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</si>
  <si>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</si>
  <si>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</si>
  <si>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</si>
  <si>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</si>
  <si>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</si>
  <si>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</si>
  <si>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</si>
  <si>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</si>
  <si>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</si>
  <si>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</si>
  <si>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</si>
  <si>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</si>
  <si>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</si>
  <si>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</si>
  <si>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</si>
  <si>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</si>
  <si>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</si>
  <si>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</si>
  <si>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</si>
  <si>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</si>
  <si>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</si>
  <si>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</si>
  <si>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</si>
  <si>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</si>
  <si>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</si>
  <si>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</si>
  <si>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</si>
  <si>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</si>
  <si>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</si>
  <si>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</si>
  <si>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</si>
  <si>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</si>
  <si>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</si>
  <si>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</si>
  <si>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</si>
  <si>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</si>
  <si>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</si>
  <si>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</si>
  <si>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</si>
  <si>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</si>
  <si>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</si>
  <si>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</si>
  <si>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</si>
  <si>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</si>
  <si>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</si>
  <si>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</si>
  <si>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</si>
  <si>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</si>
  <si>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</si>
  <si>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</si>
  <si>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</si>
  <si>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</si>
  <si>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</si>
  <si>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</si>
  <si>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</si>
  <si>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</si>
  <si>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</si>
  <si>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</si>
  <si>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</si>
  <si>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</si>
  <si>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</si>
  <si>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</si>
  <si>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</si>
  <si>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</si>
  <si>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</si>
  <si>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</si>
  <si>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</si>
  <si>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</si>
  <si>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</si>
  <si>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</si>
  <si>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</si>
  <si>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</si>
  <si>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</si>
  <si>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</si>
  <si>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</si>
  <si>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</si>
  <si>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</si>
  <si>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</si>
  <si>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</si>
  <si>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</si>
  <si>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</si>
  <si>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</si>
  <si>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</si>
  <si>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</si>
  <si>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</si>
  <si>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</si>
  <si>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</si>
  <si>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</si>
  <si>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</si>
  <si>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</si>
  <si>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</si>
  <si>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</si>
  <si>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</si>
  <si>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</si>
  <si>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</si>
  <si>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</si>
  <si>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</si>
  <si>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</si>
  <si>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</si>
  <si>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</si>
  <si>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</si>
  <si>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</si>
  <si>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</si>
  <si>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</si>
  <si>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</si>
  <si>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</si>
  <si>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</si>
  <si>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</si>
  <si>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</si>
  <si>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</si>
  <si>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</si>
  <si>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</si>
  <si>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</si>
  <si>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</si>
  <si>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</si>
  <si>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</si>
  <si>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</si>
  <si>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</si>
  <si>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</si>
  <si>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</si>
  <si>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</si>
  <si>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</si>
  <si>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</si>
  <si>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</si>
  <si>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</si>
  <si>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</si>
  <si>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</si>
  <si>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</si>
  <si>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</si>
  <si>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</si>
  <si>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</si>
  <si>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</si>
  <si>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</si>
  <si>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</si>
  <si>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</si>
  <si>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</si>
  <si>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</si>
  <si>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</si>
  <si>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</si>
  <si>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</si>
  <si>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</si>
  <si>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</si>
  <si>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</si>
  <si>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</si>
  <si>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</si>
  <si>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</si>
  <si>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</si>
  <si>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</si>
  <si>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</si>
  <si>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</si>
  <si>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</si>
  <si>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</si>
  <si>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</si>
  <si>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</si>
  <si>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</si>
  <si>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</si>
  <si>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</si>
  <si>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</si>
  <si>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</si>
  <si>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</si>
  <si>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</si>
  <si>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</si>
  <si>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</si>
  <si>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</si>
  <si>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</si>
  <si>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</si>
  <si>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</si>
  <si>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</si>
  <si>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</si>
  <si>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</si>
  <si>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</si>
  <si>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</si>
  <si>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</si>
  <si>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</si>
  <si>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</si>
  <si>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</si>
  <si>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</si>
  <si>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</si>
  <si>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</si>
  <si>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</si>
  <si>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</si>
  <si>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</si>
  <si>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</si>
  <si>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</si>
  <si>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</si>
  <si>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</si>
  <si>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</si>
  <si>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</si>
  <si>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</si>
  <si>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</si>
  <si>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</si>
  <si>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</si>
  <si>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</si>
  <si>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</si>
  <si>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</si>
  <si>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</si>
  <si>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</si>
  <si>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</si>
  <si>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</si>
  <si>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</si>
  <si>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</si>
  <si>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</si>
  <si>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</si>
  <si>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</si>
  <si>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</si>
  <si>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</si>
  <si>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</si>
  <si>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</si>
  <si>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</si>
  <si>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</si>
  <si>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</si>
  <si>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</si>
  <si>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</si>
  <si>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</si>
  <si>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</si>
  <si>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</si>
  <si>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</si>
  <si>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</si>
  <si>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</si>
  <si>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</si>
  <si>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</si>
  <si>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</si>
  <si>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</si>
  <si>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</si>
  <si>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</si>
  <si>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</si>
  <si>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</si>
  <si>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</si>
  <si>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</si>
  <si>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</si>
  <si>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</si>
  <si>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</si>
  <si>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</si>
  <si>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</si>
  <si>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</si>
  <si>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</si>
  <si>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</si>
  <si>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</si>
  <si>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</si>
  <si>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</si>
  <si>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</si>
  <si>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</si>
  <si>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</si>
  <si>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</si>
  <si>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</si>
  <si>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</si>
  <si>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</si>
  <si>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</si>
  <si>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</si>
  <si>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</si>
  <si>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</si>
  <si>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</si>
  <si>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</si>
  <si>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</si>
  <si>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</si>
  <si>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</si>
  <si>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</si>
  <si>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</si>
  <si>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</si>
  <si>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</si>
  <si>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</si>
  <si>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</si>
  <si>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</si>
  <si>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</si>
  <si>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</si>
  <si>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</si>
  <si>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</si>
  <si>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</si>
  <si>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</si>
  <si>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</si>
  <si>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</si>
  <si>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</si>
  <si>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</si>
  <si>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</si>
  <si>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</si>
  <si>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</si>
  <si>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</si>
  <si>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</si>
  <si>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</si>
  <si>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</si>
  <si>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</si>
  <si>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</si>
  <si>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</si>
  <si>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</si>
  <si>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</si>
  <si>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</si>
  <si>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</si>
  <si>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</si>
  <si>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</si>
  <si>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</si>
  <si>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</si>
  <si>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</si>
  <si>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</si>
  <si>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</si>
  <si>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</si>
  <si>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</si>
  <si>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</si>
  <si>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</si>
  <si>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</si>
  <si>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</si>
  <si>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</si>
  <si>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</si>
  <si>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</si>
  <si>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</si>
  <si>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</si>
  <si>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</si>
  <si>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</si>
  <si>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</si>
  <si>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</si>
  <si>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</si>
  <si>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</si>
  <si>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</si>
  <si>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</si>
  <si>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</si>
  <si>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</si>
  <si>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</si>
  <si>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</si>
  <si>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</si>
  <si>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</si>
  <si>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</si>
  <si>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</si>
  <si>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</si>
  <si>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</si>
  <si>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</si>
  <si>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</si>
  <si>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</si>
  <si>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</si>
  <si>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</si>
  <si>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</si>
  <si>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</si>
  <si>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</si>
  <si>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</si>
  <si>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</si>
  <si>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</si>
  <si>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</si>
  <si>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</si>
  <si>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</si>
  <si>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</si>
  <si>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</si>
  <si>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</si>
  <si>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</si>
  <si>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</si>
  <si>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</si>
  <si>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</si>
  <si>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</si>
  <si>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</si>
  <si>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</si>
  <si>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</si>
  <si>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</si>
  <si>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</si>
  <si>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</si>
  <si>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</si>
  <si>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</si>
  <si>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</si>
  <si>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</si>
  <si>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</si>
  <si>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</si>
  <si>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</si>
  <si>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</si>
  <si>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</si>
  <si>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</si>
  <si>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</si>
  <si>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</si>
  <si>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</si>
  <si>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</si>
  <si>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</si>
  <si>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</si>
  <si>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</si>
  <si>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</si>
  <si>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</si>
  <si>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</si>
  <si>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</si>
  <si>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</si>
  <si>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</si>
  <si>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</si>
  <si>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</si>
  <si>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</si>
  <si>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</si>
  <si>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</si>
  <si>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</si>
  <si>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</si>
  <si>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</si>
  <si>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</si>
  <si>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</si>
  <si>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</si>
  <si>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</si>
  <si>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</si>
  <si>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</si>
  <si>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</si>
  <si>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</si>
  <si>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</si>
  <si>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</si>
  <si>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</si>
  <si>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</si>
  <si>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</si>
  <si>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</si>
  <si>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</si>
  <si>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</si>
  <si>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</si>
  <si>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</si>
  <si>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</si>
  <si>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</si>
  <si>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</si>
  <si>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</si>
  <si>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</si>
  <si>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DFLTPGCOH_002367</t>
  </si>
  <si>
    <t>DFLTPGCOH_001214</t>
  </si>
  <si>
    <t>DFLTPGCOH_001261</t>
  </si>
  <si>
    <t>G000000634_IO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</si>
  <si>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</si>
  <si>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</si>
  <si>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</si>
  <si>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</si>
  <si>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</si>
  <si>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</si>
  <si>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</si>
  <si>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</si>
  <si>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</si>
  <si>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</si>
  <si>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</si>
  <si>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</si>
  <si>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</si>
  <si>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LFF_1000$$$NO50R00005</t>
  </si>
  <si>
    <t>LFF_1000$$$CH75L70000</t>
  </si>
  <si>
    <t>DFLTPGCOH_002060</t>
  </si>
  <si>
    <t>DFLTPGCOH_002119</t>
  </si>
  <si>
    <t>DFLTPGCOH_002145</t>
  </si>
  <si>
    <t>DFLTPGCOH_002072</t>
  </si>
  <si>
    <t>DFLTPGCOH_002002</t>
  </si>
  <si>
    <t>DFLTPGCOH_000000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</si>
</sst>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5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</cellStyleXfs>
  <cellXfs count="126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68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</cellXfs>
  <cellStyles count="105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868.911365509259" createdVersion="7" refreshedVersion="7" minRefreshableVersion="3" recordCount="2917" xr:uid="{11839AE3-6158-4318-87AD-2C711D0BF451}">
  <cacheSource type="worksheet">
    <worksheetSource name="Proc"/>
  </cacheSource>
  <cacheFields count="19">
    <cacheField name="App" numFmtId="0">
      <sharedItems containsBlank="1" count="149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0">
      <sharedItems containsSemiMixedTypes="0" containsNonDate="0" containsDate="1" containsString="0" minDate="2023-09-01T00:00:00" maxDate="2025-07-31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15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1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15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3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3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2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2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2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2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2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2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2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2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2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2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2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2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2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2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2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2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2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2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2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2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2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2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2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2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2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2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2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2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2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2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2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2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2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2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2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2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2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2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2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2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2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2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2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2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2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2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2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2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2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2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2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2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2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2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2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1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1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1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1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1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1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1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1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1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1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0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0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0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0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0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0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0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0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0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0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0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9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9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9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9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8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8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8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7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5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5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5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5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5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5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5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5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5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5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5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5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5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5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5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5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5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5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5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5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5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5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5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5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5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5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5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4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4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4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4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4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4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3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3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3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3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3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3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3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3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3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3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3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3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2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2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2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5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2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2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2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2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4"/>
    <s v="Thomas Mervoyer"/>
    <m/>
  </r>
  <r>
    <x v="290"/>
    <x v="0"/>
    <x v="2"/>
    <s v="CLFF_1000$$$DE50O00001"/>
    <s v="H000004396"/>
    <e v="#N/A"/>
    <s v="LFF (MDG-F)"/>
    <s v="DE50O00001"/>
    <m/>
    <e v="#N/A"/>
    <x v="1"/>
    <x v="3"/>
    <d v="2025-07-14T21:50:37"/>
    <m/>
    <m/>
    <x v="1"/>
    <n v="12"/>
    <s v="Henry Ifurung Jr."/>
    <m/>
  </r>
  <r>
    <x v="291"/>
    <x v="0"/>
    <x v="2"/>
    <s v="CTEMPLA_1000BR10500161"/>
    <s v="L000013386"/>
    <e v="#N/A"/>
    <s v="Non-LFF"/>
    <s v=""/>
    <m/>
    <e v="#N/A"/>
    <x v="1"/>
    <x v="3"/>
    <d v="2025-07-15T21:50:37"/>
    <m/>
    <m/>
    <x v="1"/>
    <n v="11"/>
    <s v="Henry Ifurung Jr."/>
    <m/>
  </r>
  <r>
    <x v="292"/>
    <x v="0"/>
    <x v="2"/>
    <s v="D00120000000000"/>
    <s v="P000001232"/>
    <e v="#N/A"/>
    <s v="Non-LFF"/>
    <s v=""/>
    <m/>
    <e v="#N/A"/>
    <x v="3"/>
    <x v="3"/>
    <d v="2025-07-15T21:50:37"/>
    <m/>
    <m/>
    <x v="1"/>
    <n v="11"/>
    <s v="Roselle Delos Angeles"/>
    <m/>
  </r>
  <r>
    <x v="292"/>
    <x v="0"/>
    <x v="2"/>
    <s v="D00128200000000"/>
    <s v="P000000698"/>
    <e v="#N/A"/>
    <s v="Non-LFF"/>
    <s v=""/>
    <m/>
    <e v="#N/A"/>
    <x v="3"/>
    <x v="3"/>
    <d v="2025-07-15T21:50:37"/>
    <m/>
    <m/>
    <x v="1"/>
    <n v="1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"/>
    <s v="Diana William"/>
    <m/>
  </r>
  <r>
    <x v="294"/>
    <x v="0"/>
    <x v="2"/>
    <s v="CSCALA_1248$LSQR"/>
    <s v="L000011363"/>
    <e v="#N/A"/>
    <s v="Non-LFF"/>
    <s v=""/>
    <m/>
    <e v="#N/A"/>
    <x v="0"/>
    <x v="3"/>
    <d v="2025-07-16T21:50:37"/>
    <m/>
    <m/>
    <x v="1"/>
    <n v="10"/>
    <s v="Diana William"/>
    <m/>
  </r>
  <r>
    <x v="295"/>
    <x v="0"/>
    <x v="2"/>
    <s v="CLFF_7210$$$2102TPSZ93 "/>
    <s v="L000013788"/>
    <e v="#N/A"/>
    <s v="LFF (MDG-F)"/>
    <s v="2102TPSZ93"/>
    <m/>
    <e v="#N/A"/>
    <x v="2"/>
    <x v="3"/>
    <d v="2025-07-16T21:50:37"/>
    <m/>
    <m/>
    <x v="1"/>
    <n v="1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0"/>
    <n v="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0"/>
    <n v="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0"/>
    <n v="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0"/>
    <n v="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0"/>
    <n v="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0"/>
    <n v="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0"/>
    <n v="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0"/>
    <n v="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0"/>
    <n v="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0"/>
    <n v="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0"/>
    <n v="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0"/>
    <n v="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0"/>
    <n v="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0"/>
    <n v="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0"/>
    <n v="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0"/>
    <n v="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0"/>
    <n v="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0"/>
    <n v="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0"/>
    <n v="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0"/>
    <n v="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0"/>
    <n v="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0"/>
    <n v="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0"/>
    <n v="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0"/>
    <n v="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0"/>
    <n v="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0"/>
    <n v="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0"/>
    <n v="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0"/>
    <n v="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0"/>
    <n v="2"/>
    <s v="Joan Rose Pena"/>
    <m/>
  </r>
  <r>
    <x v="309"/>
    <x v="1"/>
    <x v="6"/>
    <s v="CLFF_1000$$$NO50R00005"/>
    <s v="H000000729"/>
    <s v="DFLTPGCOH_002367"/>
    <s v="LFF (MDG-F)"/>
    <s v="NO50R00005"/>
    <m/>
    <b v="0"/>
    <x v="1"/>
    <x v="3"/>
    <d v="2025-07-28T12:24:11"/>
    <m/>
    <m/>
    <x v="0"/>
    <n v="2"/>
    <s v="Gay Geanuza del Mundo"/>
    <m/>
  </r>
  <r>
    <x v="309"/>
    <x v="1"/>
    <x v="6"/>
    <s v="CLFF_1000$$$CH75L70000"/>
    <s v="H000000910"/>
    <s v="DFLTPGCOH_001214"/>
    <s v="LFF (MDG-F)"/>
    <s v="CH75L70000"/>
    <m/>
    <b v="0"/>
    <x v="1"/>
    <x v="3"/>
    <d v="2025-07-28T12:24:11"/>
    <m/>
    <m/>
    <x v="0"/>
    <n v="2"/>
    <s v="Gay Geanuza del Mundo"/>
    <m/>
  </r>
  <r>
    <x v="309"/>
    <x v="1"/>
    <x v="6"/>
    <s v="CLFF_1000$$$DE50R06355"/>
    <s v="H000000737"/>
    <s v="DFLTPGCOH_001261"/>
    <s v="LFF (MDG-F)"/>
    <s v="DE50R06355"/>
    <m/>
    <b v="0"/>
    <x v="1"/>
    <x v="3"/>
    <d v="2025-07-28T12:24:11"/>
    <m/>
    <m/>
    <x v="0"/>
    <n v="2"/>
    <s v="Gay Geanuza del Mundo"/>
    <m/>
  </r>
  <r>
    <x v="310"/>
    <x v="1"/>
    <x v="5"/>
    <s v="ITEMPLA_001520001102"/>
    <s v="H000002867"/>
    <s v="G000000634_IO"/>
    <s v="Non-LFF"/>
    <s v=""/>
    <m/>
    <b v="0"/>
    <x v="1"/>
    <x v="3"/>
    <d v="2025-07-28T12:24:11"/>
    <m/>
    <m/>
    <x v="0"/>
    <n v="2"/>
    <s v="Henry Ifurung Jr."/>
    <m/>
  </r>
  <r>
    <x v="311"/>
    <x v="1"/>
    <x v="5"/>
    <s v="CNOW_7210$$$0000056337 "/>
    <s v="L000013375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2358 "/>
    <s v="L000013120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ROW$$$$0000091826 "/>
    <s v="L00001343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270009 "/>
    <s v="L00001327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15416 "/>
    <s v="L000010037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CNOW_7210$$$0000056421 "/>
    <s v="L000011306"/>
    <m/>
    <s v="Non-LFF"/>
    <s v=""/>
    <m/>
    <b v="0"/>
    <x v="2"/>
    <x v="3"/>
    <d v="2025-07-30T00:00:00"/>
    <m/>
    <m/>
    <x v="0"/>
    <n v="0"/>
    <s v="Joan Rose Pena"/>
    <m/>
  </r>
  <r>
    <x v="311"/>
    <x v="1"/>
    <x v="5"/>
    <s v="D30013400000000 Project Lotus"/>
    <s v="L000006623"/>
    <m/>
    <s v="Non-LFF"/>
    <s v=""/>
    <m/>
    <b v="0"/>
    <x v="2"/>
    <x v="3"/>
    <d v="2025-07-30T00:00:00"/>
    <m/>
    <m/>
    <x v="0"/>
    <n v="0"/>
    <s v="Joan Rose Pen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6"/>
        <item sd="0" m="1" x="4"/>
        <item sd="0" m="1" x="5"/>
        <item x="0"/>
        <item m="1" x="7"/>
        <item sd="0" m="1" x="8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7"/>
    </i>
    <i r="1">
      <x v="10"/>
    </i>
    <i>
      <x v="7"/>
    </i>
    <i r="1">
      <x/>
    </i>
    <i r="1">
      <x v="3"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6" firstHeaderRow="1" firstDataRow="1" firstDataCol="1" rowPageCount="1" colPageCount="1"/>
  <pivotFields count="19">
    <pivotField axis="axisRow" showAll="0" sortType="ascending">
      <items count="1494">
        <item m="1" x="878"/>
        <item x="0"/>
        <item m="1" x="948"/>
        <item m="1" x="1369"/>
        <item m="1" x="531"/>
        <item m="1" x="1386"/>
        <item m="1" x="908"/>
        <item m="1" x="998"/>
        <item m="1" x="1419"/>
        <item m="1" x="1213"/>
        <item m="1" x="901"/>
        <item m="1" x="1485"/>
        <item m="1" x="1231"/>
        <item m="1" x="1475"/>
        <item m="1" x="849"/>
        <item m="1" x="750"/>
        <item m="1" x="454"/>
        <item m="1" x="715"/>
        <item m="1" x="1439"/>
        <item m="1" x="507"/>
        <item m="1" x="815"/>
        <item m="1" x="1183"/>
        <item m="1" x="898"/>
        <item m="1" x="991"/>
        <item m="1" x="1287"/>
        <item m="1" x="1472"/>
        <item m="1" x="933"/>
        <item m="1" x="955"/>
        <item m="1" x="720"/>
        <item m="1" x="1121"/>
        <item m="1" x="880"/>
        <item m="1" x="1426"/>
        <item m="1" x="1083"/>
        <item m="1" x="516"/>
        <item m="1" x="624"/>
        <item m="1" x="1411"/>
        <item m="1" x="1175"/>
        <item m="1" x="429"/>
        <item m="1" x="1261"/>
        <item m="1" x="927"/>
        <item m="1" x="1222"/>
        <item m="1" x="808"/>
        <item m="1" x="1160"/>
        <item m="1" x="419"/>
        <item m="1" x="449"/>
        <item m="1" x="1488"/>
        <item m="1" x="1167"/>
        <item m="1" x="1235"/>
        <item m="1" x="1342"/>
        <item m="1" x="1111"/>
        <item m="1" x="1209"/>
        <item m="1" x="1048"/>
        <item m="1" x="503"/>
        <item m="1" x="694"/>
        <item m="1" x="1470"/>
        <item m="1" x="1038"/>
        <item m="1" x="1178"/>
        <item m="1" x="706"/>
        <item m="1" x="667"/>
        <item m="1" x="959"/>
        <item m="1" x="851"/>
        <item m="1" x="884"/>
        <item m="1" x="443"/>
        <item m="1" x="582"/>
        <item m="1" x="1244"/>
        <item m="1" x="1461"/>
        <item m="1" x="647"/>
        <item m="1" x="1052"/>
        <item m="1" x="1062"/>
        <item m="1" x="1239"/>
        <item m="1" x="1349"/>
        <item m="1" x="1227"/>
        <item m="1" x="522"/>
        <item m="1" x="1370"/>
        <item m="1" x="1100"/>
        <item m="1" x="1087"/>
        <item m="1" x="622"/>
        <item m="1" x="975"/>
        <item m="1" x="1322"/>
        <item m="1" x="440"/>
        <item m="1" x="1019"/>
        <item m="1" x="1372"/>
        <item m="1" x="1210"/>
        <item m="1" x="945"/>
        <item m="1" x="987"/>
        <item m="1" x="868"/>
        <item m="1" x="1103"/>
        <item m="1" x="915"/>
        <item m="1" x="1147"/>
        <item m="1" x="631"/>
        <item m="1" x="1460"/>
        <item m="1" x="985"/>
        <item m="1" x="1271"/>
        <item m="1" x="348"/>
        <item m="1" x="1476"/>
        <item m="1" x="1012"/>
        <item m="1" x="1301"/>
        <item m="1" x="1214"/>
        <item m="1" x="992"/>
        <item m="1" x="502"/>
        <item m="1" x="509"/>
        <item m="1" x="549"/>
        <item m="1" x="731"/>
        <item m="1" x="1155"/>
        <item m="1" x="916"/>
        <item m="1" x="1032"/>
        <item m="1" x="1095"/>
        <item m="1" x="1242"/>
        <item m="1" x="1325"/>
        <item m="1" x="887"/>
        <item m="1" x="608"/>
        <item m="1" x="451"/>
        <item m="1" x="594"/>
        <item m="1" x="1469"/>
        <item m="1" x="626"/>
        <item m="1" x="1307"/>
        <item m="1" x="1236"/>
        <item m="1" x="854"/>
        <item m="1" x="926"/>
        <item m="1" x="792"/>
        <item m="1" x="1049"/>
        <item m="1" x="1424"/>
        <item m="1" x="600"/>
        <item m="1" x="548"/>
        <item m="1" x="483"/>
        <item m="1" x="1149"/>
        <item m="1" x="1409"/>
        <item m="1" x="1337"/>
        <item m="1" x="994"/>
        <item m="1" x="518"/>
        <item m="1" x="1243"/>
        <item m="1" x="695"/>
        <item m="1" x="949"/>
        <item m="1" x="1124"/>
        <item m="1" x="1232"/>
        <item m="1" x="352"/>
        <item m="1" x="1181"/>
        <item m="1" x="1144"/>
        <item m="1" x="585"/>
        <item m="1" x="1033"/>
        <item m="1" x="921"/>
        <item m="1" x="874"/>
        <item m="1" x="607"/>
        <item m="1" x="543"/>
        <item m="1" x="783"/>
        <item m="1" x="970"/>
        <item m="1" x="377"/>
        <item m="1" x="716"/>
        <item m="1" x="575"/>
        <item m="1" x="317"/>
        <item m="1" x="827"/>
        <item m="1" x="1028"/>
        <item m="1" x="910"/>
        <item m="1" x="956"/>
        <item m="1" x="1275"/>
        <item m="1" x="857"/>
        <item m="1" x="1383"/>
        <item m="1" x="1107"/>
        <item m="1" x="1046"/>
        <item m="1" x="560"/>
        <item m="1" x="1193"/>
        <item m="1" x="1471"/>
        <item m="1" x="1159"/>
        <item m="1" x="1143"/>
        <item m="1" x="430"/>
        <item m="1" x="478"/>
        <item m="1" x="1013"/>
        <item m="1" x="519"/>
        <item m="1" x="1456"/>
        <item m="1" x="1122"/>
        <item m="1" x="1047"/>
        <item m="1" x="999"/>
        <item m="1" x="800"/>
        <item m="1" x="428"/>
        <item m="1" x="528"/>
        <item m="1" x="634"/>
        <item m="1" x="1367"/>
        <item m="1" x="1399"/>
        <item m="1" x="1098"/>
        <item m="1" x="825"/>
        <item m="1" x="913"/>
        <item m="1" x="423"/>
        <item m="1" x="463"/>
        <item m="1" x="802"/>
        <item m="1" x="1027"/>
        <item m="1" x="940"/>
        <item m="1" x="598"/>
        <item m="1" x="831"/>
        <item m="1" x="545"/>
        <item m="1" x="740"/>
        <item m="1" x="662"/>
        <item m="1" x="497"/>
        <item m="1" x="633"/>
        <item m="1" x="1003"/>
        <item m="1" x="413"/>
        <item m="1" x="652"/>
        <item m="1" x="444"/>
        <item m="1" x="1137"/>
        <item m="1" x="1326"/>
        <item m="1" x="936"/>
        <item m="1" x="580"/>
        <item m="1" x="1230"/>
        <item m="1" x="1075"/>
        <item m="1" x="592"/>
        <item m="1" x="593"/>
        <item m="1" x="778"/>
        <item m="1" x="468"/>
        <item m="1" x="657"/>
        <item m="1" x="452"/>
        <item m="1" x="638"/>
        <item m="1" x="1206"/>
        <item m="1" x="717"/>
        <item m="1" x="1084"/>
        <item m="1" x="1134"/>
        <item m="1" x="1268"/>
        <item m="1" x="1272"/>
        <item m="1" x="989"/>
        <item m="1" x="830"/>
        <item m="1" x="869"/>
        <item m="1" x="1436"/>
        <item m="1" x="729"/>
        <item m="1" x="541"/>
        <item m="1" x="919"/>
        <item m="1" x="376"/>
        <item m="1" x="1440"/>
        <item m="1" x="903"/>
        <item m="1" x="337"/>
        <item m="1" x="1358"/>
        <item m="1" x="1401"/>
        <item m="1" x="1238"/>
        <item m="1" x="615"/>
        <item m="1" x="354"/>
        <item m="1" x="1288"/>
        <item m="1" x="679"/>
        <item m="1" x="315"/>
        <item m="1" x="1459"/>
        <item m="1" x="703"/>
        <item m="1" x="858"/>
        <item m="1" x="1303"/>
        <item m="1" x="390"/>
        <item m="1" x="1215"/>
        <item m="1" x="1023"/>
        <item m="1" x="888"/>
        <item m="1" x="758"/>
        <item m="1" x="505"/>
        <item m="1" x="1006"/>
        <item m="1" x="708"/>
        <item m="1" x="1246"/>
        <item m="1" x="568"/>
        <item m="1" x="1316"/>
        <item m="1" x="1323"/>
        <item m="1" x="1007"/>
        <item m="1" x="1197"/>
        <item m="1" x="614"/>
        <item m="1" x="911"/>
        <item m="1" x="1200"/>
        <item m="1" x="784"/>
        <item m="1" x="1074"/>
        <item m="1" x="713"/>
        <item m="1" x="498"/>
        <item m="1" x="702"/>
        <item m="1" x="1468"/>
        <item m="1" x="1410"/>
        <item m="1" x="555"/>
        <item m="1" x="1356"/>
        <item m="1" x="362"/>
        <item m="1" x="1378"/>
        <item m="1" x="397"/>
        <item m="1" x="699"/>
        <item m="1" x="797"/>
        <item m="1" x="744"/>
        <item m="1" x="1351"/>
        <item m="1" x="1254"/>
        <item m="1" x="495"/>
        <item m="1" x="1065"/>
        <item m="1" x="1273"/>
        <item m="1" x="1407"/>
        <item m="1" x="1314"/>
        <item m="1" x="400"/>
        <item m="1" x="1480"/>
        <item m="1" x="551"/>
        <item m="1" x="832"/>
        <item m="1" x="1276"/>
        <item m="1" x="399"/>
        <item m="1" x="1335"/>
        <item m="1" x="564"/>
        <item m="1" x="1208"/>
        <item m="1" x="1072"/>
        <item m="1" x="1050"/>
        <item m="1" x="629"/>
        <item m="1" x="591"/>
        <item m="1" x="1403"/>
        <item m="1" x="344"/>
        <item m="1" x="526"/>
        <item m="1" x="1185"/>
        <item m="1" x="1296"/>
        <item m="1" x="1223"/>
        <item m="1" x="1427"/>
        <item m="1" x="931"/>
        <item m="1" x="558"/>
        <item m="1" x="678"/>
        <item m="1" x="997"/>
        <item m="1" x="739"/>
        <item m="1" x="1067"/>
        <item m="1" x="680"/>
        <item m="1" x="482"/>
        <item m="1" x="1135"/>
        <item m="1" x="537"/>
        <item m="1" x="417"/>
        <item m="1" x="1269"/>
        <item m="1" x="1416"/>
        <item m="1" x="1117"/>
        <item m="1" x="382"/>
        <item m="1" x="1308"/>
        <item m="1" x="1106"/>
        <item m="1" x="1216"/>
        <item m="1" x="1355"/>
        <item m="1" x="583"/>
        <item m="1" x="775"/>
        <item m="1" x="613"/>
        <item m="1" x="881"/>
        <item m="1" x="805"/>
        <item m="1" x="835"/>
        <item m="1" x="1371"/>
        <item m="1" x="817"/>
        <item m="1" x="1020"/>
        <item m="1" x="552"/>
        <item m="1" x="751"/>
        <item m="1" x="725"/>
        <item m="1" x="1068"/>
        <item m="1" x="971"/>
        <item m="1" x="1199"/>
        <item m="1" x="721"/>
        <item m="1" x="1357"/>
        <item m="1" x="559"/>
        <item m="1" x="485"/>
        <item m="1" x="741"/>
        <item m="1" x="1282"/>
        <item m="1" x="392"/>
        <item m="1" x="393"/>
        <item m="1" x="689"/>
        <item m="1" x="1362"/>
        <item m="1" x="756"/>
        <item m="1" x="401"/>
        <item m="1" x="561"/>
        <item m="1" x="803"/>
        <item m="1" x="1114"/>
        <item m="1" x="1086"/>
        <item m="1" x="757"/>
        <item m="1" x="338"/>
        <item m="1" x="476"/>
        <item m="1" x="688"/>
        <item m="1" x="576"/>
        <item m="1" x="333"/>
        <item m="1" x="1286"/>
        <item m="1" x="1415"/>
        <item m="1" x="885"/>
        <item m="1" x="1315"/>
        <item m="1" x="1375"/>
        <item m="1" x="398"/>
        <item m="1" x="1413"/>
        <item m="1" x="1151"/>
        <item m="1" x="574"/>
        <item m="1" x="760"/>
        <item m="1" x="664"/>
        <item m="1" x="1026"/>
        <item m="1" x="597"/>
        <item m="1" x="813"/>
        <item m="1" x="1108"/>
        <item m="1" x="1233"/>
        <item m="1" x="736"/>
        <item m="1" x="864"/>
        <item m="1" x="676"/>
        <item m="1" x="602"/>
        <item m="1" x="1113"/>
        <item m="1" x="1228"/>
        <item m="1" x="1390"/>
        <item m="1" x="432"/>
        <item m="1" x="636"/>
        <item m="1" x="1076"/>
        <item m="1" x="477"/>
        <item m="1" x="764"/>
        <item m="1" x="1145"/>
        <item m="1" x="410"/>
        <item m="1" x="620"/>
        <item m="1" x="730"/>
        <item m="1" x="1336"/>
        <item m="1" x="569"/>
        <item m="1" x="839"/>
        <item m="1" x="1392"/>
        <item m="1" x="520"/>
        <item m="1" x="709"/>
        <item m="1" x="897"/>
        <item m="1" x="1234"/>
        <item m="1" x="532"/>
        <item m="1" x="788"/>
        <item m="1" x="630"/>
        <item m="1" x="1126"/>
        <item m="1" x="1312"/>
        <item m="1" x="438"/>
        <item m="1" x="658"/>
        <item m="1" x="1394"/>
        <item m="1" x="1359"/>
        <item m="1" x="459"/>
        <item m="1" x="776"/>
        <item m="1" x="1300"/>
        <item m="1" x="1431"/>
        <item m="1" x="1302"/>
        <item m="1" x="1277"/>
        <item m="1" x="408"/>
        <item m="1" x="584"/>
        <item m="1" x="666"/>
        <item m="1" x="655"/>
        <item m="1" x="882"/>
        <item m="1" x="370"/>
        <item m="1" x="1069"/>
        <item m="1" x="1140"/>
        <item m="1" x="322"/>
        <item m="1" x="1400"/>
        <item m="1" x="1262"/>
        <item m="1" x="1391"/>
        <item m="1" x="1421"/>
        <item m="1" x="1457"/>
        <item m="1" x="1395"/>
        <item m="1" x="759"/>
        <item m="1" x="1119"/>
        <item m="1" x="726"/>
        <item m="1" x="1132"/>
        <item m="1" x="1097"/>
        <item m="1" x="535"/>
        <item m="1" x="573"/>
        <item m="1" x="711"/>
        <item m="1" x="1176"/>
        <item m="1" x="696"/>
        <item m="1" x="442"/>
        <item m="1" x="1441"/>
        <item m="1" x="1191"/>
        <item m="1" x="1024"/>
        <item m="1" x="1056"/>
        <item m="1" x="1105"/>
        <item m="1" x="530"/>
        <item m="1" x="872"/>
        <item m="1" x="1217"/>
        <item m="1" x="368"/>
        <item m="1" x="611"/>
        <item m="1" x="511"/>
        <item m="1" x="508"/>
        <item m="1" x="512"/>
        <item m="1" x="313"/>
        <item m="1" x="534"/>
        <item m="1" x="1331"/>
        <item m="1" x="335"/>
        <item m="1" x="981"/>
        <item m="1" x="1418"/>
        <item m="1" x="1229"/>
        <item m="1" x="489"/>
        <item m="1" x="1489"/>
        <item m="1" x="418"/>
        <item m="1" x="785"/>
        <item m="1" x="1008"/>
        <item m="1" x="464"/>
        <item m="1" x="917"/>
        <item m="1" x="1077"/>
        <item m="1" x="1345"/>
        <item m="1" x="1247"/>
        <item m="1" x="326"/>
        <item m="1" x="1009"/>
        <item m="1" x="409"/>
        <item m="1" x="645"/>
        <item m="1" x="617"/>
        <item m="1" x="379"/>
        <item m="1" x="972"/>
        <item m="1" x="979"/>
        <item m="1" x="1079"/>
        <item m="1" x="828"/>
        <item m="1" x="1328"/>
        <item m="1" x="737"/>
        <item m="1" x="1447"/>
        <item m="1" x="1082"/>
        <item m="1" x="973"/>
        <item m="1" x="637"/>
        <item m="1" x="1045"/>
        <item m="1" x="1343"/>
        <item m="1" x="1408"/>
        <item m="1" x="1387"/>
        <item m="1" x="1317"/>
        <item m="1" x="1066"/>
        <item m="1" x="1179"/>
        <item m="1" x="692"/>
        <item m="1" x="1141"/>
        <item m="1" x="966"/>
        <item m="1" x="925"/>
        <item m="1" x="923"/>
        <item m="1" x="924"/>
        <item m="1" x="621"/>
        <item m="1" x="665"/>
        <item m="1" x="1278"/>
        <item m="1" x="843"/>
        <item m="1" x="685"/>
        <item m="1" x="727"/>
        <item m="1" x="773"/>
        <item m="1" x="1025"/>
        <item m="1" x="1363"/>
        <item m="1" x="1452"/>
        <item m="1" x="570"/>
        <item m="1" x="521"/>
        <item m="1" x="358"/>
        <item m="1" x="380"/>
        <item m="1" x="677"/>
        <item m="1" x="465"/>
        <item m="1" x="793"/>
        <item m="1" x="1329"/>
        <item m="1" x="670"/>
        <item m="1" x="462"/>
        <item m="1" x="1221"/>
        <item m="1" x="339"/>
        <item m="1" x="1347"/>
        <item m="1" x="1422"/>
        <item m="1" x="1486"/>
        <item m="1" x="1361"/>
        <item m="1" x="604"/>
        <item m="1" x="381"/>
        <item m="1" x="845"/>
        <item m="1" x="929"/>
        <item m="1" x="1125"/>
        <item m="1" x="1093"/>
        <item m="1" x="1129"/>
        <item m="1" x="906"/>
        <item m="1" x="944"/>
        <item m="1" x="1385"/>
        <item m="1" x="1148"/>
        <item m="1" x="1118"/>
        <item m="1" x="1057"/>
        <item m="1" x="1130"/>
        <item m="1" x="331"/>
        <item m="1" x="336"/>
        <item m="1" x="939"/>
        <item m="1" x="1324"/>
        <item m="1" x="894"/>
        <item m="1" x="1464"/>
        <item m="1" x="863"/>
        <item m="1" x="1039"/>
        <item m="1" x="1110"/>
        <item m="1" x="724"/>
        <item m="1" x="556"/>
        <item m="1" x="932"/>
        <item m="1" x="618"/>
        <item m="1" x="1473"/>
        <item m="1" x="1388"/>
        <item m="1" x="1201"/>
        <item m="1" x="458"/>
        <item m="1" x="385"/>
        <item m="1" x="958"/>
        <item m="1" x="1202"/>
        <item m="1" x="1491"/>
        <item m="1" x="837"/>
        <item m="1" x="1438"/>
        <item m="1" x="372"/>
        <item m="1" x="486"/>
        <item m="1" x="798"/>
        <item m="1" x="889"/>
        <item m="1" x="1318"/>
        <item m="1" x="642"/>
        <item m="1" x="1321"/>
        <item m="1" x="738"/>
        <item m="1" x="1310"/>
        <item m="1" x="1474"/>
        <item m="1" x="402"/>
        <item m="1" x="1458"/>
        <item m="1" x="349"/>
        <item m="1" x="1211"/>
        <item m="1" x="829"/>
        <item m="1" x="660"/>
        <item m="1" x="623"/>
        <item m="1" x="767"/>
        <item m="1" x="366"/>
        <item m="1" x="1451"/>
        <item m="1" x="450"/>
        <item m="1" x="471"/>
        <item m="1" x="1344"/>
        <item m="1" x="1423"/>
        <item m="1" x="937"/>
        <item m="1" x="1078"/>
        <item m="1" x="779"/>
        <item m="1" x="892"/>
        <item m="1" x="1041"/>
        <item m="1" x="1158"/>
        <item m="1" x="745"/>
        <item m="1" x="1021"/>
        <item m="1" x="840"/>
        <item m="1" x="1477"/>
        <item m="1" x="330"/>
        <item m="1" x="769"/>
        <item m="1" x="710"/>
        <item m="1" x="671"/>
        <item m="1" x="1465"/>
        <item m="1" x="1283"/>
        <item m="1" x="1414"/>
        <item m="1" x="427"/>
        <item m="1" x="1425"/>
        <item m="1" x="1412"/>
        <item m="1" x="1289"/>
        <item m="1" x="524"/>
        <item m="1" x="893"/>
        <item m="1" x="986"/>
        <item m="1" x="732"/>
        <item m="1" x="1330"/>
        <item m="1" x="1116"/>
        <item m="1" x="1136"/>
        <item m="1" x="1030"/>
        <item m="1" x="373"/>
        <item m="1" x="1203"/>
        <item m="1" x="1365"/>
        <item m="1" x="770"/>
        <item m="1" x="1484"/>
        <item m="1" x="978"/>
        <item m="1" x="565"/>
        <item m="1" x="698"/>
        <item m="1" x="734"/>
        <item m="1" x="1393"/>
        <item m="1" x="1377"/>
        <item m="1" x="437"/>
        <item m="1" x="439"/>
        <item m="1" x="353"/>
        <item m="1" x="1313"/>
        <item m="1" x="355"/>
        <item m="1" x="772"/>
        <item m="1" x="672"/>
        <item m="1" x="1128"/>
        <item m="1" x="1071"/>
        <item m="1" x="1420"/>
        <item m="1" x="1352"/>
        <item m="1" x="844"/>
        <item m="1" x="1058"/>
        <item m="1" x="1293"/>
        <item m="1" x="406"/>
        <item m="1" x="838"/>
        <item m="1" x="768"/>
        <item m="1" x="1462"/>
        <item m="1" x="1429"/>
        <item m="1" x="860"/>
        <item m="1" x="466"/>
        <item m="1" x="761"/>
        <item m="1" x="934"/>
        <item m="1" x="388"/>
        <item m="1" x="1224"/>
        <item m="1" x="818"/>
        <item m="1" x="628"/>
        <item m="1" x="722"/>
        <item m="1" x="1168"/>
        <item m="1" x="1467"/>
        <item m="1" x="546"/>
        <item m="1" x="1319"/>
        <item m="1" x="540"/>
        <item m="1" x="1104"/>
        <item m="1" x="876"/>
        <item m="1" x="807"/>
        <item m="1" x="529"/>
        <item m="1" x="596"/>
        <item m="1" x="384"/>
        <item m="1" x="1184"/>
        <item m="1" x="697"/>
        <item m="1" x="421"/>
        <item m="1" x="1035"/>
        <item m="1" x="1350"/>
        <item m="1" x="890"/>
        <item m="1" x="848"/>
        <item m="1" x="319"/>
        <item m="1" x="1455"/>
        <item m="1" x="705"/>
        <item m="1" x="765"/>
        <item m="1" x="1172"/>
        <item m="1" x="1449"/>
        <item m="1" x="1374"/>
        <item m="1" x="1225"/>
        <item m="1" x="1340"/>
        <item m="1" x="501"/>
        <item m="1" x="700"/>
        <item m="1" x="533"/>
        <item m="1" x="325"/>
        <item m="1" x="938"/>
        <item m="1" x="387"/>
        <item m="1" x="609"/>
        <item m="1" x="553"/>
        <item m="1" x="499"/>
        <item m="1" x="1454"/>
        <item m="1" x="550"/>
        <item m="1" x="1152"/>
        <item m="1" x="1364"/>
        <item m="1" x="490"/>
        <item m="1" x="394"/>
        <item m="1" x="1187"/>
        <item m="1" x="1163"/>
        <item m="1" x="1204"/>
        <item m="1" x="1123"/>
        <item m="1" x="467"/>
        <item m="1" x="823"/>
        <item m="1" x="1091"/>
        <item m="1" x="1341"/>
        <item m="1" x="935"/>
        <item m="1" x="1053"/>
        <item m="1" x="1397"/>
        <item m="1" x="809"/>
        <item m="1" x="653"/>
        <item m="1" x="886"/>
        <item m="1" x="833"/>
        <item m="1" x="763"/>
        <item m="1" x="1280"/>
        <item m="1" x="967"/>
        <item m="1" x="1063"/>
        <item m="1" x="314"/>
        <item m="1" x="859"/>
        <item m="1" x="461"/>
        <item m="1" x="728"/>
        <item m="1" x="866"/>
        <item m="1" x="396"/>
        <item m="1" x="513"/>
        <item m="1" x="968"/>
        <item m="1" x="1165"/>
        <item m="1" x="1435"/>
        <item m="1" x="1478"/>
        <item m="1" x="1088"/>
        <item m="1" x="436"/>
        <item m="1" x="364"/>
        <item m="1" x="950"/>
        <item m="1" x="572"/>
        <item m="1" x="846"/>
        <item m="1" x="474"/>
        <item m="1" x="577"/>
        <item m="1" x="1004"/>
        <item m="1" x="1360"/>
        <item m="1" x="1291"/>
        <item m="1" x="707"/>
        <item m="1" x="742"/>
        <item m="1" x="1018"/>
        <item m="1" x="1448"/>
        <item m="1" x="1174"/>
        <item m="1" x="340"/>
        <item m="1" x="1402"/>
        <item m="1" x="448"/>
        <item m="1" x="1094"/>
        <item m="1" x="1139"/>
        <item m="1" x="1142"/>
        <item m="1" x="1482"/>
        <item m="1" x="375"/>
        <item m="1" x="1153"/>
        <item m="1" x="1250"/>
        <item m="1" x="1022"/>
        <item m="1" x="1192"/>
        <item m="1" x="434"/>
        <item m="1" x="826"/>
        <item m="1" x="673"/>
        <item m="1" x="1285"/>
        <item m="1" x="1380"/>
        <item m="1" x="909"/>
        <item m="1" x="1348"/>
        <item m="1" x="1396"/>
        <item m="1" x="749"/>
        <item m="1" x="1252"/>
        <item m="1" x="1115"/>
        <item m="1" x="1398"/>
        <item m="1" x="1442"/>
        <item m="1" x="1180"/>
        <item m="1" x="790"/>
        <item m="1" x="595"/>
        <item m="1" x="1430"/>
        <item m="1" x="977"/>
        <item m="1" x="951"/>
        <item m="1" x="960"/>
        <item m="1" x="1481"/>
        <item m="1" x="1205"/>
        <item m="1" x="900"/>
        <item m="1" x="1169"/>
        <item m="1" x="1146"/>
        <item m="1" x="762"/>
        <item m="1" x="663"/>
        <item m="1" x="1162"/>
        <item m="1" x="557"/>
        <item m="1" x="514"/>
        <item m="1" x="456"/>
        <item m="1" x="1443"/>
        <item m="1" x="1059"/>
        <item m="1" x="794"/>
        <item m="1" x="875"/>
        <item m="1" x="356"/>
        <item m="1" x="1432"/>
        <item m="1" x="983"/>
        <item m="1" x="1131"/>
        <item m="1" x="579"/>
        <item m="1" x="1263"/>
        <item m="1" x="766"/>
        <item m="1" x="659"/>
        <item m="1" x="1487"/>
        <item m="1" x="789"/>
        <item m="1" x="1428"/>
        <item m="1" x="1014"/>
        <item m="1" x="690"/>
        <item m="1" x="481"/>
        <item m="1" x="424"/>
        <item m="1" x="718"/>
        <item m="1" x="415"/>
        <item m="1" x="386"/>
        <item m="1" x="403"/>
        <item m="1" x="682"/>
        <item m="1" x="527"/>
        <item m="1" x="834"/>
        <item m="1" x="891"/>
        <item m="1" x="990"/>
        <item m="1" x="861"/>
        <item m="1" x="1194"/>
        <item m="1" x="1258"/>
        <item m="1" x="470"/>
        <item m="1" x="480"/>
        <item m="1" x="669"/>
        <item m="1" x="811"/>
        <item m="1" x="601"/>
        <item m="1" x="1154"/>
        <item m="1" x="904"/>
        <item m="1" x="821"/>
        <item m="1" x="954"/>
        <item m="1" x="1260"/>
        <item m="1" x="1198"/>
        <item m="1" x="1284"/>
        <item m="1" x="1040"/>
        <item m="1" x="460"/>
        <item m="1" x="1466"/>
        <item m="1" x="879"/>
        <item m="1" x="494"/>
        <item m="1" x="318"/>
        <item m="1" x="1463"/>
        <item m="1" x="947"/>
        <item m="1" x="914"/>
        <item m="1" x="686"/>
        <item m="1" x="566"/>
        <item m="1" x="650"/>
        <item m="1" x="804"/>
        <item m="1" x="1379"/>
        <item m="1" x="1298"/>
        <item m="1" x="674"/>
        <item m="1" x="747"/>
        <item m="1" x="754"/>
        <item m="1" x="1292"/>
        <item m="1" x="895"/>
        <item m="1" x="367"/>
        <item m="1" x="928"/>
        <item m="1" x="1207"/>
        <item m="1" x="1333"/>
        <item m="1" x="1226"/>
        <item m="1" x="1034"/>
        <item m="1" x="1332"/>
        <item m="1" x="346"/>
        <item m="1" x="1249"/>
        <item m="1" x="328"/>
        <item m="1" x="668"/>
        <item m="1" x="332"/>
        <item m="1" x="491"/>
        <item m="1" x="581"/>
        <item m="1" x="587"/>
        <item m="1" x="1005"/>
        <item m="1" x="1259"/>
        <item m="1" x="786"/>
        <item m="1" x="357"/>
        <item m="1" x="563"/>
        <item m="1" x="351"/>
        <item m="1" x="1346"/>
        <item m="1" x="571"/>
        <item m="1" x="907"/>
        <item m="1" x="1366"/>
        <item m="1" x="693"/>
        <item m="1" x="635"/>
        <item m="1" x="1031"/>
        <item m="1" x="588"/>
        <item m="1" x="896"/>
        <item m="1" x="1190"/>
        <item m="1" x="329"/>
        <item m="1" x="842"/>
        <item m="1" x="961"/>
        <item m="1" x="453"/>
        <item m="1" x="795"/>
        <item m="1" x="930"/>
        <item m="1" x="681"/>
        <item m="1" x="719"/>
        <item m="1" x="446"/>
        <item m="1" x="852"/>
        <item m="1" x="316"/>
        <item m="1" x="988"/>
        <item m="1" x="1381"/>
        <item m="1" x="1102"/>
        <item m="1" x="1096"/>
        <item m="1" x="995"/>
        <item m="1" x="321"/>
        <item m="1" x="1127"/>
        <item m="1" x="1170"/>
        <item m="1" x="976"/>
        <item m="1" x="320"/>
        <item m="1" x="1327"/>
        <item m="1" x="1294"/>
        <item m="1" x="324"/>
        <item m="1" x="603"/>
        <item m="1" x="993"/>
        <item m="1" x="1248"/>
        <item m="1" x="445"/>
        <item m="1" x="341"/>
        <item m="1" x="500"/>
        <item m="1" x="391"/>
        <item m="1" x="799"/>
        <item m="1" x="612"/>
        <item m="1" x="610"/>
        <item m="1" x="781"/>
        <item m="1" x="883"/>
        <item m="1" x="787"/>
        <item m="1" x="984"/>
        <item m="1" x="836"/>
        <item m="1" x="701"/>
        <item m="1" x="816"/>
        <item m="1" x="1309"/>
        <item m="1" x="1404"/>
        <item m="1" x="661"/>
        <item m="1" x="1384"/>
        <item m="1" x="426"/>
        <item m="1" x="1373"/>
        <item m="1" x="1070"/>
        <item m="1" x="1241"/>
        <item m="1" x="1320"/>
        <item m="1" x="1000"/>
        <item m="1" x="1212"/>
        <item m="1" x="504"/>
        <item m="1" x="487"/>
        <item m="1" x="1109"/>
        <item m="1" x="1081"/>
        <item m="1" x="643"/>
        <item m="1" x="1479"/>
        <item m="1" x="1051"/>
        <item m="1" x="791"/>
        <item m="1" x="865"/>
        <item m="1" x="824"/>
        <item m="1" x="1334"/>
        <item m="1" x="1338"/>
        <item m="1" x="334"/>
        <item m="1" x="1218"/>
        <item m="1" x="1264"/>
        <item m="1" x="383"/>
        <item m="1" x="755"/>
        <item m="1" x="746"/>
        <item m="1" x="1253"/>
        <item m="1" x="952"/>
        <item m="1" x="1156"/>
        <item m="1" x="822"/>
        <item m="1" x="1173"/>
        <item m="1" x="361"/>
        <item m="1" x="484"/>
        <item m="1" x="1453"/>
        <item m="1" x="1073"/>
        <item m="1" x="1445"/>
        <item m="1" x="365"/>
        <item m="1" x="625"/>
        <item m="1" x="441"/>
        <item m="1" x="374"/>
        <item m="1" x="389"/>
        <item m="1" x="941"/>
        <item m="1" x="974"/>
        <item m="1" x="646"/>
        <item m="1" x="1064"/>
        <item m="1" x="1382"/>
        <item m="1" x="733"/>
        <item m="1" x="812"/>
        <item m="1" x="962"/>
        <item m="1" x="1450"/>
        <item m="1" x="627"/>
        <item m="1" x="639"/>
        <item m="1" x="649"/>
        <item m="1" x="1270"/>
        <item m="1" x="1406"/>
        <item m="1" x="323"/>
        <item m="1" x="1150"/>
        <item m="1" x="1446"/>
        <item m="1" x="547"/>
        <item m="1" x="862"/>
        <item m="1" x="1483"/>
        <item m="1" x="1389"/>
        <item m="1" x="536"/>
        <item m="1" x="648"/>
        <item m="1" x="735"/>
        <item m="1" x="1060"/>
        <item m="1" x="1257"/>
        <item m="1" x="492"/>
        <item m="1" x="963"/>
        <item m="1" x="488"/>
        <item m="1" x="457"/>
        <item m="1" x="405"/>
        <item m="1" x="1376"/>
        <item m="1" x="969"/>
        <item m="1" x="1417"/>
        <item m="1" x="810"/>
        <item m="1" x="1434"/>
        <item m="1" x="1186"/>
        <item m="1" x="475"/>
        <item m="1" x="1290"/>
        <item m="1" x="1304"/>
        <item m="1" x="964"/>
        <item m="1" x="1339"/>
        <item m="1" x="1177"/>
        <item m="1" x="1042"/>
        <item m="1" x="359"/>
        <item m="1" x="1188"/>
        <item m="1" x="920"/>
        <item m="1" x="853"/>
        <item m="1" x="1196"/>
        <item m="1" x="780"/>
        <item m="1" x="414"/>
        <item m="1" x="586"/>
        <item m="1" x="363"/>
        <item m="1" x="712"/>
        <item m="1" x="1090"/>
        <item m="1" x="675"/>
        <item m="1" x="538"/>
        <item m="1" x="753"/>
        <item m="1" x="431"/>
        <item m="1" x="683"/>
        <item m="1" x="554"/>
        <item m="1" x="905"/>
        <item m="1" x="1492"/>
        <item m="1" x="946"/>
        <item m="1" x="542"/>
        <item m="1" x="819"/>
        <item m="1" x="525"/>
        <item m="1" x="578"/>
        <item m="1" x="870"/>
        <item m="1" x="1138"/>
        <item m="1" x="855"/>
        <item m="1" x="1305"/>
        <item m="1" x="867"/>
        <item m="1" x="1101"/>
        <item m="1" x="416"/>
        <item m="1" x="899"/>
        <item m="1" x="539"/>
        <item m="1" x="469"/>
        <item m="1" x="1195"/>
        <item m="1" x="510"/>
        <item m="1" x="1219"/>
        <item m="1" x="411"/>
        <item m="1" x="1036"/>
        <item m="1" x="1043"/>
        <item m="1" x="447"/>
        <item m="1" x="965"/>
        <item m="1" x="343"/>
        <item m="1" x="1166"/>
        <item m="1" x="871"/>
        <item m="1" x="1092"/>
        <item m="1" x="1061"/>
        <item m="1" x="1281"/>
        <item m="1" x="1054"/>
        <item m="1" x="632"/>
        <item m="1" x="1133"/>
        <item m="1" x="1267"/>
        <item m="1" x="957"/>
        <item m="1" x="1089"/>
        <item m="1" x="422"/>
        <item m="1" x="1255"/>
        <item m="1" x="912"/>
        <item m="1" x="777"/>
        <item m="1" x="1161"/>
        <item m="1" x="687"/>
        <item m="1" x="1010"/>
        <item m="1" x="544"/>
        <item m="1" x="640"/>
        <item m="1" x="1037"/>
        <item m="1" x="806"/>
        <item m="1" x="350"/>
        <item m="1" x="684"/>
        <item m="1" x="1164"/>
        <item m="1" x="1266"/>
        <item m="1" x="369"/>
        <item m="1" x="654"/>
        <item m="1" x="589"/>
        <item m="1" x="922"/>
        <item m="1" x="1015"/>
        <item m="1" x="455"/>
        <item m="1" x="1437"/>
        <item m="1" x="420"/>
        <item m="1" x="493"/>
        <item m="1" x="1274"/>
        <item m="1" x="782"/>
        <item m="1" x="796"/>
        <item m="1" x="850"/>
        <item m="1" x="425"/>
        <item m="1" x="704"/>
        <item m="1" x="1099"/>
        <item m="1" x="1011"/>
        <item m="1" x="801"/>
        <item m="1" x="748"/>
        <item m="1" x="378"/>
        <item m="1" x="616"/>
        <item m="1" x="1080"/>
        <item m="1" x="714"/>
        <item m="1" x="877"/>
        <item m="1" x="814"/>
        <item m="1" x="996"/>
        <item m="1" x="360"/>
        <item m="1" x="841"/>
        <item m="1" x="515"/>
        <item m="1" x="918"/>
        <item m="1" x="1044"/>
        <item m="1" x="1120"/>
        <item m="1" x="1055"/>
        <item m="1" x="1016"/>
        <item m="1" x="942"/>
        <item m="1" x="1353"/>
        <item m="1" x="1245"/>
        <item m="1" x="496"/>
        <item m="1" x="1237"/>
        <item m="1" x="691"/>
        <item m="1" x="1001"/>
        <item m="1" x="407"/>
        <item m="1" x="980"/>
        <item m="1" x="847"/>
        <item m="1" x="1279"/>
        <item m="1" x="433"/>
        <item m="1" x="1490"/>
        <item m="1" x="472"/>
        <item m="1" x="412"/>
        <item m="1" x="982"/>
        <item m="1" x="1182"/>
        <item m="1" x="1085"/>
        <item m="1" x="371"/>
        <item m="1" x="523"/>
        <item m="1" x="1311"/>
        <item m="1" x="1251"/>
        <item m="1" x="506"/>
        <item m="1" x="479"/>
        <item m="1" x="774"/>
        <item m="1" x="395"/>
        <item m="1" x="1002"/>
        <item m="1" x="435"/>
        <item m="1" x="605"/>
        <item m="1" x="902"/>
        <item m="1" x="1433"/>
        <item m="1" x="473"/>
        <item m="1" x="743"/>
        <item m="1" x="590"/>
        <item m="1" x="752"/>
        <item m="1" x="1306"/>
        <item m="1" x="1189"/>
        <item m="1" x="651"/>
        <item m="1" x="404"/>
        <item m="1" x="1354"/>
        <item m="1" x="517"/>
        <item m="1" x="1299"/>
        <item m="1" x="856"/>
        <item m="1" x="1240"/>
        <item m="1" x="599"/>
        <item m="1" x="771"/>
        <item m="1" x="1256"/>
        <item m="1" x="1444"/>
        <item m="1" x="1220"/>
        <item m="1" x="619"/>
        <item m="1" x="562"/>
        <item m="1" x="1265"/>
        <item m="1" x="1029"/>
        <item m="1" x="873"/>
        <item m="1" x="1297"/>
        <item m="1" x="345"/>
        <item m="1" x="342"/>
        <item m="1" x="1017"/>
        <item m="1" x="1157"/>
        <item m="1" x="1112"/>
        <item m="1" x="1295"/>
        <item m="1" x="820"/>
        <item m="1" x="567"/>
        <item m="1" x="641"/>
        <item m="1" x="1171"/>
        <item m="1" x="723"/>
        <item m="1" x="953"/>
        <item m="1" x="1368"/>
        <item m="1" x="606"/>
        <item m="1" x="943"/>
        <item m="1" x="327"/>
        <item m="1" x="65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m="1" x="644"/>
        <item m="1" x="1405"/>
        <item m="1" x="347"/>
        <item m="1" x="31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2">
    <i>
      <x/>
    </i>
    <i r="1">
      <x v="1486"/>
    </i>
    <i r="2">
      <x v="11"/>
    </i>
    <i r="1">
      <x v="1487"/>
    </i>
    <i r="2">
      <x v="8"/>
    </i>
    <i r="1">
      <x v="1488"/>
    </i>
    <i r="2">
      <x v="8"/>
    </i>
    <i>
      <x v="1"/>
    </i>
    <i r="1">
      <x v="1450"/>
    </i>
    <i r="2">
      <x v="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232" totalsRowShown="0" totalsRowDxfId="28">
  <autoFilter ref="A1:C1232" xr:uid="{43456A03-EFD4-416A-B021-C441A7C21E4E}"/>
  <tableColumns count="3">
    <tableColumn id="1" xr3:uid="{96F9219D-1D74-4611-A7AA-8AB4E044352A}" name="Ticket" totalsRowDxfId="27"/>
    <tableColumn id="2" xr3:uid="{D6F02EDE-42BA-4EF9-A278-EA070340E315}" name="Number" totalsRowDxfId="26"/>
    <tableColumn id="3" xr3:uid="{F6A90E5F-0E5C-41D7-A40C-1CC9A86DC194}" name="Status" totalsRow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2918" totalsRowShown="0">
  <autoFilter ref="A1:S2918" xr:uid="{678037D6-A574-4B81-B392-ED766472D9FE}">
    <filterColumn colId="1">
      <filters>
        <filter val="open"/>
      </filters>
    </filterColumn>
    <filterColumn colId="2">
      <filters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4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3"/>
    <tableColumn id="7" xr3:uid="{D69C8A00-2CB4-4F31-920A-C1D332375D40}" name="type"/>
    <tableColumn id="9" xr3:uid="{3D246B09-CC89-411A-9E7E-B79496797F29}" name="LFF_ID" dataDxfId="22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1">
      <calculatedColumnFormula>Proc[[#This Row],[Requested]]=Proc[[#This Row],[CurrentParent]]</calculatedColumnFormula>
    </tableColumn>
    <tableColumn id="24" xr3:uid="{9DAA192A-7AAB-4460-A9EA-787D5AF7E069}" name="Sector" dataDxfId="20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9"/>
    <tableColumn id="15" xr3:uid="{F0BFEDC5-AB85-4752-8DBE-1E2D2A86C38C}" name="DateOpened" dataDxfId="18"/>
    <tableColumn id="17" xr3:uid="{78B7D816-31FE-4F8F-8018-91CE8D5DE9A2}" name="DateMapped" dataDxfId="17"/>
    <tableColumn id="16" xr3:uid="{37F76675-DAA7-497A-B0C3-D5ADC87396FC}" name="DateClosed" dataDxfId="16"/>
    <tableColumn id="23" xr3:uid="{77371810-6F86-4EEF-85D0-5FCFC20B88DC}" name="Delayed?" dataDxfId="15">
      <calculatedColumnFormula>IF(Proc[[#This Row],[DaysAgeing]]&gt;5,"yep","on track")</calculatedColumnFormula>
    </tableColumn>
    <tableColumn id="18" xr3:uid="{6AC4A96E-CE6C-49CA-A4F1-794160BB5940}" name="DaysAgeing" dataDxfId="14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3"/>
    <tableColumn id="22" xr3:uid="{87389AE1-9ECE-4C7F-80F9-48A35BE78A62}" name="Prognosis" dataDxfId="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1" totalsRowShown="0">
  <autoFilter ref="A1:B131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1"/>
    <tableColumn id="6" xr3:uid="{73647D57-303F-4AF5-983C-1CCB32EBD08D}" name="Forecast Period" dataDxfId="10"/>
    <tableColumn id="4" xr3:uid="{FA11B267-B5E3-452C-A4E3-1668B4A12A28}" name="Number of Tickets Raised" dataDxfId="9"/>
    <tableColumn id="1" xr3:uid="{441BC59C-A1EA-4CA8-B944-D602CD57D89D}" name="Delayed Tickets"/>
    <tableColumn id="5" xr3:uid="{29680677-3B0F-4EC4-81FF-46A6FDD4C5F7}" name="Number of Total Objects" dataDxfId="8"/>
    <tableColumn id="2" xr3:uid="{3D96D299-AEA2-4D9C-9BE6-F98ADF0CDB84}" name="Commentary for delayed tickets" dataDxf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18" sqref="C18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24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25">
        <v>1016</v>
      </c>
    </row>
    <row r="5" spans="1:2">
      <c r="A5" s="111" t="s">
        <v>369</v>
      </c>
      <c r="B5" s="125">
        <v>978</v>
      </c>
    </row>
    <row r="6" spans="1:2">
      <c r="A6" s="111" t="s">
        <v>404</v>
      </c>
      <c r="B6" s="125"/>
    </row>
    <row r="7" spans="1:2">
      <c r="A7" s="111" t="s">
        <v>370</v>
      </c>
      <c r="B7" s="125">
        <v>1</v>
      </c>
    </row>
    <row r="8" spans="1:2">
      <c r="A8" s="111" t="s">
        <v>403</v>
      </c>
      <c r="B8" s="125"/>
    </row>
    <row r="9" spans="1:2">
      <c r="A9" s="111" t="s">
        <v>398</v>
      </c>
      <c r="B9" s="125"/>
    </row>
    <row r="10" spans="1:2">
      <c r="A10" s="111" t="s">
        <v>377</v>
      </c>
      <c r="B10" s="125">
        <v>37</v>
      </c>
    </row>
    <row r="11" spans="1:2">
      <c r="A11" s="111" t="s">
        <v>375</v>
      </c>
      <c r="B11" s="125"/>
    </row>
    <row r="12" spans="1:2">
      <c r="A12" s="111" t="s">
        <v>405</v>
      </c>
      <c r="B12" s="125"/>
    </row>
    <row r="13" spans="1:2">
      <c r="A13" s="111" t="s">
        <v>692</v>
      </c>
      <c r="B13" s="125"/>
    </row>
    <row r="14" spans="1:2">
      <c r="A14" s="17" t="s">
        <v>568</v>
      </c>
      <c r="B14" s="125">
        <v>832</v>
      </c>
    </row>
    <row r="15" spans="1:2">
      <c r="A15" s="111" t="s">
        <v>369</v>
      </c>
      <c r="B15" s="125">
        <v>803</v>
      </c>
    </row>
    <row r="16" spans="1:2">
      <c r="A16" s="111" t="s">
        <v>370</v>
      </c>
      <c r="B16" s="125">
        <v>7</v>
      </c>
    </row>
    <row r="17" spans="1:2">
      <c r="A17" s="111" t="s">
        <v>398</v>
      </c>
      <c r="B17" s="125">
        <v>13</v>
      </c>
    </row>
    <row r="18" spans="1:2">
      <c r="A18" s="111" t="s">
        <v>377</v>
      </c>
      <c r="B18" s="125">
        <v>9</v>
      </c>
    </row>
    <row r="19" spans="1:2">
      <c r="A19" s="17" t="s">
        <v>569</v>
      </c>
      <c r="B19" s="125">
        <v>922</v>
      </c>
    </row>
    <row r="20" spans="1:2">
      <c r="A20" s="111" t="s">
        <v>369</v>
      </c>
      <c r="B20" s="125">
        <v>903</v>
      </c>
    </row>
    <row r="21" spans="1:2">
      <c r="A21" s="111" t="s">
        <v>370</v>
      </c>
      <c r="B21" s="125">
        <v>1</v>
      </c>
    </row>
    <row r="22" spans="1:2">
      <c r="A22" s="111" t="s">
        <v>398</v>
      </c>
      <c r="B22" s="125">
        <v>8</v>
      </c>
    </row>
    <row r="23" spans="1:2">
      <c r="A23" s="111" t="s">
        <v>377</v>
      </c>
      <c r="B23" s="125">
        <v>7</v>
      </c>
    </row>
    <row r="24" spans="1:2">
      <c r="A24" s="111" t="s">
        <v>375</v>
      </c>
      <c r="B24" s="125">
        <v>3</v>
      </c>
    </row>
    <row r="25" spans="1:2">
      <c r="A25" s="17" t="s">
        <v>570</v>
      </c>
      <c r="B25" s="125">
        <v>138</v>
      </c>
    </row>
    <row r="26" spans="1:2">
      <c r="A26" s="111" t="s">
        <v>369</v>
      </c>
      <c r="B26" s="125">
        <v>136</v>
      </c>
    </row>
    <row r="27" spans="1:2">
      <c r="A27" s="111" t="s">
        <v>377</v>
      </c>
      <c r="B27" s="125">
        <v>2</v>
      </c>
    </row>
    <row r="28" spans="1:2">
      <c r="A28" s="17" t="s">
        <v>381</v>
      </c>
      <c r="B28" s="125">
        <v>2908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5"/>
  <sheetViews>
    <sheetView zoomScale="115" zoomScaleNormal="115" workbookViewId="0">
      <selection activeCell="A21" sqref="A21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24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25">
        <v>11</v>
      </c>
      <c r="C5"/>
      <c r="D5"/>
      <c r="E5"/>
    </row>
    <row r="6" spans="1:6">
      <c r="A6" s="111" t="s">
        <v>4920</v>
      </c>
      <c r="B6" s="125">
        <v>3</v>
      </c>
      <c r="C6"/>
      <c r="D6" s="124"/>
      <c r="E6" s="124"/>
    </row>
    <row r="7" spans="1:6">
      <c r="A7" s="112" t="s">
        <v>375</v>
      </c>
      <c r="B7" s="125">
        <v>3</v>
      </c>
      <c r="C7"/>
      <c r="D7"/>
      <c r="E7"/>
    </row>
    <row r="8" spans="1:6">
      <c r="A8" s="111" t="s">
        <v>4922</v>
      </c>
      <c r="B8" s="125">
        <v>1</v>
      </c>
      <c r="C8" s="56"/>
      <c r="D8" s="124"/>
      <c r="E8" s="124"/>
    </row>
    <row r="9" spans="1:6">
      <c r="A9" s="112" t="s">
        <v>370</v>
      </c>
      <c r="B9" s="125">
        <v>1</v>
      </c>
      <c r="C9"/>
      <c r="D9"/>
    </row>
    <row r="10" spans="1:6">
      <c r="A10" s="111" t="s">
        <v>4940</v>
      </c>
      <c r="B10" s="125">
        <v>7</v>
      </c>
      <c r="C10" s="53"/>
      <c r="D10" s="124"/>
      <c r="E10" s="124"/>
    </row>
    <row r="11" spans="1:6">
      <c r="A11" s="112" t="s">
        <v>370</v>
      </c>
      <c r="B11" s="125">
        <v>7</v>
      </c>
      <c r="C11"/>
      <c r="D11"/>
    </row>
    <row r="12" spans="1:6">
      <c r="A12" s="17" t="s">
        <v>4328</v>
      </c>
      <c r="B12" s="125">
        <v>11</v>
      </c>
      <c r="C12"/>
      <c r="D12"/>
    </row>
    <row r="13" spans="1:6">
      <c r="A13" s="111" t="s">
        <v>4415</v>
      </c>
      <c r="B13" s="125">
        <v>11</v>
      </c>
      <c r="C13"/>
      <c r="D13"/>
    </row>
    <row r="14" spans="1:6">
      <c r="A14" s="112" t="s">
        <v>369</v>
      </c>
      <c r="B14" s="125">
        <v>10</v>
      </c>
      <c r="C14" s="53"/>
      <c r="D14"/>
    </row>
    <row r="15" spans="1:6">
      <c r="A15" s="112" t="s">
        <v>370</v>
      </c>
      <c r="B15" s="125">
        <v>1</v>
      </c>
      <c r="C15"/>
      <c r="D15" s="124"/>
      <c r="E15" s="124"/>
    </row>
    <row r="16" spans="1:6">
      <c r="A16" s="17" t="s">
        <v>381</v>
      </c>
      <c r="B16" s="125">
        <v>22</v>
      </c>
      <c r="C16"/>
      <c r="D16"/>
    </row>
    <row r="17" spans="3:5">
      <c r="C17"/>
      <c r="D17" s="124"/>
      <c r="E17" s="124"/>
    </row>
    <row r="18" spans="3:5">
      <c r="C18"/>
      <c r="D18"/>
    </row>
    <row r="19" spans="3:5">
      <c r="C19" s="47"/>
      <c r="D19"/>
    </row>
    <row r="21" spans="3:5" ht="17.25" customHeight="1"/>
    <row r="25" spans="3:5">
      <c r="D25" s="124"/>
      <c r="E25" s="124"/>
    </row>
  </sheetData>
  <autoFilter ref="A2:F1358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232"/>
  <sheetViews>
    <sheetView topLeftCell="A1215" workbookViewId="0">
      <selection activeCell="C1229" sqref="C1229:C1232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4418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4785</v>
      </c>
      <c r="B1197">
        <v>2</v>
      </c>
      <c r="C1197" s="117" t="s">
        <v>4</v>
      </c>
    </row>
    <row r="1198" spans="1:3">
      <c r="A1198" t="s">
        <v>4768</v>
      </c>
      <c r="B1198">
        <v>12</v>
      </c>
      <c r="C1198" s="117" t="s">
        <v>4</v>
      </c>
    </row>
    <row r="1199" spans="1:3">
      <c r="A1199" t="s">
        <v>4758</v>
      </c>
      <c r="B1199">
        <v>8</v>
      </c>
      <c r="C1199" s="117" t="s">
        <v>4</v>
      </c>
    </row>
    <row r="1200" spans="1:3">
      <c r="A1200" t="s">
        <v>4423</v>
      </c>
      <c r="B1200">
        <v>1</v>
      </c>
      <c r="C1200" s="117" t="s">
        <v>4</v>
      </c>
    </row>
    <row r="1201" spans="1:3">
      <c r="A1201" t="s">
        <v>4425</v>
      </c>
      <c r="B1201">
        <v>311</v>
      </c>
      <c r="C1201" s="117" t="s">
        <v>4</v>
      </c>
    </row>
    <row r="1202" spans="1:3">
      <c r="A1202" t="s">
        <v>4421</v>
      </c>
      <c r="B1202">
        <v>1</v>
      </c>
      <c r="C1202" s="117" t="s">
        <v>4</v>
      </c>
    </row>
    <row r="1203" spans="1:3">
      <c r="A1203" t="s">
        <v>4789</v>
      </c>
      <c r="B1203">
        <v>1</v>
      </c>
      <c r="C1203" s="117" t="s">
        <v>4</v>
      </c>
    </row>
    <row r="1204" spans="1:3">
      <c r="A1204" t="s">
        <v>4791</v>
      </c>
      <c r="B1204">
        <v>7</v>
      </c>
      <c r="C1204" s="117" t="s">
        <v>4</v>
      </c>
    </row>
    <row r="1205" spans="1:3">
      <c r="A1205" t="s">
        <v>4799</v>
      </c>
      <c r="B1205">
        <v>1</v>
      </c>
      <c r="C1205" s="117" t="s">
        <v>4</v>
      </c>
    </row>
    <row r="1206" spans="1:3">
      <c r="A1206" t="s">
        <v>4802</v>
      </c>
      <c r="B1206">
        <v>1</v>
      </c>
      <c r="C1206" s="117" t="s">
        <v>4</v>
      </c>
    </row>
    <row r="1207" spans="1:3">
      <c r="A1207" t="s">
        <v>4811</v>
      </c>
      <c r="B1207">
        <v>3</v>
      </c>
      <c r="C1207" s="117" t="s">
        <v>4</v>
      </c>
    </row>
    <row r="1208" spans="1:3">
      <c r="A1208" t="s">
        <v>4815</v>
      </c>
      <c r="B1208">
        <v>1</v>
      </c>
      <c r="C1208" s="117" t="s">
        <v>4</v>
      </c>
    </row>
    <row r="1209" spans="1:3">
      <c r="A1209" t="s">
        <v>4817</v>
      </c>
      <c r="B1209">
        <v>3</v>
      </c>
      <c r="C1209" s="117" t="s">
        <v>4</v>
      </c>
    </row>
    <row r="1210" spans="1:3">
      <c r="A1210" t="s">
        <v>4819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4826</v>
      </c>
      <c r="B1212">
        <v>1</v>
      </c>
      <c r="C1212" s="117" t="s">
        <v>4</v>
      </c>
    </row>
    <row r="1213" spans="1:3">
      <c r="A1213" t="s">
        <v>4828</v>
      </c>
      <c r="B1213">
        <v>1</v>
      </c>
      <c r="C1213" s="117" t="s">
        <v>4</v>
      </c>
    </row>
    <row r="1214" spans="1:3">
      <c r="A1214" t="s">
        <v>4833</v>
      </c>
      <c r="B1214">
        <v>1</v>
      </c>
      <c r="C1214" s="121" t="s">
        <v>4</v>
      </c>
    </row>
    <row r="1215" spans="1:3">
      <c r="A1215" t="s">
        <v>4837</v>
      </c>
      <c r="B1215">
        <v>1</v>
      </c>
      <c r="C1215" s="121" t="s">
        <v>4</v>
      </c>
    </row>
    <row r="1216" spans="1:3">
      <c r="A1216" t="s">
        <v>4841</v>
      </c>
      <c r="B1216">
        <v>2</v>
      </c>
      <c r="C1216" s="121" t="s">
        <v>4</v>
      </c>
    </row>
    <row r="1217" spans="1:3">
      <c r="A1217" t="s">
        <v>4845</v>
      </c>
      <c r="B1217">
        <v>1</v>
      </c>
      <c r="C1217" s="124" t="s">
        <v>4</v>
      </c>
    </row>
    <row r="1218" spans="1:3">
      <c r="A1218" t="s">
        <v>4847</v>
      </c>
      <c r="B1218">
        <v>1</v>
      </c>
      <c r="C1218" s="124" t="s">
        <v>4</v>
      </c>
    </row>
    <row r="1219" spans="1:3">
      <c r="A1219" t="s">
        <v>4849</v>
      </c>
      <c r="B1219">
        <v>1</v>
      </c>
      <c r="C1219" s="124" t="s">
        <v>4</v>
      </c>
    </row>
    <row r="1220" spans="1:3">
      <c r="A1220" t="s">
        <v>4857</v>
      </c>
      <c r="B1220">
        <v>1</v>
      </c>
      <c r="C1220" s="124" t="s">
        <v>4</v>
      </c>
    </row>
    <row r="1221" spans="1:3">
      <c r="A1221" t="s">
        <v>4860</v>
      </c>
      <c r="B1221">
        <v>1</v>
      </c>
      <c r="C1221" s="124" t="s">
        <v>4</v>
      </c>
    </row>
    <row r="1222" spans="1:3">
      <c r="A1222" t="s">
        <v>4861</v>
      </c>
      <c r="B1222">
        <v>1</v>
      </c>
      <c r="C1222" s="124" t="s">
        <v>4</v>
      </c>
    </row>
    <row r="1223" spans="1:3">
      <c r="A1223" t="s">
        <v>4851</v>
      </c>
      <c r="B1223">
        <v>1</v>
      </c>
      <c r="C1223" s="124" t="s">
        <v>4</v>
      </c>
    </row>
    <row r="1224" spans="1:3">
      <c r="A1224" t="s">
        <v>4856</v>
      </c>
      <c r="B1224">
        <v>4</v>
      </c>
      <c r="C1224" s="124" t="s">
        <v>4</v>
      </c>
    </row>
    <row r="1225" spans="1:3">
      <c r="A1225" t="s">
        <v>4865</v>
      </c>
      <c r="B1225">
        <v>1</v>
      </c>
      <c r="C1225" s="124" t="s">
        <v>4</v>
      </c>
    </row>
    <row r="1226" spans="1:3">
      <c r="A1226" t="s">
        <v>4869</v>
      </c>
      <c r="B1226">
        <v>18</v>
      </c>
      <c r="C1226" s="124" t="s">
        <v>4</v>
      </c>
    </row>
    <row r="1227" spans="1:3">
      <c r="A1227" t="s">
        <v>4895</v>
      </c>
      <c r="B1227">
        <v>7</v>
      </c>
      <c r="C1227" s="124" t="s">
        <v>4</v>
      </c>
    </row>
    <row r="1228" spans="1:3">
      <c r="A1228" t="s">
        <v>4898</v>
      </c>
      <c r="B1228">
        <v>3</v>
      </c>
      <c r="C1228" s="124" t="s">
        <v>4</v>
      </c>
    </row>
    <row r="1229" spans="1:3">
      <c r="A1229" t="s">
        <v>4905</v>
      </c>
      <c r="B1229">
        <v>2</v>
      </c>
      <c r="C1229" s="124" t="s">
        <v>4</v>
      </c>
    </row>
    <row r="1230" spans="1:3">
      <c r="A1230" t="s">
        <v>4906</v>
      </c>
      <c r="B1230">
        <v>3</v>
      </c>
      <c r="C1230" s="124" t="s">
        <v>4</v>
      </c>
    </row>
    <row r="1231" spans="1:3">
      <c r="A1231" t="s">
        <v>4909</v>
      </c>
      <c r="B1231">
        <v>2</v>
      </c>
      <c r="C1231" s="124" t="s">
        <v>4</v>
      </c>
    </row>
    <row r="1232" spans="1:3">
      <c r="A1232" t="s">
        <v>4910</v>
      </c>
      <c r="B1232">
        <v>1</v>
      </c>
      <c r="C1232" s="124" t="s">
        <v>4</v>
      </c>
    </row>
  </sheetData>
  <conditionalFormatting sqref="A2:A545 A548:A568 A570:A1036 A1038:A1048576">
    <cfRule type="duplicateValues" dxfId="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2918"/>
  <sheetViews>
    <sheetView tabSelected="1" zoomScale="85" zoomScaleNormal="85" workbookViewId="0">
      <selection activeCell="E2911" sqref="E291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60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60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60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60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60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60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60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60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60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60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60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60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60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60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60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60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60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60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60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60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60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60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60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60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60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60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60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60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60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60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60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60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60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60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60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60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60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60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60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60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60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60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60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60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60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60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60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60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60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60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60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60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60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60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60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60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60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60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60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60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60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60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60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60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60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60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60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60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60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60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60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60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60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60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60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60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60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60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60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158</v>
      </c>
      <c r="R87" s="64" t="s">
        <v>1076</v>
      </c>
      <c r="S87" s="60"/>
    </row>
    <row r="88" spans="1:19" hidden="1">
      <c r="A88" s="62" t="s">
        <v>1389</v>
      </c>
      <c r="B88" s="60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60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60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60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60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60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60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60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60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60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60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60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60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60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60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60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60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60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60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60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60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60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60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60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60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60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60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60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60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60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60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60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60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60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60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60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60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60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60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60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60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60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60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60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60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60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60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60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60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60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60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60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60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60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60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60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60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60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60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60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60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60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60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60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60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60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60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60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60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60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60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60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60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60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60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60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60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60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60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60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60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60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60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60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60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60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60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60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60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60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60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60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60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60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60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60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60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60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60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60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60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60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60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60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60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60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60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60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60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60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60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60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60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60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60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60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60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60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60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60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60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60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60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60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60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60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60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60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60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60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60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60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60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60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60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60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60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60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60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60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60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60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60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60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60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60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60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60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60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60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60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60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60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60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60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60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60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60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60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60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60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60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60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60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60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60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60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60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60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60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60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60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60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60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60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60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60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60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60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60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60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60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60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60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60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60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60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60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60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60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60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60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60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60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60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60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60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60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60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60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60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60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60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60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60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60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60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60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60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60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60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60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60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60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60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60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60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60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60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60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60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60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60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60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60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32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133</v>
      </c>
      <c r="R296" s="64" t="s">
        <v>1076</v>
      </c>
      <c r="S296" s="60"/>
    </row>
    <row r="297" spans="1:19" hidden="1">
      <c r="A297" s="62" t="s">
        <v>1627</v>
      </c>
      <c r="B297" s="60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133</v>
      </c>
      <c r="R297" s="64" t="s">
        <v>1076</v>
      </c>
      <c r="S297" s="60"/>
    </row>
    <row r="298" spans="1:19" hidden="1">
      <c r="A298" s="62" t="s">
        <v>1627</v>
      </c>
      <c r="B298" s="60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133</v>
      </c>
      <c r="R298" s="64" t="s">
        <v>1076</v>
      </c>
      <c r="S298" s="60"/>
    </row>
    <row r="299" spans="1:19" hidden="1">
      <c r="A299" s="62" t="s">
        <v>1627</v>
      </c>
      <c r="B299" s="60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133</v>
      </c>
      <c r="R299" s="64" t="s">
        <v>1076</v>
      </c>
      <c r="S299" s="60"/>
    </row>
    <row r="300" spans="1:19" hidden="1">
      <c r="A300" s="62" t="s">
        <v>1627</v>
      </c>
      <c r="B300" s="60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133</v>
      </c>
      <c r="R300" s="64" t="s">
        <v>1076</v>
      </c>
      <c r="S300" s="60"/>
    </row>
    <row r="301" spans="1:19" hidden="1">
      <c r="A301" s="62" t="s">
        <v>1627</v>
      </c>
      <c r="B301" s="60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133</v>
      </c>
      <c r="R301" s="64" t="s">
        <v>1076</v>
      </c>
      <c r="S301" s="60"/>
    </row>
    <row r="302" spans="1:19" hidden="1">
      <c r="A302" s="62" t="s">
        <v>1627</v>
      </c>
      <c r="B302" s="60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133</v>
      </c>
      <c r="R302" s="64" t="s">
        <v>1076</v>
      </c>
      <c r="S302" s="60"/>
    </row>
    <row r="303" spans="1:19" hidden="1">
      <c r="A303" s="62" t="s">
        <v>1627</v>
      </c>
      <c r="B303" s="60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133</v>
      </c>
      <c r="R303" s="64" t="s">
        <v>1076</v>
      </c>
      <c r="S303" s="60"/>
    </row>
    <row r="304" spans="1:19" hidden="1">
      <c r="A304" s="62" t="s">
        <v>1627</v>
      </c>
      <c r="B304" s="60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133</v>
      </c>
      <c r="R304" s="64" t="s">
        <v>1076</v>
      </c>
      <c r="S304" s="60"/>
    </row>
    <row r="305" spans="1:19" hidden="1">
      <c r="A305" s="62" t="s">
        <v>1627</v>
      </c>
      <c r="B305" s="60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133</v>
      </c>
      <c r="R305" s="64" t="s">
        <v>1076</v>
      </c>
      <c r="S305" s="60"/>
    </row>
    <row r="306" spans="1:19" hidden="1">
      <c r="A306" s="62" t="s">
        <v>1627</v>
      </c>
      <c r="B306" s="60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133</v>
      </c>
      <c r="R306" s="64" t="s">
        <v>1076</v>
      </c>
      <c r="S306" s="60"/>
    </row>
    <row r="307" spans="1:19" hidden="1">
      <c r="A307" t="s">
        <v>1641</v>
      </c>
      <c r="B307" s="60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60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60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60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60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60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60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60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60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129</v>
      </c>
      <c r="R315" s="64" t="s">
        <v>1666</v>
      </c>
      <c r="S315" s="60"/>
    </row>
    <row r="316" spans="1:19" hidden="1">
      <c r="A316" t="s">
        <v>1657</v>
      </c>
      <c r="B316" s="60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60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60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60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60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60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60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60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60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60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60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60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60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60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60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60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60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60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60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60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60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60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60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60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60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60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60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60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60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60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60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60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60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60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60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60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60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60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60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60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60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60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60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60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60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60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60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60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60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60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60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60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60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60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60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60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60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60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60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60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60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60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60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60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60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60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60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60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60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60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60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60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60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60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126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60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126</v>
      </c>
      <c r="R389" s="67" t="s">
        <v>549</v>
      </c>
      <c r="S389" s="60"/>
    </row>
    <row r="390" spans="1:19" hidden="1">
      <c r="A390" s="62" t="s">
        <v>1743</v>
      </c>
      <c r="B390" s="60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126</v>
      </c>
      <c r="R390" s="67" t="s">
        <v>549</v>
      </c>
      <c r="S390" s="60"/>
    </row>
    <row r="391" spans="1:19" hidden="1">
      <c r="A391" s="62" t="s">
        <v>1743</v>
      </c>
      <c r="B391" s="60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126</v>
      </c>
      <c r="R391" s="67" t="s">
        <v>549</v>
      </c>
      <c r="S391" s="60"/>
    </row>
    <row r="392" spans="1:19" hidden="1">
      <c r="A392" s="62" t="s">
        <v>1743</v>
      </c>
      <c r="B392" s="60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126</v>
      </c>
      <c r="R392" s="67" t="s">
        <v>549</v>
      </c>
      <c r="S392" s="60"/>
    </row>
    <row r="393" spans="1:19" hidden="1">
      <c r="A393" s="62" t="s">
        <v>1743</v>
      </c>
      <c r="B393" s="60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126</v>
      </c>
      <c r="R393" s="67" t="s">
        <v>549</v>
      </c>
      <c r="S393" s="60"/>
    </row>
    <row r="394" spans="1:19" hidden="1">
      <c r="A394" s="62" t="s">
        <v>1743</v>
      </c>
      <c r="B394" s="60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126</v>
      </c>
      <c r="R394" s="67" t="s">
        <v>549</v>
      </c>
      <c r="S394" s="60"/>
    </row>
    <row r="395" spans="1:19" hidden="1">
      <c r="A395" s="62" t="s">
        <v>1743</v>
      </c>
      <c r="B395" s="60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126</v>
      </c>
      <c r="R395" s="67" t="s">
        <v>549</v>
      </c>
      <c r="S395" s="60"/>
    </row>
    <row r="396" spans="1:19" hidden="1">
      <c r="A396" s="62" t="s">
        <v>1743</v>
      </c>
      <c r="B396" s="60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126</v>
      </c>
      <c r="R396" s="67" t="s">
        <v>549</v>
      </c>
      <c r="S396" s="60"/>
    </row>
    <row r="397" spans="1:19" hidden="1">
      <c r="A397" s="62" t="s">
        <v>1743</v>
      </c>
      <c r="B397" s="60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126</v>
      </c>
      <c r="R397" s="67" t="s">
        <v>549</v>
      </c>
      <c r="S397" s="60"/>
    </row>
    <row r="398" spans="1:19" hidden="1">
      <c r="A398" s="62" t="s">
        <v>1743</v>
      </c>
      <c r="B398" s="60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126</v>
      </c>
      <c r="R398" s="67" t="s">
        <v>549</v>
      </c>
      <c r="S398" s="60"/>
    </row>
    <row r="399" spans="1:19" hidden="1">
      <c r="A399" s="62" t="s">
        <v>1743</v>
      </c>
      <c r="B399" s="60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126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60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126</v>
      </c>
      <c r="R400" s="67" t="s">
        <v>549</v>
      </c>
      <c r="S400" s="60"/>
    </row>
    <row r="401" spans="1:19" hidden="1">
      <c r="A401" s="62" t="s">
        <v>1743</v>
      </c>
      <c r="B401" s="60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126</v>
      </c>
      <c r="R401" s="67" t="s">
        <v>549</v>
      </c>
      <c r="S401" s="60"/>
    </row>
    <row r="402" spans="1:19" hidden="1">
      <c r="A402" s="62" t="s">
        <v>1743</v>
      </c>
      <c r="B402" s="60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126</v>
      </c>
      <c r="R402" s="67" t="s">
        <v>549</v>
      </c>
      <c r="S402" s="60"/>
    </row>
    <row r="403" spans="1:19" hidden="1">
      <c r="A403" s="62" t="s">
        <v>1743</v>
      </c>
      <c r="B403" s="60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126</v>
      </c>
      <c r="R403" s="67" t="s">
        <v>549</v>
      </c>
      <c r="S403" s="60"/>
    </row>
    <row r="404" spans="1:19" hidden="1">
      <c r="A404" s="62" t="s">
        <v>1743</v>
      </c>
      <c r="B404" s="60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126</v>
      </c>
      <c r="R404" s="67" t="s">
        <v>549</v>
      </c>
      <c r="S404" s="60"/>
    </row>
    <row r="405" spans="1:19" hidden="1">
      <c r="A405" s="62" t="s">
        <v>1743</v>
      </c>
      <c r="B405" s="60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126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60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126</v>
      </c>
      <c r="R406" s="67" t="s">
        <v>549</v>
      </c>
      <c r="S406" s="60"/>
    </row>
    <row r="407" spans="1:19" hidden="1">
      <c r="A407" s="62" t="s">
        <v>1743</v>
      </c>
      <c r="B407" s="60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126</v>
      </c>
      <c r="R407" s="67" t="s">
        <v>549</v>
      </c>
      <c r="S407" s="60"/>
    </row>
    <row r="408" spans="1:19" hidden="1">
      <c r="A408" s="62" t="s">
        <v>1743</v>
      </c>
      <c r="B408" s="60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126</v>
      </c>
      <c r="R408" s="67" t="s">
        <v>549</v>
      </c>
      <c r="S408" s="60"/>
    </row>
    <row r="409" spans="1:19" hidden="1">
      <c r="A409" s="62" t="s">
        <v>1743</v>
      </c>
      <c r="B409" s="60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126</v>
      </c>
      <c r="R409" s="67" t="s">
        <v>549</v>
      </c>
      <c r="S409" s="60"/>
    </row>
    <row r="410" spans="1:19" hidden="1">
      <c r="A410" s="62" t="s">
        <v>1743</v>
      </c>
      <c r="B410" s="60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126</v>
      </c>
      <c r="R410" s="67" t="s">
        <v>549</v>
      </c>
      <c r="S410" s="60"/>
    </row>
    <row r="411" spans="1:19" hidden="1">
      <c r="A411" s="62" t="s">
        <v>1743</v>
      </c>
      <c r="B411" s="60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126</v>
      </c>
      <c r="R411" s="67" t="s">
        <v>549</v>
      </c>
      <c r="S411" s="60"/>
    </row>
    <row r="412" spans="1:19" hidden="1">
      <c r="A412" s="62" t="s">
        <v>1743</v>
      </c>
      <c r="B412" s="60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126</v>
      </c>
      <c r="R412" s="67" t="s">
        <v>549</v>
      </c>
      <c r="S412" s="60"/>
    </row>
    <row r="413" spans="1:19" hidden="1">
      <c r="A413" s="62" t="s">
        <v>1743</v>
      </c>
      <c r="B413" s="60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126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60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126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60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126</v>
      </c>
      <c r="R415" s="67" t="s">
        <v>549</v>
      </c>
      <c r="S415" s="60"/>
    </row>
    <row r="416" spans="1:19" hidden="1">
      <c r="A416" s="62" t="s">
        <v>1743</v>
      </c>
      <c r="B416" s="60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126</v>
      </c>
      <c r="R416" s="67" t="s">
        <v>549</v>
      </c>
      <c r="S416" s="60"/>
    </row>
    <row r="417" spans="1:19" hidden="1">
      <c r="A417" s="62" t="s">
        <v>1743</v>
      </c>
      <c r="B417" s="60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126</v>
      </c>
      <c r="R417" s="67" t="s">
        <v>549</v>
      </c>
      <c r="S417" s="60"/>
    </row>
    <row r="418" spans="1:19" hidden="1">
      <c r="A418" s="62" t="s">
        <v>1743</v>
      </c>
      <c r="B418" s="60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126</v>
      </c>
      <c r="R418" s="67" t="s">
        <v>549</v>
      </c>
      <c r="S418" s="60"/>
    </row>
    <row r="419" spans="1:19" hidden="1">
      <c r="A419" s="62" t="s">
        <v>1743</v>
      </c>
      <c r="B419" s="60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126</v>
      </c>
      <c r="R419" s="67" t="s">
        <v>549</v>
      </c>
      <c r="S419" s="60"/>
    </row>
    <row r="420" spans="1:19" hidden="1">
      <c r="A420" s="62" t="s">
        <v>1743</v>
      </c>
      <c r="B420" s="60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126</v>
      </c>
      <c r="R420" s="67" t="s">
        <v>549</v>
      </c>
      <c r="S420" s="60"/>
    </row>
    <row r="421" spans="1:19" hidden="1">
      <c r="A421" s="62" t="s">
        <v>1743</v>
      </c>
      <c r="B421" s="60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126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60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126</v>
      </c>
      <c r="R422" s="67" t="s">
        <v>549</v>
      </c>
      <c r="S422" s="60"/>
    </row>
    <row r="423" spans="1:19" hidden="1">
      <c r="A423" s="62" t="s">
        <v>1743</v>
      </c>
      <c r="B423" s="60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126</v>
      </c>
      <c r="R423" s="67" t="s">
        <v>549</v>
      </c>
      <c r="S423" s="60"/>
    </row>
    <row r="424" spans="1:19" hidden="1">
      <c r="A424" t="s">
        <v>1743</v>
      </c>
      <c r="B424" s="60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126</v>
      </c>
      <c r="R424" s="67" t="s">
        <v>549</v>
      </c>
      <c r="S424" s="60"/>
    </row>
    <row r="425" spans="1:19" hidden="1">
      <c r="A425" t="s">
        <v>1743</v>
      </c>
      <c r="B425" s="60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126</v>
      </c>
      <c r="R425" s="67" t="s">
        <v>549</v>
      </c>
      <c r="S425" s="60"/>
    </row>
    <row r="426" spans="1:19" hidden="1">
      <c r="A426" s="62" t="s">
        <v>1743</v>
      </c>
      <c r="B426" s="60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126</v>
      </c>
      <c r="R426" s="67" t="s">
        <v>549</v>
      </c>
      <c r="S426" s="60"/>
    </row>
    <row r="427" spans="1:19" hidden="1">
      <c r="A427" s="62" t="s">
        <v>1743</v>
      </c>
      <c r="B427" s="60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126</v>
      </c>
      <c r="R427" s="67" t="s">
        <v>549</v>
      </c>
      <c r="S427" s="60"/>
    </row>
    <row r="428" spans="1:19" hidden="1">
      <c r="A428" s="62" t="s">
        <v>1743</v>
      </c>
      <c r="B428" s="60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126</v>
      </c>
      <c r="R428" s="67" t="s">
        <v>549</v>
      </c>
      <c r="S428" s="60"/>
    </row>
    <row r="429" spans="1:19" hidden="1">
      <c r="A429" t="s">
        <v>1809</v>
      </c>
      <c r="B429" s="60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125</v>
      </c>
      <c r="R429" s="67" t="s">
        <v>515</v>
      </c>
      <c r="S429" s="60"/>
    </row>
    <row r="430" spans="1:19" hidden="1">
      <c r="A430" s="62" t="s">
        <v>1809</v>
      </c>
      <c r="B430" s="60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125</v>
      </c>
      <c r="R430" s="67" t="s">
        <v>515</v>
      </c>
      <c r="S430" s="60"/>
    </row>
    <row r="431" spans="1:19" hidden="1">
      <c r="A431" s="62" t="s">
        <v>1809</v>
      </c>
      <c r="B431" s="60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125</v>
      </c>
      <c r="R431" s="67" t="s">
        <v>515</v>
      </c>
      <c r="S431" s="60"/>
    </row>
    <row r="432" spans="1:19" hidden="1">
      <c r="A432" s="62" t="s">
        <v>1751</v>
      </c>
      <c r="B432" s="60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125</v>
      </c>
      <c r="R432" s="67" t="s">
        <v>830</v>
      </c>
      <c r="S432" s="60"/>
    </row>
    <row r="433" spans="1:19" hidden="1">
      <c r="A433" s="62" t="s">
        <v>1751</v>
      </c>
      <c r="B433" s="60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125</v>
      </c>
      <c r="R433" s="67" t="s">
        <v>830</v>
      </c>
      <c r="S433" s="60"/>
    </row>
    <row r="434" spans="1:19" hidden="1">
      <c r="A434" s="62" t="s">
        <v>1751</v>
      </c>
      <c r="B434" s="60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125</v>
      </c>
      <c r="R434" s="67" t="s">
        <v>830</v>
      </c>
      <c r="S434" s="60"/>
    </row>
    <row r="435" spans="1:19" hidden="1">
      <c r="A435" s="62" t="s">
        <v>1751</v>
      </c>
      <c r="B435" s="60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125</v>
      </c>
      <c r="R435" s="67" t="s">
        <v>830</v>
      </c>
      <c r="S435" s="60"/>
    </row>
    <row r="436" spans="1:19" hidden="1">
      <c r="A436" s="62" t="s">
        <v>1751</v>
      </c>
      <c r="B436" s="60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125</v>
      </c>
      <c r="R436" s="67" t="s">
        <v>830</v>
      </c>
      <c r="S436" s="60"/>
    </row>
    <row r="437" spans="1:19" hidden="1">
      <c r="A437" s="62" t="s">
        <v>1751</v>
      </c>
      <c r="B437" s="60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125</v>
      </c>
      <c r="R437" s="67" t="s">
        <v>830</v>
      </c>
      <c r="S437" s="60"/>
    </row>
    <row r="438" spans="1:19" hidden="1">
      <c r="A438" s="62" t="s">
        <v>1751</v>
      </c>
      <c r="B438" s="60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125</v>
      </c>
      <c r="R438" s="67" t="s">
        <v>830</v>
      </c>
      <c r="S438" s="60"/>
    </row>
    <row r="439" spans="1:19" hidden="1">
      <c r="A439" s="62" t="s">
        <v>1751</v>
      </c>
      <c r="B439" s="60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125</v>
      </c>
      <c r="R439" s="67" t="s">
        <v>830</v>
      </c>
      <c r="S439" s="60"/>
    </row>
    <row r="440" spans="1:19" hidden="1">
      <c r="A440" s="62" t="s">
        <v>1751</v>
      </c>
      <c r="B440" s="60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125</v>
      </c>
      <c r="R440" s="67" t="s">
        <v>830</v>
      </c>
      <c r="S440" s="60"/>
    </row>
    <row r="441" spans="1:19" hidden="1">
      <c r="A441" s="62" t="s">
        <v>1751</v>
      </c>
      <c r="B441" s="60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125</v>
      </c>
      <c r="R441" s="67" t="s">
        <v>830</v>
      </c>
      <c r="S441" s="60"/>
    </row>
    <row r="442" spans="1:19" hidden="1">
      <c r="A442" s="62" t="s">
        <v>1751</v>
      </c>
      <c r="B442" s="60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125</v>
      </c>
      <c r="R442" s="67" t="s">
        <v>830</v>
      </c>
      <c r="S442" s="60"/>
    </row>
    <row r="443" spans="1:19" hidden="1">
      <c r="A443" s="62" t="s">
        <v>1751</v>
      </c>
      <c r="B443" s="60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125</v>
      </c>
      <c r="R443" s="67" t="s">
        <v>830</v>
      </c>
      <c r="S443" s="60"/>
    </row>
    <row r="444" spans="1:19" hidden="1">
      <c r="A444" s="62" t="s">
        <v>1751</v>
      </c>
      <c r="B444" s="60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125</v>
      </c>
      <c r="R444" s="67" t="s">
        <v>830</v>
      </c>
      <c r="S444" s="60"/>
    </row>
    <row r="445" spans="1:19" hidden="1">
      <c r="A445" s="62" t="s">
        <v>1751</v>
      </c>
      <c r="B445" s="60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125</v>
      </c>
      <c r="R445" s="67" t="s">
        <v>830</v>
      </c>
      <c r="S445" s="60"/>
    </row>
    <row r="446" spans="1:19" hidden="1">
      <c r="A446" s="62" t="s">
        <v>1751</v>
      </c>
      <c r="B446" s="60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125</v>
      </c>
      <c r="R446" s="67" t="s">
        <v>830</v>
      </c>
      <c r="S446" s="60"/>
    </row>
    <row r="447" spans="1:19" hidden="1">
      <c r="A447" s="62" t="s">
        <v>1751</v>
      </c>
      <c r="B447" s="60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125</v>
      </c>
      <c r="R447" s="67" t="s">
        <v>830</v>
      </c>
      <c r="S447" s="60"/>
    </row>
    <row r="448" spans="1:19" hidden="1">
      <c r="A448" s="62" t="s">
        <v>1751</v>
      </c>
      <c r="B448" s="60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125</v>
      </c>
      <c r="R448" s="67" t="s">
        <v>830</v>
      </c>
      <c r="S448" s="60"/>
    </row>
    <row r="449" spans="1:19" hidden="1">
      <c r="A449" s="62" t="s">
        <v>1751</v>
      </c>
      <c r="B449" s="60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125</v>
      </c>
      <c r="R449" s="67" t="s">
        <v>830</v>
      </c>
      <c r="S449" s="60"/>
    </row>
    <row r="450" spans="1:19" hidden="1">
      <c r="A450" s="62" t="s">
        <v>1751</v>
      </c>
      <c r="B450" s="60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125</v>
      </c>
      <c r="R450" s="67" t="s">
        <v>830</v>
      </c>
      <c r="S450" s="60"/>
    </row>
    <row r="451" spans="1:19" hidden="1">
      <c r="A451" s="62" t="s">
        <v>1751</v>
      </c>
      <c r="B451" s="60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125</v>
      </c>
      <c r="R451" s="67" t="s">
        <v>830</v>
      </c>
      <c r="S451" s="60"/>
    </row>
    <row r="452" spans="1:19" hidden="1">
      <c r="A452" s="62" t="s">
        <v>1751</v>
      </c>
      <c r="B452" s="60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125</v>
      </c>
      <c r="R452" s="67" t="s">
        <v>830</v>
      </c>
      <c r="S452" s="60"/>
    </row>
    <row r="453" spans="1:19" hidden="1">
      <c r="A453" s="62" t="s">
        <v>1751</v>
      </c>
      <c r="B453" s="60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125</v>
      </c>
      <c r="R453" s="67" t="s">
        <v>830</v>
      </c>
      <c r="S453" s="60"/>
    </row>
    <row r="454" spans="1:19" hidden="1">
      <c r="A454" s="62" t="s">
        <v>1751</v>
      </c>
      <c r="B454" s="60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125</v>
      </c>
      <c r="R454" s="67" t="s">
        <v>830</v>
      </c>
      <c r="S454" s="60"/>
    </row>
    <row r="455" spans="1:19" hidden="1">
      <c r="A455" s="62" t="s">
        <v>1751</v>
      </c>
      <c r="B455" s="60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125</v>
      </c>
      <c r="R455" s="67" t="s">
        <v>830</v>
      </c>
      <c r="S455" s="60"/>
    </row>
    <row r="456" spans="1:19" hidden="1">
      <c r="A456" s="62" t="s">
        <v>1751</v>
      </c>
      <c r="B456" s="60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125</v>
      </c>
      <c r="R456" s="67" t="s">
        <v>830</v>
      </c>
      <c r="S456" s="60"/>
    </row>
    <row r="457" spans="1:19" hidden="1">
      <c r="A457" s="62" t="s">
        <v>1751</v>
      </c>
      <c r="B457" s="60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125</v>
      </c>
      <c r="R457" s="67" t="s">
        <v>830</v>
      </c>
      <c r="S457" s="60"/>
    </row>
    <row r="458" spans="1:19" hidden="1">
      <c r="A458" s="62" t="s">
        <v>1751</v>
      </c>
      <c r="B458" s="60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125</v>
      </c>
      <c r="R458" s="67" t="s">
        <v>830</v>
      </c>
      <c r="S458" s="60"/>
    </row>
    <row r="459" spans="1:19" hidden="1">
      <c r="A459" s="62" t="s">
        <v>1751</v>
      </c>
      <c r="B459" s="60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125</v>
      </c>
      <c r="R459" s="67" t="s">
        <v>830</v>
      </c>
      <c r="S459" s="60"/>
    </row>
    <row r="460" spans="1:19" hidden="1">
      <c r="A460" s="62" t="s">
        <v>1751</v>
      </c>
      <c r="B460" s="60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125</v>
      </c>
      <c r="R460" s="67" t="s">
        <v>830</v>
      </c>
      <c r="S460" s="60"/>
    </row>
    <row r="461" spans="1:19" hidden="1">
      <c r="A461" s="62" t="s">
        <v>1751</v>
      </c>
      <c r="B461" s="60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125</v>
      </c>
      <c r="R461" s="67" t="s">
        <v>830</v>
      </c>
      <c r="S461" s="60"/>
    </row>
    <row r="462" spans="1:19" hidden="1">
      <c r="A462" s="62" t="s">
        <v>1751</v>
      </c>
      <c r="B462" s="60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125</v>
      </c>
      <c r="R462" s="67" t="s">
        <v>830</v>
      </c>
      <c r="S462" s="60"/>
    </row>
    <row r="463" spans="1:19" hidden="1">
      <c r="A463" s="62" t="s">
        <v>1751</v>
      </c>
      <c r="B463" s="60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125</v>
      </c>
      <c r="R463" s="67" t="s">
        <v>830</v>
      </c>
      <c r="S463" s="60"/>
    </row>
    <row r="464" spans="1:19" hidden="1">
      <c r="A464" s="62" t="s">
        <v>1751</v>
      </c>
      <c r="B464" s="60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125</v>
      </c>
      <c r="R464" s="67" t="s">
        <v>830</v>
      </c>
      <c r="S464" s="60"/>
    </row>
    <row r="465" spans="1:19" hidden="1">
      <c r="A465" s="62" t="s">
        <v>1751</v>
      </c>
      <c r="B465" s="60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125</v>
      </c>
      <c r="R465" s="67" t="s">
        <v>830</v>
      </c>
      <c r="S465" s="60"/>
    </row>
    <row r="466" spans="1:19" hidden="1">
      <c r="A466" s="62" t="s">
        <v>1751</v>
      </c>
      <c r="B466" s="60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125</v>
      </c>
      <c r="R466" s="67" t="s">
        <v>830</v>
      </c>
      <c r="S466" s="60"/>
    </row>
    <row r="467" spans="1:19" hidden="1">
      <c r="A467" s="62" t="s">
        <v>1751</v>
      </c>
      <c r="B467" s="60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125</v>
      </c>
      <c r="R467" s="67" t="s">
        <v>830</v>
      </c>
      <c r="S467" s="60"/>
    </row>
    <row r="468" spans="1:19" hidden="1">
      <c r="A468" s="62" t="s">
        <v>1751</v>
      </c>
      <c r="B468" s="60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125</v>
      </c>
      <c r="R468" s="67" t="s">
        <v>830</v>
      </c>
      <c r="S468" s="60"/>
    </row>
    <row r="469" spans="1:19" hidden="1">
      <c r="A469" s="62" t="s">
        <v>1751</v>
      </c>
      <c r="B469" s="60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125</v>
      </c>
      <c r="R469" s="67" t="s">
        <v>830</v>
      </c>
      <c r="S469" s="60"/>
    </row>
    <row r="470" spans="1:19" hidden="1">
      <c r="A470" s="62" t="s">
        <v>1751</v>
      </c>
      <c r="B470" s="60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125</v>
      </c>
      <c r="R470" s="67" t="s">
        <v>830</v>
      </c>
      <c r="S470" s="60"/>
    </row>
    <row r="471" spans="1:19" hidden="1">
      <c r="A471" s="62" t="s">
        <v>1751</v>
      </c>
      <c r="B471" s="60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125</v>
      </c>
      <c r="R471" s="67" t="s">
        <v>830</v>
      </c>
      <c r="S471" s="60"/>
    </row>
    <row r="472" spans="1:19" hidden="1">
      <c r="A472" s="62" t="s">
        <v>1751</v>
      </c>
      <c r="B472" s="60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125</v>
      </c>
      <c r="R472" s="67" t="s">
        <v>830</v>
      </c>
      <c r="S472" s="60"/>
    </row>
    <row r="473" spans="1:19" hidden="1">
      <c r="A473" s="62" t="s">
        <v>1751</v>
      </c>
      <c r="B473" s="60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125</v>
      </c>
      <c r="R473" s="67" t="s">
        <v>830</v>
      </c>
      <c r="S473" s="60"/>
    </row>
    <row r="474" spans="1:19" hidden="1">
      <c r="A474" s="62" t="s">
        <v>1751</v>
      </c>
      <c r="B474" s="60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125</v>
      </c>
      <c r="R474" s="67" t="s">
        <v>830</v>
      </c>
      <c r="S474" s="60"/>
    </row>
    <row r="475" spans="1:19" hidden="1">
      <c r="A475" s="62" t="s">
        <v>1751</v>
      </c>
      <c r="B475" s="60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125</v>
      </c>
      <c r="R475" s="67" t="s">
        <v>830</v>
      </c>
      <c r="S475" s="60"/>
    </row>
    <row r="476" spans="1:19" hidden="1">
      <c r="A476" s="62" t="s">
        <v>1751</v>
      </c>
      <c r="B476" s="60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125</v>
      </c>
      <c r="R476" s="67" t="s">
        <v>830</v>
      </c>
      <c r="S476" s="60"/>
    </row>
    <row r="477" spans="1:19" hidden="1">
      <c r="A477" s="62" t="s">
        <v>1751</v>
      </c>
      <c r="B477" s="60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125</v>
      </c>
      <c r="R477" s="67" t="s">
        <v>830</v>
      </c>
      <c r="S477" s="60"/>
    </row>
    <row r="478" spans="1:19" hidden="1">
      <c r="A478" s="62" t="s">
        <v>1751</v>
      </c>
      <c r="B478" s="60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125</v>
      </c>
      <c r="R478" s="67" t="s">
        <v>830</v>
      </c>
      <c r="S478" s="60"/>
    </row>
    <row r="479" spans="1:19" hidden="1">
      <c r="A479" s="62" t="s">
        <v>1751</v>
      </c>
      <c r="B479" s="60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125</v>
      </c>
      <c r="R479" s="67" t="s">
        <v>830</v>
      </c>
      <c r="S479" s="60"/>
    </row>
    <row r="480" spans="1:19" hidden="1">
      <c r="A480" s="62" t="s">
        <v>1751</v>
      </c>
      <c r="B480" s="60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125</v>
      </c>
      <c r="R480" s="67" t="s">
        <v>830</v>
      </c>
      <c r="S480" s="60"/>
    </row>
    <row r="481" spans="1:19" hidden="1">
      <c r="A481" s="62" t="s">
        <v>1751</v>
      </c>
      <c r="B481" s="60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125</v>
      </c>
      <c r="R481" s="67" t="s">
        <v>830</v>
      </c>
      <c r="S481" s="60"/>
    </row>
    <row r="482" spans="1:19" hidden="1">
      <c r="A482" s="62" t="s">
        <v>1751</v>
      </c>
      <c r="B482" s="60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125</v>
      </c>
      <c r="R482" s="67" t="s">
        <v>830</v>
      </c>
      <c r="S482" s="60"/>
    </row>
    <row r="483" spans="1:19" hidden="1">
      <c r="A483" s="62" t="s">
        <v>1751</v>
      </c>
      <c r="B483" s="60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125</v>
      </c>
      <c r="R483" s="67" t="s">
        <v>830</v>
      </c>
      <c r="S483" s="60"/>
    </row>
    <row r="484" spans="1:19" hidden="1">
      <c r="A484" s="62" t="s">
        <v>1751</v>
      </c>
      <c r="B484" s="60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125</v>
      </c>
      <c r="R484" s="67" t="s">
        <v>830</v>
      </c>
      <c r="S484" s="60"/>
    </row>
    <row r="485" spans="1:19" hidden="1">
      <c r="A485" t="s">
        <v>1751</v>
      </c>
      <c r="B485" s="60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125</v>
      </c>
      <c r="R485" s="67" t="s">
        <v>830</v>
      </c>
      <c r="S485" s="60"/>
    </row>
    <row r="486" spans="1:19" hidden="1">
      <c r="A486" s="62" t="s">
        <v>1751</v>
      </c>
      <c r="B486" s="60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125</v>
      </c>
      <c r="R486" s="67" t="s">
        <v>830</v>
      </c>
      <c r="S486" s="60"/>
    </row>
    <row r="487" spans="1:19" hidden="1">
      <c r="A487" s="62" t="s">
        <v>1751</v>
      </c>
      <c r="B487" s="60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125</v>
      </c>
      <c r="R487" s="67" t="s">
        <v>830</v>
      </c>
      <c r="S487" s="60"/>
    </row>
    <row r="488" spans="1:19" hidden="1">
      <c r="A488" t="s">
        <v>1818</v>
      </c>
      <c r="B488" s="60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124</v>
      </c>
      <c r="R488" s="67" t="s">
        <v>1459</v>
      </c>
      <c r="S488" s="60"/>
    </row>
    <row r="489" spans="1:19" hidden="1">
      <c r="A489" s="62" t="s">
        <v>1818</v>
      </c>
      <c r="B489" s="60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124</v>
      </c>
      <c r="R489" s="67" t="s">
        <v>1459</v>
      </c>
      <c r="S489" s="60"/>
    </row>
    <row r="490" spans="1:19" hidden="1">
      <c r="A490" s="62" t="s">
        <v>1818</v>
      </c>
      <c r="B490" s="60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124</v>
      </c>
      <c r="R490" s="67" t="s">
        <v>1459</v>
      </c>
      <c r="S490" s="60"/>
    </row>
    <row r="491" spans="1:19" hidden="1">
      <c r="A491" s="62" t="s">
        <v>1818</v>
      </c>
      <c r="B491" s="60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124</v>
      </c>
      <c r="R491" s="67" t="s">
        <v>1459</v>
      </c>
      <c r="S491" s="60"/>
    </row>
    <row r="492" spans="1:19" hidden="1">
      <c r="A492" s="62" t="s">
        <v>1818</v>
      </c>
      <c r="B492" s="60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124</v>
      </c>
      <c r="R492" s="67" t="s">
        <v>1459</v>
      </c>
      <c r="S492" s="60"/>
    </row>
    <row r="493" spans="1:19" hidden="1">
      <c r="A493" t="s">
        <v>1819</v>
      </c>
      <c r="B493" s="60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123</v>
      </c>
      <c r="R493" s="67" t="s">
        <v>515</v>
      </c>
      <c r="S493" s="60"/>
    </row>
    <row r="494" spans="1:19" hidden="1">
      <c r="A494" s="62" t="s">
        <v>1819</v>
      </c>
      <c r="B494" s="60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123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60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60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121</v>
      </c>
      <c r="R496" s="67" t="s">
        <v>515</v>
      </c>
      <c r="S496" s="60"/>
    </row>
    <row r="497" spans="1:19" hidden="1">
      <c r="A497" s="62" t="s">
        <v>1824</v>
      </c>
      <c r="B497" s="60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121</v>
      </c>
      <c r="R497" s="67" t="s">
        <v>515</v>
      </c>
      <c r="S497" s="60"/>
    </row>
    <row r="498" spans="1:19" hidden="1">
      <c r="A498" t="s">
        <v>1826</v>
      </c>
      <c r="B498" s="60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60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120</v>
      </c>
      <c r="R498" s="67" t="s">
        <v>1459</v>
      </c>
      <c r="S498" s="60"/>
    </row>
    <row r="499" spans="1:19" hidden="1">
      <c r="A499" t="s">
        <v>1831</v>
      </c>
      <c r="B499" s="6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69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6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69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6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69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6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69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6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69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6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69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6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69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6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69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6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69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6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69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6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69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6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69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6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69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6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69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6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69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6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69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6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69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6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69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6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69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6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69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6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69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6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69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6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69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6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69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6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69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6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69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6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69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6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69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6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69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6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69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6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69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6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69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6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69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6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69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6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69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6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69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6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69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6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69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6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69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6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69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6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69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6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69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6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69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6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69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6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69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6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69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6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69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6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69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6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69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6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69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6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69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6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69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6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69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6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69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6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69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6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69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6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69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6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69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6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69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6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69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6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69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6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69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6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69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6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69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6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69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6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69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6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69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6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69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6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69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6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69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6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69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6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69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6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69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6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69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6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69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6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69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6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69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6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69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6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69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6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69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6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69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6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69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6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69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6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69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6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69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6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69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6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69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6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69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6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69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6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69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6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69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6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69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6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69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6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69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6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69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6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69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6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69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6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69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6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69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6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69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6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69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6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69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6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69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6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69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6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69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6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69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6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69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6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69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6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69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6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69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6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69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6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69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6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69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6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69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117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6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69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117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6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69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117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6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69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117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6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69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117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6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69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117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6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69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117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6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69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117</v>
      </c>
      <c r="R619" s="70" t="s">
        <v>1076</v>
      </c>
      <c r="S619" s="69"/>
    </row>
    <row r="620" spans="1:19" hidden="1">
      <c r="A620" s="68" t="s">
        <v>1998</v>
      </c>
      <c r="B620" s="6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69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117</v>
      </c>
      <c r="R620" s="70" t="s">
        <v>1076</v>
      </c>
      <c r="S620" s="69"/>
    </row>
    <row r="621" spans="1:19" hidden="1">
      <c r="A621" s="68" t="s">
        <v>1998</v>
      </c>
      <c r="B621" s="6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69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117</v>
      </c>
      <c r="R621" s="70" t="s">
        <v>1076</v>
      </c>
      <c r="S621" s="69"/>
    </row>
    <row r="622" spans="1:19" hidden="1">
      <c r="A622" s="68" t="s">
        <v>1998</v>
      </c>
      <c r="B622" s="6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69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117</v>
      </c>
      <c r="R622" s="70" t="s">
        <v>1076</v>
      </c>
      <c r="S622" s="69"/>
    </row>
    <row r="623" spans="1:19" hidden="1">
      <c r="A623" t="s">
        <v>2009</v>
      </c>
      <c r="B623" s="6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69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117</v>
      </c>
      <c r="R623" s="70" t="s">
        <v>1001</v>
      </c>
      <c r="S623" s="69"/>
    </row>
    <row r="624" spans="1:19" hidden="1">
      <c r="A624" s="68" t="s">
        <v>2009</v>
      </c>
      <c r="B624" s="6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69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117</v>
      </c>
      <c r="R624" s="70" t="s">
        <v>1001</v>
      </c>
      <c r="S624" s="69"/>
    </row>
    <row r="625" spans="1:19" hidden="1">
      <c r="A625" s="68" t="s">
        <v>2009</v>
      </c>
      <c r="B625" s="6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69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117</v>
      </c>
      <c r="R625" s="70" t="s">
        <v>1001</v>
      </c>
      <c r="S625" s="69"/>
    </row>
    <row r="626" spans="1:19" hidden="1">
      <c r="A626" s="68" t="s">
        <v>2009</v>
      </c>
      <c r="B626" s="6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69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117</v>
      </c>
      <c r="R626" s="70" t="s">
        <v>1001</v>
      </c>
      <c r="S626" s="69"/>
    </row>
    <row r="627" spans="1:19" hidden="1">
      <c r="A627" s="68" t="s">
        <v>2009</v>
      </c>
      <c r="B627" s="6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69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117</v>
      </c>
      <c r="R627" s="70" t="s">
        <v>1001</v>
      </c>
      <c r="S627" s="69"/>
    </row>
    <row r="628" spans="1:19" hidden="1">
      <c r="A628" t="s">
        <v>2009</v>
      </c>
      <c r="B628" s="6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69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117</v>
      </c>
      <c r="R628" s="70" t="s">
        <v>1001</v>
      </c>
      <c r="S628" s="69"/>
    </row>
    <row r="629" spans="1:19" hidden="1">
      <c r="A629" s="68" t="s">
        <v>2009</v>
      </c>
      <c r="B629" s="6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69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117</v>
      </c>
      <c r="R629" s="70" t="s">
        <v>1001</v>
      </c>
      <c r="S629" s="69"/>
    </row>
    <row r="630" spans="1:19" hidden="1">
      <c r="A630" s="68" t="s">
        <v>2009</v>
      </c>
      <c r="B630" s="6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69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117</v>
      </c>
      <c r="R630" s="70" t="s">
        <v>1001</v>
      </c>
      <c r="S630" s="69"/>
    </row>
    <row r="631" spans="1:19" hidden="1">
      <c r="A631" s="68" t="s">
        <v>2009</v>
      </c>
      <c r="B631" s="6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69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117</v>
      </c>
      <c r="R631" s="70" t="s">
        <v>1001</v>
      </c>
      <c r="S631" s="69"/>
    </row>
    <row r="632" spans="1:19" hidden="1">
      <c r="A632" s="68" t="s">
        <v>2009</v>
      </c>
      <c r="B632" s="6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69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117</v>
      </c>
      <c r="R632" s="70" t="s">
        <v>1001</v>
      </c>
      <c r="S632" s="69"/>
    </row>
    <row r="633" spans="1:19" hidden="1">
      <c r="A633" s="68" t="s">
        <v>2025</v>
      </c>
      <c r="B633" s="6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69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6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69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6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69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116</v>
      </c>
      <c r="R635" s="70" t="s">
        <v>830</v>
      </c>
      <c r="S635" s="69"/>
    </row>
    <row r="636" spans="1:19" hidden="1">
      <c r="A636" s="68" t="s">
        <v>2003</v>
      </c>
      <c r="B636" s="6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69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116</v>
      </c>
      <c r="R636" s="70" t="s">
        <v>830</v>
      </c>
      <c r="S636" s="69"/>
    </row>
    <row r="637" spans="1:19" hidden="1">
      <c r="A637" s="68" t="s">
        <v>2003</v>
      </c>
      <c r="B637" s="6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69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116</v>
      </c>
      <c r="R637" s="70" t="s">
        <v>830</v>
      </c>
      <c r="S637" s="69"/>
    </row>
    <row r="638" spans="1:19" hidden="1">
      <c r="A638" t="s">
        <v>2003</v>
      </c>
      <c r="B638" s="6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69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116</v>
      </c>
      <c r="R638" s="70" t="s">
        <v>830</v>
      </c>
      <c r="S638" s="69"/>
    </row>
    <row r="639" spans="1:19" hidden="1">
      <c r="A639" t="s">
        <v>2003</v>
      </c>
      <c r="B639" s="6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69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116</v>
      </c>
      <c r="R639" s="70" t="s">
        <v>830</v>
      </c>
      <c r="S639" s="69"/>
    </row>
    <row r="640" spans="1:19" hidden="1">
      <c r="A640" t="s">
        <v>2026</v>
      </c>
      <c r="B640" s="6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69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6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69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6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69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6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69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6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69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6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69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6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69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6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69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6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69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6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69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6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69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6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69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6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69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6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69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6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69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6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69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6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69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6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69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6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69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6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69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6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69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6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69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6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69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6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69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6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69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6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69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6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69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6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69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6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69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6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69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6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69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6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69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6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69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6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69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6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69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6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69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6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69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6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69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6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69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6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69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6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69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6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69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6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69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6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69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6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69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6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69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6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69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6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69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6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69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6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69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6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69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6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69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6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69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6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69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6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69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6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69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6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69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6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69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6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69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6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69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6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69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6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69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6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69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6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69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6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69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6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69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6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69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6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69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6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69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6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69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6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69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6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69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6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69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6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69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6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69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6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69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6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69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6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69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6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69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6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69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6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69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6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69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6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69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6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69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6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69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6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69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6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69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6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69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6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69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6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69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6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69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6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69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6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69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6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69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6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69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6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69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6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69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111</v>
      </c>
      <c r="R736" s="70" t="s">
        <v>484</v>
      </c>
      <c r="S736" s="69"/>
    </row>
    <row r="737" spans="1:19" hidden="1">
      <c r="A737" s="68" t="s">
        <v>2088</v>
      </c>
      <c r="B737" s="6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69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111</v>
      </c>
      <c r="R737" s="70" t="s">
        <v>484</v>
      </c>
      <c r="S737" s="69"/>
    </row>
    <row r="738" spans="1:19" hidden="1">
      <c r="A738" s="68" t="s">
        <v>2088</v>
      </c>
      <c r="B738" s="6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69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111</v>
      </c>
      <c r="R738" s="70" t="s">
        <v>484</v>
      </c>
      <c r="S738" s="69"/>
    </row>
    <row r="739" spans="1:19" hidden="1">
      <c r="A739" t="s">
        <v>2197</v>
      </c>
      <c r="B739" s="6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69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6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69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6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69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6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69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6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69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6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69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6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69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6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69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6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69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6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69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6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69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6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69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6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69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6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69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6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69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6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69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6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69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6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69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6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69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6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69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6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69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6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69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6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69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6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69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6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69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6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69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6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69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6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69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6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69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6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69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6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69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6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69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6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69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6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69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6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69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6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69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6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69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6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69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6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69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6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69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6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69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6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69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6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69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6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69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6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69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6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69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6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69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6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69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6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69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6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69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6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69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6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69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6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69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6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69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6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69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6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69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6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69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6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69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6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69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6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69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6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69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6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69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6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69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6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69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6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69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6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69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6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69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6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69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6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69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6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69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6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69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6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69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6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69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6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69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6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69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6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69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6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69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6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69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6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69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6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69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6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69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6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69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6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69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6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69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6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69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6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69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6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69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6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69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6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69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6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69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6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69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6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69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6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69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6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69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6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69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6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69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6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69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6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69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6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69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6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69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6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69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6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69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6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69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6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69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6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69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6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69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6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69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6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69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6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69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6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69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6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69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6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69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6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69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6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69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6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69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6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69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6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69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6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69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6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69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6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69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6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69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6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69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6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69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106</v>
      </c>
      <c r="R861" s="70" t="s">
        <v>1459</v>
      </c>
      <c r="S861" s="69"/>
    </row>
    <row r="862" spans="1:19" hidden="1">
      <c r="A862" t="s">
        <v>2333</v>
      </c>
      <c r="B862" s="6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69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106</v>
      </c>
      <c r="R862" s="70" t="s">
        <v>1459</v>
      </c>
      <c r="S862" s="69"/>
    </row>
    <row r="863" spans="1:19" hidden="1">
      <c r="A863" s="68" t="s">
        <v>2333</v>
      </c>
      <c r="B863" s="6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69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106</v>
      </c>
      <c r="R863" s="70" t="s">
        <v>1459</v>
      </c>
      <c r="S863" s="69"/>
    </row>
    <row r="864" spans="1:19" hidden="1">
      <c r="A864" s="68" t="s">
        <v>2333</v>
      </c>
      <c r="B864" s="6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69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106</v>
      </c>
      <c r="R864" s="70" t="s">
        <v>1459</v>
      </c>
      <c r="S864" s="69"/>
    </row>
    <row r="865" spans="1:19" hidden="1">
      <c r="A865" s="68" t="s">
        <v>2333</v>
      </c>
      <c r="B865" s="6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69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106</v>
      </c>
      <c r="R865" s="70" t="s">
        <v>1459</v>
      </c>
      <c r="S865" s="69"/>
    </row>
    <row r="866" spans="1:19" hidden="1">
      <c r="A866" s="68" t="s">
        <v>2333</v>
      </c>
      <c r="B866" s="6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69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6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69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106</v>
      </c>
      <c r="R867" s="70" t="s">
        <v>1459</v>
      </c>
      <c r="S867" s="69"/>
    </row>
    <row r="868" spans="1:19" hidden="1">
      <c r="A868" s="68" t="s">
        <v>2333</v>
      </c>
      <c r="B868" s="6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69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106</v>
      </c>
      <c r="R868" s="70" t="s">
        <v>1459</v>
      </c>
      <c r="S868" s="69"/>
    </row>
    <row r="869" spans="1:19" hidden="1">
      <c r="A869" s="68" t="s">
        <v>2333</v>
      </c>
      <c r="B869" s="6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69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106</v>
      </c>
      <c r="R869" s="70" t="s">
        <v>1459</v>
      </c>
      <c r="S869" s="69"/>
    </row>
    <row r="870" spans="1:19" hidden="1">
      <c r="A870" s="68" t="s">
        <v>2333</v>
      </c>
      <c r="B870" s="6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69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106</v>
      </c>
      <c r="R870" s="70" t="s">
        <v>1459</v>
      </c>
      <c r="S870" s="69"/>
    </row>
    <row r="871" spans="1:19" hidden="1">
      <c r="A871" s="68" t="s">
        <v>2333</v>
      </c>
      <c r="B871" s="6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69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106</v>
      </c>
      <c r="R871" s="70" t="s">
        <v>1459</v>
      </c>
      <c r="S871" s="69"/>
    </row>
    <row r="872" spans="1:19" hidden="1">
      <c r="A872" s="68" t="s">
        <v>2333</v>
      </c>
      <c r="B872" s="6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69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106</v>
      </c>
      <c r="R872" s="70" t="s">
        <v>1459</v>
      </c>
      <c r="S872" s="69"/>
    </row>
    <row r="873" spans="1:19" hidden="1">
      <c r="A873" s="68" t="s">
        <v>2333</v>
      </c>
      <c r="B873" s="6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69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106</v>
      </c>
      <c r="R873" s="70" t="s">
        <v>1459</v>
      </c>
      <c r="S873" s="69"/>
    </row>
    <row r="874" spans="1:19" hidden="1">
      <c r="A874" s="68" t="s">
        <v>2333</v>
      </c>
      <c r="B874" s="6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69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106</v>
      </c>
      <c r="R874" s="70" t="s">
        <v>1459</v>
      </c>
      <c r="S874" s="69"/>
    </row>
    <row r="875" spans="1:19" hidden="1">
      <c r="A875" s="68" t="s">
        <v>2333</v>
      </c>
      <c r="B875" s="6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69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106</v>
      </c>
      <c r="R875" s="70" t="s">
        <v>1459</v>
      </c>
      <c r="S875" s="69"/>
    </row>
    <row r="876" spans="1:19" hidden="1">
      <c r="A876" s="68" t="s">
        <v>2333</v>
      </c>
      <c r="B876" s="6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69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106</v>
      </c>
      <c r="R876" s="70" t="s">
        <v>1459</v>
      </c>
      <c r="S876" s="69"/>
    </row>
    <row r="877" spans="1:19" hidden="1">
      <c r="A877" s="68" t="s">
        <v>2333</v>
      </c>
      <c r="B877" s="6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69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106</v>
      </c>
      <c r="R877" s="70" t="s">
        <v>1459</v>
      </c>
      <c r="S877" s="69"/>
    </row>
    <row r="878" spans="1:19" hidden="1">
      <c r="A878" s="68" t="s">
        <v>2333</v>
      </c>
      <c r="B878" s="6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69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106</v>
      </c>
      <c r="R878" s="70" t="s">
        <v>1459</v>
      </c>
      <c r="S878" s="69"/>
    </row>
    <row r="879" spans="1:19" hidden="1">
      <c r="A879" s="68" t="s">
        <v>2333</v>
      </c>
      <c r="B879" s="6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69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106</v>
      </c>
      <c r="R879" s="70" t="s">
        <v>1459</v>
      </c>
      <c r="S879" s="69"/>
    </row>
    <row r="880" spans="1:19" hidden="1">
      <c r="A880" t="s">
        <v>2313</v>
      </c>
      <c r="B880" s="6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69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6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69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6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69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6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69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6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69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6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69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6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69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102</v>
      </c>
      <c r="R886" s="70" t="s">
        <v>2400</v>
      </c>
      <c r="S886" s="69"/>
    </row>
    <row r="887" spans="1:19" hidden="1">
      <c r="A887" s="68" t="s">
        <v>2396</v>
      </c>
      <c r="B887" s="6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69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102</v>
      </c>
      <c r="R887" s="70" t="s">
        <v>2400</v>
      </c>
      <c r="S887" s="69"/>
    </row>
    <row r="888" spans="1:19" hidden="1">
      <c r="A888" s="68" t="s">
        <v>2396</v>
      </c>
      <c r="B888" s="6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69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102</v>
      </c>
      <c r="R888" s="70" t="s">
        <v>2400</v>
      </c>
      <c r="S888" s="69"/>
    </row>
    <row r="889" spans="1:19" hidden="1">
      <c r="A889" s="68" t="s">
        <v>2396</v>
      </c>
      <c r="B889" s="6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69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6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69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6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69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6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69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6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69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6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69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6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69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6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69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6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69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6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69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6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69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6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69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6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69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6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69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6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69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6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69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6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69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6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69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6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69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97</v>
      </c>
      <c r="R907" s="70" t="s">
        <v>515</v>
      </c>
      <c r="S907" s="69"/>
    </row>
    <row r="908" spans="1:19" hidden="1">
      <c r="A908" t="s">
        <v>2439</v>
      </c>
      <c r="B908" s="6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69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96</v>
      </c>
      <c r="R908" s="70" t="s">
        <v>2440</v>
      </c>
      <c r="S908" s="69"/>
    </row>
    <row r="909" spans="1:19" hidden="1">
      <c r="A909" t="s">
        <v>2459</v>
      </c>
      <c r="B909" s="6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69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96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6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69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96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6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69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96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6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69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96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6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69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96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6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69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96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6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69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96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6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69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96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6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69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96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6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69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96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6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69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96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6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69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6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69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6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69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6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69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6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69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6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69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6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69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6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69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6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69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6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69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6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69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6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69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6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69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6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69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6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69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6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69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6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69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6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69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6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69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6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69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6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69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6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69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6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69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6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69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6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69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6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69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6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69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6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69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6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69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6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69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6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69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6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69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6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69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6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69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6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69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6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69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6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69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6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69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6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69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6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69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6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69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6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69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6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69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6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69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6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69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6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69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6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69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6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69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6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69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6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69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6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69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6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69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6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69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6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69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6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69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6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69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6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69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6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69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6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69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6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69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6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69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6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69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6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69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6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69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6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69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6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69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6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69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6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69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6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69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6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69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6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69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6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69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6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69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6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69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6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69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6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69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6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69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6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69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6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69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6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69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6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69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6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69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6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69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6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69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6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69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6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69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6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69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6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69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6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69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82</v>
      </c>
      <c r="R1008" s="74" t="s">
        <v>972</v>
      </c>
      <c r="S1008" s="69"/>
    </row>
    <row r="1009" spans="1:19" hidden="1">
      <c r="A1009" s="72" t="s">
        <v>2626</v>
      </c>
      <c r="B1009" s="6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69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82</v>
      </c>
      <c r="R1009" s="74" t="s">
        <v>972</v>
      </c>
      <c r="S1009" s="69"/>
    </row>
    <row r="1010" spans="1:19" hidden="1">
      <c r="A1010" t="s">
        <v>2622</v>
      </c>
      <c r="B1010" s="6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69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6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69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6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69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6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69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6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69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6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69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6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69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81</v>
      </c>
      <c r="R1016" s="74" t="s">
        <v>489</v>
      </c>
      <c r="S1016" s="69"/>
    </row>
    <row r="1017" spans="1:19" hidden="1">
      <c r="A1017" s="72" t="s">
        <v>2673</v>
      </c>
      <c r="B1017" s="6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69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81</v>
      </c>
      <c r="R1017" s="74" t="s">
        <v>489</v>
      </c>
      <c r="S1017" s="69"/>
    </row>
    <row r="1018" spans="1:19" hidden="1">
      <c r="A1018" s="72" t="s">
        <v>2673</v>
      </c>
      <c r="B1018" s="6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69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81</v>
      </c>
      <c r="R1018" s="74" t="s">
        <v>489</v>
      </c>
      <c r="S1018" s="69"/>
    </row>
    <row r="1019" spans="1:19" hidden="1">
      <c r="A1019" s="72" t="s">
        <v>2667</v>
      </c>
      <c r="B1019" s="6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69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6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69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6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69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6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69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6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69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6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69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6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69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6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69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6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69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6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69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6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69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6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69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6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69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6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69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6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69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6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69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6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69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6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69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6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69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6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69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6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69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6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69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6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69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6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69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6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69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6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69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6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69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6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69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6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69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6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69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6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69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6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69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6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69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6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69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6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69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6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69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6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69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6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69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6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69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6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69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6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69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6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69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6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69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6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69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6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69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6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69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6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69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6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69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6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69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6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69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6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69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6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69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6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69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6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69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6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69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6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69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6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69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6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69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6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69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6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69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6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69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6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69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6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69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6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69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6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69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6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69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6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69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6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69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6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69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6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69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6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69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6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69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6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69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6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69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6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69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6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69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6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69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6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69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6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69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6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69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6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69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6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69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6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69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6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69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6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69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6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69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6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69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6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69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6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69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6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69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6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69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6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69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6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69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6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69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6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69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6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69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6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69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6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69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6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69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6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69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6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69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6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69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6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69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6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69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6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69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6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69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6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69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6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69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6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69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6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69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6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69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6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69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6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69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6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69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6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69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6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69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6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69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6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69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6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69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6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69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6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69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6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69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6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69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6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69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6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69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6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69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6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69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6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69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6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69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6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69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6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69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6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69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6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69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6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69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71</v>
      </c>
      <c r="R1152" s="80" t="s">
        <v>515</v>
      </c>
      <c r="S1152" s="69"/>
    </row>
    <row r="1153" spans="1:19" hidden="1">
      <c r="A1153" s="72" t="s">
        <v>2830</v>
      </c>
      <c r="B1153" s="6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69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6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69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6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69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6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69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6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69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6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69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6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69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6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69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6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69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6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69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6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69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6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69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6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69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6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69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6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69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6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69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6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69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6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69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6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69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6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69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6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69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6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69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6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69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6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69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6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69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6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69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6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69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6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69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6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69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6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69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6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69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6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69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6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69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6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69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6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69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6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69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6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69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6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69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6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69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6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69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6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69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6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69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6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69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6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69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6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69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6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69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6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69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6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69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6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69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6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69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6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69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6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69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6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69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6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69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6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69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6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69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6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69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6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69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6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69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6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69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6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69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6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69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6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69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6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69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6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69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6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69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6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69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6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69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6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69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6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69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6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69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6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69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6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69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6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69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6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69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6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69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6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69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6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69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6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69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6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69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6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69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6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69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6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69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6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69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6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69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6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69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6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69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6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69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6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69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6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69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6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69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6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69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6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69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6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69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6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69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6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69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6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69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6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69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6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69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6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69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6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69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6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69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6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69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6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69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6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69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6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69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6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69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6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69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6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69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6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69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6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69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6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69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6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69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6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69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6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69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6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69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6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69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6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69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6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69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6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69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6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69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6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69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6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69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6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69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6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69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6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69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6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69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6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69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6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69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6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69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6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69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6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69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6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69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6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69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6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69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6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69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6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69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6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69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6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69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6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69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6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69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6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69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6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69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6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69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6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69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6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69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6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69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6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69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6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69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6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69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6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69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6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69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6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69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6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69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6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69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6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69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6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69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6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69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6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69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6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69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6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69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6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69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6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69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6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69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6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69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6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69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6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69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6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69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6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69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6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69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6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69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6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69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6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69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6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69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6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69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6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69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6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69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6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69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6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69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6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69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6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69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6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69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6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69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6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69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6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69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6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69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6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69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6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69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6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69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6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69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6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69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6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69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6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69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6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69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6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69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6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69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6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69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6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69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6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69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6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69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6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69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6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69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6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69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6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69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6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69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6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69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6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69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6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69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6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69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6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69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6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69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6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69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6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69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6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69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6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69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6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69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6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69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6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69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6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69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6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69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6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69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6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69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6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69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6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69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6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69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6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69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6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69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6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69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6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69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6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69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6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69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6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69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6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69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6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69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6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69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6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69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6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69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6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69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6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69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6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69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6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69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6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69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6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69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6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69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6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69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6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69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6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69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6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69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6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69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6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69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6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69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6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69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6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69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6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69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6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69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6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69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6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69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6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69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6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69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6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69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6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69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6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69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6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69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6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69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6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69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6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69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6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69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6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69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6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69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6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69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6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69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6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69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6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69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6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69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6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69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6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69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6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69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6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69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6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69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6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69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6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69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6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69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56</v>
      </c>
      <c r="R1434" s="80" t="s">
        <v>489</v>
      </c>
      <c r="S1434" s="69"/>
    </row>
    <row r="1435" spans="1:19" hidden="1">
      <c r="A1435" s="72" t="s">
        <v>3192</v>
      </c>
      <c r="B1435" s="6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69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56</v>
      </c>
      <c r="R1435" s="80" t="s">
        <v>489</v>
      </c>
      <c r="S1435" s="69"/>
    </row>
    <row r="1436" spans="1:19" hidden="1">
      <c r="A1436" s="72" t="s">
        <v>3192</v>
      </c>
      <c r="B1436" s="6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69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56</v>
      </c>
      <c r="R1436" s="80" t="s">
        <v>489</v>
      </c>
      <c r="S1436" s="69"/>
    </row>
    <row r="1437" spans="1:19" hidden="1">
      <c r="A1437" s="72" t="s">
        <v>3192</v>
      </c>
      <c r="B1437" s="6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69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56</v>
      </c>
      <c r="R1437" s="80" t="s">
        <v>489</v>
      </c>
      <c r="S1437" s="69"/>
    </row>
    <row r="1438" spans="1:19" hidden="1">
      <c r="A1438" s="72" t="s">
        <v>3192</v>
      </c>
      <c r="B1438" s="6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69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56</v>
      </c>
      <c r="R1438" s="80" t="s">
        <v>489</v>
      </c>
      <c r="S1438" s="69"/>
    </row>
    <row r="1439" spans="1:19" hidden="1">
      <c r="A1439" s="72" t="s">
        <v>3192</v>
      </c>
      <c r="B1439" s="6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69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56</v>
      </c>
      <c r="R1439" s="80" t="s">
        <v>489</v>
      </c>
      <c r="S1439" s="69"/>
    </row>
    <row r="1440" spans="1:19" hidden="1">
      <c r="A1440" s="72" t="s">
        <v>3192</v>
      </c>
      <c r="B1440" s="6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69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56</v>
      </c>
      <c r="R1440" s="80" t="s">
        <v>489</v>
      </c>
      <c r="S1440" s="69"/>
    </row>
    <row r="1441" spans="1:19" hidden="1">
      <c r="A1441" s="72" t="s">
        <v>3192</v>
      </c>
      <c r="B1441" s="6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69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56</v>
      </c>
      <c r="R1441" s="80" t="s">
        <v>489</v>
      </c>
      <c r="S1441" s="69"/>
    </row>
    <row r="1442" spans="1:19" hidden="1">
      <c r="A1442" s="72" t="s">
        <v>3192</v>
      </c>
      <c r="B1442" s="6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69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56</v>
      </c>
      <c r="R1442" s="80" t="s">
        <v>489</v>
      </c>
      <c r="S1442" s="69"/>
    </row>
    <row r="1443" spans="1:19" hidden="1">
      <c r="A1443" s="72" t="s">
        <v>3192</v>
      </c>
      <c r="B1443" s="6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69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56</v>
      </c>
      <c r="R1443" s="80" t="s">
        <v>489</v>
      </c>
      <c r="S1443" s="69"/>
    </row>
    <row r="1444" spans="1:19" hidden="1">
      <c r="A1444" s="72" t="s">
        <v>3192</v>
      </c>
      <c r="B1444" s="6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69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56</v>
      </c>
      <c r="R1444" s="80" t="s">
        <v>489</v>
      </c>
      <c r="S1444" s="69"/>
    </row>
    <row r="1445" spans="1:19" hidden="1">
      <c r="A1445" s="72" t="s">
        <v>3192</v>
      </c>
      <c r="B1445" s="6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69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56</v>
      </c>
      <c r="R1445" s="80" t="s">
        <v>489</v>
      </c>
      <c r="S1445" s="69"/>
    </row>
    <row r="1446" spans="1:19" hidden="1">
      <c r="A1446" s="72" t="s">
        <v>3192</v>
      </c>
      <c r="B1446" s="6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69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56</v>
      </c>
      <c r="R1446" s="80" t="s">
        <v>489</v>
      </c>
      <c r="S1446" s="69"/>
    </row>
    <row r="1447" spans="1:19" hidden="1">
      <c r="A1447" s="72" t="s">
        <v>3192</v>
      </c>
      <c r="B1447" s="6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69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56</v>
      </c>
      <c r="R1447" s="80" t="s">
        <v>489</v>
      </c>
      <c r="S1447" s="69"/>
    </row>
    <row r="1448" spans="1:19" hidden="1">
      <c r="A1448" s="72" t="s">
        <v>3192</v>
      </c>
      <c r="B1448" s="6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69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56</v>
      </c>
      <c r="R1448" s="80" t="s">
        <v>489</v>
      </c>
      <c r="S1448" s="69"/>
    </row>
    <row r="1449" spans="1:19" hidden="1">
      <c r="A1449" s="72" t="s">
        <v>3192</v>
      </c>
      <c r="B1449" s="6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69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56</v>
      </c>
      <c r="R1449" s="80" t="s">
        <v>489</v>
      </c>
      <c r="S1449" s="69"/>
    </row>
    <row r="1450" spans="1:19" hidden="1">
      <c r="A1450" s="72" t="s">
        <v>3192</v>
      </c>
      <c r="B1450" s="6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69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56</v>
      </c>
      <c r="R1450" s="80" t="s">
        <v>489</v>
      </c>
      <c r="S1450" s="69"/>
    </row>
    <row r="1451" spans="1:19" hidden="1">
      <c r="A1451" s="72" t="s">
        <v>3192</v>
      </c>
      <c r="B1451" s="6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69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56</v>
      </c>
      <c r="R1451" s="80" t="s">
        <v>489</v>
      </c>
      <c r="S1451" s="69"/>
    </row>
    <row r="1452" spans="1:19" hidden="1">
      <c r="A1452" s="72" t="s">
        <v>3192</v>
      </c>
      <c r="B1452" s="6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69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56</v>
      </c>
      <c r="R1452" s="80" t="s">
        <v>489</v>
      </c>
      <c r="S1452" s="69"/>
    </row>
    <row r="1453" spans="1:19" hidden="1">
      <c r="A1453" s="72" t="s">
        <v>3192</v>
      </c>
      <c r="B1453" s="6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69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56</v>
      </c>
      <c r="R1453" s="80" t="s">
        <v>489</v>
      </c>
      <c r="S1453" s="69"/>
    </row>
    <row r="1454" spans="1:19" hidden="1">
      <c r="A1454" t="s">
        <v>3202</v>
      </c>
      <c r="B1454" s="85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85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85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85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85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85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85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85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85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85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85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85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85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85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85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85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85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85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85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85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85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85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85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85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85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85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85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85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85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85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85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85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85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85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85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85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85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85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85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85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85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85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85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85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85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85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85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85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85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85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85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85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85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85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85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85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85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85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85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85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85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85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85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85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85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85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85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85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85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85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85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85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85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85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85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85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85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85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85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85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85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85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85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85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85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85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85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85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85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85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85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85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85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85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85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85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85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85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85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85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85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85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85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85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85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85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85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85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85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85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85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85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85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85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85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85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85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85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85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85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53</v>
      </c>
      <c r="R1513" s="86" t="s">
        <v>515</v>
      </c>
      <c r="S1513" s="85"/>
    </row>
    <row r="1514" spans="1:19" hidden="1">
      <c r="A1514" s="84" t="s">
        <v>3292</v>
      </c>
      <c r="B1514" s="85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85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53</v>
      </c>
      <c r="R1514" s="86" t="s">
        <v>515</v>
      </c>
      <c r="S1514" s="85"/>
    </row>
    <row r="1515" spans="1:19" s="103" customFormat="1" hidden="1">
      <c r="A1515" s="103" t="s">
        <v>3292</v>
      </c>
      <c r="B1515" s="94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9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94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9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85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85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53</v>
      </c>
      <c r="R1517" s="86" t="s">
        <v>3291</v>
      </c>
      <c r="S1517" s="85"/>
    </row>
    <row r="1518" spans="1:19" hidden="1">
      <c r="A1518" t="s">
        <v>3298</v>
      </c>
      <c r="B1518" s="85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85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53</v>
      </c>
      <c r="R1518" s="86" t="s">
        <v>3291</v>
      </c>
      <c r="S1518" s="85"/>
    </row>
    <row r="1519" spans="1:19" hidden="1">
      <c r="A1519" t="s">
        <v>3327</v>
      </c>
      <c r="B1519" s="85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85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52</v>
      </c>
      <c r="R1519" s="86" t="s">
        <v>478</v>
      </c>
      <c r="S1519" s="85"/>
    </row>
    <row r="1520" spans="1:19" hidden="1">
      <c r="A1520" s="84" t="s">
        <v>3327</v>
      </c>
      <c r="B1520" s="85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85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52</v>
      </c>
      <c r="R1520" s="86" t="s">
        <v>478</v>
      </c>
      <c r="S1520" s="85"/>
    </row>
    <row r="1521" spans="1:19" hidden="1">
      <c r="A1521" s="84" t="s">
        <v>3327</v>
      </c>
      <c r="B1521" s="85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85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52</v>
      </c>
      <c r="R1521" s="86" t="s">
        <v>478</v>
      </c>
      <c r="S1521" s="85"/>
    </row>
    <row r="1522" spans="1:19" hidden="1">
      <c r="A1522" s="84" t="s">
        <v>3327</v>
      </c>
      <c r="B1522" s="85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85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52</v>
      </c>
      <c r="R1522" s="86" t="s">
        <v>478</v>
      </c>
      <c r="S1522" s="85"/>
    </row>
    <row r="1523" spans="1:19" hidden="1">
      <c r="A1523" s="84" t="s">
        <v>3327</v>
      </c>
      <c r="B1523" s="85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85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52</v>
      </c>
      <c r="R1523" s="86" t="s">
        <v>478</v>
      </c>
      <c r="S1523" s="85"/>
    </row>
    <row r="1524" spans="1:19" hidden="1">
      <c r="A1524" s="84" t="s">
        <v>3327</v>
      </c>
      <c r="B1524" s="85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85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52</v>
      </c>
      <c r="R1524" s="86" t="s">
        <v>478</v>
      </c>
      <c r="S1524" s="85"/>
    </row>
    <row r="1525" spans="1:19" hidden="1">
      <c r="A1525" s="84" t="s">
        <v>3327</v>
      </c>
      <c r="B1525" s="85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85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52</v>
      </c>
      <c r="R1525" s="86" t="s">
        <v>478</v>
      </c>
      <c r="S1525" s="85"/>
    </row>
    <row r="1526" spans="1:19" hidden="1">
      <c r="A1526" s="84" t="s">
        <v>3327</v>
      </c>
      <c r="B1526" s="85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85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52</v>
      </c>
      <c r="R1526" s="86" t="s">
        <v>478</v>
      </c>
      <c r="S1526" s="85"/>
    </row>
    <row r="1527" spans="1:19" hidden="1">
      <c r="A1527" s="84" t="s">
        <v>3327</v>
      </c>
      <c r="B1527" s="85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85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52</v>
      </c>
      <c r="R1527" s="86" t="s">
        <v>478</v>
      </c>
      <c r="S1527" s="85"/>
    </row>
    <row r="1528" spans="1:19" hidden="1">
      <c r="A1528" s="84" t="s">
        <v>3327</v>
      </c>
      <c r="B1528" s="85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85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52</v>
      </c>
      <c r="R1528" s="86" t="s">
        <v>478</v>
      </c>
      <c r="S1528" s="85"/>
    </row>
    <row r="1529" spans="1:19" hidden="1">
      <c r="A1529" s="84" t="s">
        <v>3327</v>
      </c>
      <c r="B1529" s="85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85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52</v>
      </c>
      <c r="R1529" s="86" t="s">
        <v>478</v>
      </c>
      <c r="S1529" s="85"/>
    </row>
    <row r="1530" spans="1:19" hidden="1">
      <c r="A1530" s="84" t="s">
        <v>3327</v>
      </c>
      <c r="B1530" s="85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85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52</v>
      </c>
      <c r="R1530" s="86" t="s">
        <v>478</v>
      </c>
      <c r="S1530" s="85"/>
    </row>
    <row r="1531" spans="1:19" hidden="1">
      <c r="A1531" s="84" t="s">
        <v>3327</v>
      </c>
      <c r="B1531" s="85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85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52</v>
      </c>
      <c r="R1531" s="86" t="s">
        <v>478</v>
      </c>
      <c r="S1531" s="85"/>
    </row>
    <row r="1532" spans="1:19" hidden="1">
      <c r="A1532" s="84" t="s">
        <v>3327</v>
      </c>
      <c r="B1532" s="85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85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52</v>
      </c>
      <c r="R1532" s="86" t="s">
        <v>478</v>
      </c>
      <c r="S1532" s="85"/>
    </row>
    <row r="1533" spans="1:19" hidden="1">
      <c r="A1533" s="84" t="s">
        <v>3327</v>
      </c>
      <c r="B1533" s="85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85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52</v>
      </c>
      <c r="R1533" s="86" t="s">
        <v>478</v>
      </c>
      <c r="S1533" s="85"/>
    </row>
    <row r="1534" spans="1:19" hidden="1">
      <c r="A1534" s="84" t="s">
        <v>3327</v>
      </c>
      <c r="B1534" s="85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85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52</v>
      </c>
      <c r="R1534" s="86" t="s">
        <v>478</v>
      </c>
      <c r="S1534" s="85"/>
    </row>
    <row r="1535" spans="1:19" hidden="1">
      <c r="A1535" s="84" t="s">
        <v>3327</v>
      </c>
      <c r="B1535" s="85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85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52</v>
      </c>
      <c r="R1535" s="86" t="s">
        <v>478</v>
      </c>
      <c r="S1535" s="85"/>
    </row>
    <row r="1536" spans="1:19" hidden="1">
      <c r="A1536" s="84" t="s">
        <v>3327</v>
      </c>
      <c r="B1536" s="85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85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52</v>
      </c>
      <c r="R1536" s="86" t="s">
        <v>478</v>
      </c>
      <c r="S1536" s="85"/>
    </row>
    <row r="1537" spans="1:19" hidden="1">
      <c r="A1537" s="84" t="s">
        <v>3327</v>
      </c>
      <c r="B1537" s="85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85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52</v>
      </c>
      <c r="R1537" s="86" t="s">
        <v>478</v>
      </c>
      <c r="S1537" s="85"/>
    </row>
    <row r="1538" spans="1:19" hidden="1">
      <c r="A1538" s="84" t="s">
        <v>3327</v>
      </c>
      <c r="B1538" s="85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85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52</v>
      </c>
      <c r="R1538" s="86" t="s">
        <v>478</v>
      </c>
      <c r="S1538" s="85"/>
    </row>
    <row r="1539" spans="1:19" hidden="1">
      <c r="A1539" s="84" t="s">
        <v>3327</v>
      </c>
      <c r="B1539" s="85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85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52</v>
      </c>
      <c r="R1539" s="86" t="s">
        <v>478</v>
      </c>
      <c r="S1539" s="85"/>
    </row>
    <row r="1540" spans="1:19" hidden="1">
      <c r="A1540" s="84" t="s">
        <v>3327</v>
      </c>
      <c r="B1540" s="85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85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52</v>
      </c>
      <c r="R1540" s="86" t="s">
        <v>478</v>
      </c>
      <c r="S1540" s="85"/>
    </row>
    <row r="1541" spans="1:19" hidden="1">
      <c r="A1541" s="84" t="s">
        <v>3327</v>
      </c>
      <c r="B1541" s="85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85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52</v>
      </c>
      <c r="R1541" s="86" t="s">
        <v>478</v>
      </c>
      <c r="S1541" s="85"/>
    </row>
    <row r="1542" spans="1:19" hidden="1">
      <c r="A1542" s="84" t="s">
        <v>3327</v>
      </c>
      <c r="B1542" s="85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85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52</v>
      </c>
      <c r="R1542" s="86" t="s">
        <v>478</v>
      </c>
      <c r="S1542" s="85"/>
    </row>
    <row r="1543" spans="1:19" hidden="1">
      <c r="A1543" s="84" t="s">
        <v>3327</v>
      </c>
      <c r="B1543" s="85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85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52</v>
      </c>
      <c r="R1543" s="86" t="s">
        <v>478</v>
      </c>
      <c r="S1543" s="85"/>
    </row>
    <row r="1544" spans="1:19" hidden="1">
      <c r="A1544" s="84" t="s">
        <v>3327</v>
      </c>
      <c r="B1544" s="85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85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52</v>
      </c>
      <c r="R1544" s="86" t="s">
        <v>478</v>
      </c>
      <c r="S1544" s="85"/>
    </row>
    <row r="1545" spans="1:19" hidden="1">
      <c r="A1545" s="84" t="s">
        <v>3327</v>
      </c>
      <c r="B1545" s="85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85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52</v>
      </c>
      <c r="R1545" s="86" t="s">
        <v>478</v>
      </c>
      <c r="S1545" s="85"/>
    </row>
    <row r="1546" spans="1:19" hidden="1">
      <c r="A1546" s="84" t="s">
        <v>3327</v>
      </c>
      <c r="B1546" s="85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85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52</v>
      </c>
      <c r="R1546" s="86" t="s">
        <v>478</v>
      </c>
      <c r="S1546" s="85"/>
    </row>
    <row r="1547" spans="1:19" hidden="1">
      <c r="A1547" t="s">
        <v>3328</v>
      </c>
      <c r="B1547" s="85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85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52</v>
      </c>
      <c r="R1547" s="86" t="s">
        <v>478</v>
      </c>
      <c r="S1547" s="85"/>
    </row>
    <row r="1548" spans="1:19" hidden="1">
      <c r="A1548" t="s">
        <v>3332</v>
      </c>
      <c r="B1548" s="85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85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52</v>
      </c>
      <c r="R1548" s="86" t="s">
        <v>3285</v>
      </c>
      <c r="S1548" s="85"/>
    </row>
    <row r="1549" spans="1:19" hidden="1">
      <c r="A1549" t="s">
        <v>3333</v>
      </c>
      <c r="B1549" s="85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85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51</v>
      </c>
      <c r="R1549" s="86" t="s">
        <v>972</v>
      </c>
      <c r="S1549" s="85"/>
    </row>
    <row r="1550" spans="1:19" hidden="1">
      <c r="A1550" s="84" t="s">
        <v>3333</v>
      </c>
      <c r="B1550" s="85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85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51</v>
      </c>
      <c r="R1550" s="86" t="s">
        <v>972</v>
      </c>
      <c r="S1550" s="85"/>
    </row>
    <row r="1551" spans="1:19" hidden="1">
      <c r="A1551" s="84" t="s">
        <v>3333</v>
      </c>
      <c r="B1551" s="85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85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51</v>
      </c>
      <c r="R1551" s="86" t="s">
        <v>972</v>
      </c>
      <c r="S1551" s="85"/>
    </row>
    <row r="1552" spans="1:19" hidden="1">
      <c r="A1552" s="84" t="s">
        <v>3333</v>
      </c>
      <c r="B1552" s="85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85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51</v>
      </c>
      <c r="R1552" s="86" t="s">
        <v>972</v>
      </c>
      <c r="S1552" s="85"/>
    </row>
    <row r="1553" spans="1:19" hidden="1">
      <c r="A1553" s="84" t="s">
        <v>3333</v>
      </c>
      <c r="B1553" s="85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85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51</v>
      </c>
      <c r="R1553" s="86" t="s">
        <v>972</v>
      </c>
      <c r="S1553" s="85"/>
    </row>
    <row r="1554" spans="1:19" hidden="1">
      <c r="A1554" s="84" t="s">
        <v>3333</v>
      </c>
      <c r="B1554" s="85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85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51</v>
      </c>
      <c r="R1554" s="86" t="s">
        <v>972</v>
      </c>
      <c r="S1554" s="85"/>
    </row>
    <row r="1555" spans="1:19" hidden="1">
      <c r="A1555" s="84" t="s">
        <v>3333</v>
      </c>
      <c r="B1555" s="85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85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51</v>
      </c>
      <c r="R1555" s="86" t="s">
        <v>972</v>
      </c>
      <c r="S1555" s="85"/>
    </row>
    <row r="1556" spans="1:19" hidden="1">
      <c r="A1556" s="84" t="s">
        <v>3333</v>
      </c>
      <c r="B1556" s="85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85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51</v>
      </c>
      <c r="R1556" s="86" t="s">
        <v>972</v>
      </c>
      <c r="S1556" s="85"/>
    </row>
    <row r="1557" spans="1:19" hidden="1">
      <c r="A1557" s="84" t="s">
        <v>3333</v>
      </c>
      <c r="B1557" s="85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85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51</v>
      </c>
      <c r="R1557" s="86" t="s">
        <v>972</v>
      </c>
      <c r="S1557" s="85"/>
    </row>
    <row r="1558" spans="1:19" hidden="1">
      <c r="A1558" s="84" t="s">
        <v>3333</v>
      </c>
      <c r="B1558" s="85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85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51</v>
      </c>
      <c r="R1558" s="86" t="s">
        <v>972</v>
      </c>
      <c r="S1558" s="85"/>
    </row>
    <row r="1559" spans="1:19" hidden="1">
      <c r="A1559" t="s">
        <v>3346</v>
      </c>
      <c r="B1559" s="85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85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51</v>
      </c>
      <c r="R1559" s="86" t="s">
        <v>551</v>
      </c>
      <c r="S1559" s="85"/>
    </row>
    <row r="1560" spans="1:19" hidden="1">
      <c r="A1560" s="88" t="s">
        <v>3346</v>
      </c>
      <c r="B1560" s="85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85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51</v>
      </c>
      <c r="R1560" s="86" t="s">
        <v>551</v>
      </c>
      <c r="S1560" s="85"/>
    </row>
    <row r="1561" spans="1:19" hidden="1">
      <c r="A1561" s="88" t="s">
        <v>3346</v>
      </c>
      <c r="B1561" s="85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85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51</v>
      </c>
      <c r="R1561" s="86" t="s">
        <v>551</v>
      </c>
      <c r="S1561" s="85"/>
    </row>
    <row r="1562" spans="1:19" hidden="1">
      <c r="A1562" t="s">
        <v>3348</v>
      </c>
      <c r="B1562" s="85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85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85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85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85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85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85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85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85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85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85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85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85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85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51</v>
      </c>
      <c r="R1568" s="86" t="s">
        <v>551</v>
      </c>
      <c r="S1568" s="85"/>
    </row>
    <row r="1569" spans="1:19" hidden="1">
      <c r="A1569" t="s">
        <v>3358</v>
      </c>
      <c r="B1569" s="85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85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51</v>
      </c>
      <c r="R1569" s="86" t="s">
        <v>551</v>
      </c>
      <c r="S1569" s="85"/>
    </row>
    <row r="1570" spans="1:19" hidden="1">
      <c r="A1570" s="89" t="s">
        <v>3358</v>
      </c>
      <c r="B1570" s="85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85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51</v>
      </c>
      <c r="R1570" s="86" t="s">
        <v>551</v>
      </c>
      <c r="S1570" s="85"/>
    </row>
    <row r="1571" spans="1:19" hidden="1">
      <c r="A1571" s="89" t="s">
        <v>3358</v>
      </c>
      <c r="B1571" s="85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85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51</v>
      </c>
      <c r="R1571" s="86" t="s">
        <v>551</v>
      </c>
      <c r="S1571" s="85"/>
    </row>
    <row r="1572" spans="1:19" hidden="1">
      <c r="A1572" s="89" t="s">
        <v>3358</v>
      </c>
      <c r="B1572" s="85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85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51</v>
      </c>
      <c r="R1572" s="86" t="s">
        <v>551</v>
      </c>
      <c r="S1572" s="85"/>
    </row>
    <row r="1573" spans="1:19" hidden="1">
      <c r="A1573" t="s">
        <v>3369</v>
      </c>
      <c r="B1573" s="85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85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85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85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85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85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85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85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85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85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85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85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85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85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85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85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85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85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85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85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85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85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85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85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85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85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85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85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85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85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85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85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85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85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85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85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85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85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85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85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85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85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85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85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85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85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85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85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85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85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85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85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85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85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85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85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85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85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85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85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85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85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85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85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85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85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85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85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85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85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85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85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85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85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85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85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85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85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85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85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85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85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85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85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85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85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85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85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85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85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85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85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85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85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85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85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85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85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85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85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85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85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85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85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85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85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85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85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85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85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85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85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85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85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85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85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85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85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85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85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85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85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85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85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85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85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85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85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85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85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85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85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85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85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85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85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85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85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85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85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85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85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85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85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47</v>
      </c>
      <c r="R1644" s="90" t="s">
        <v>489</v>
      </c>
      <c r="S1644" s="85"/>
    </row>
    <row r="1645" spans="1:19" hidden="1">
      <c r="A1645" s="89" t="s">
        <v>3405</v>
      </c>
      <c r="B1645" s="85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85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47</v>
      </c>
      <c r="R1645" s="90" t="s">
        <v>489</v>
      </c>
      <c r="S1645" s="85"/>
    </row>
    <row r="1646" spans="1:19" hidden="1">
      <c r="A1646" s="89" t="s">
        <v>3405</v>
      </c>
      <c r="B1646" s="85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85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47</v>
      </c>
      <c r="R1646" s="90" t="s">
        <v>489</v>
      </c>
      <c r="S1646" s="85"/>
    </row>
    <row r="1647" spans="1:19" hidden="1">
      <c r="A1647" s="89" t="s">
        <v>3405</v>
      </c>
      <c r="B1647" s="85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85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47</v>
      </c>
      <c r="R1647" s="90" t="s">
        <v>489</v>
      </c>
      <c r="S1647" s="85"/>
    </row>
    <row r="1648" spans="1:19" hidden="1">
      <c r="A1648" s="89" t="s">
        <v>3405</v>
      </c>
      <c r="B1648" s="85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85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47</v>
      </c>
      <c r="R1648" s="90" t="s">
        <v>489</v>
      </c>
      <c r="S1648" s="85"/>
    </row>
    <row r="1649" spans="1:19" hidden="1">
      <c r="A1649" s="89" t="s">
        <v>3405</v>
      </c>
      <c r="B1649" s="85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85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47</v>
      </c>
      <c r="R1649" s="90" t="s">
        <v>489</v>
      </c>
      <c r="S1649" s="85"/>
    </row>
    <row r="1650" spans="1:19" hidden="1">
      <c r="A1650" s="89" t="s">
        <v>3405</v>
      </c>
      <c r="B1650" s="85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85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47</v>
      </c>
      <c r="R1650" s="90" t="s">
        <v>489</v>
      </c>
      <c r="S1650" s="85"/>
    </row>
    <row r="1651" spans="1:19" hidden="1">
      <c r="A1651" s="89" t="s">
        <v>3405</v>
      </c>
      <c r="B1651" s="85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85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47</v>
      </c>
      <c r="R1651" s="90" t="s">
        <v>489</v>
      </c>
      <c r="S1651" s="85"/>
    </row>
    <row r="1652" spans="1:19" hidden="1">
      <c r="A1652" s="89" t="s">
        <v>3405</v>
      </c>
      <c r="B1652" s="85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85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47</v>
      </c>
      <c r="R1652" s="90" t="s">
        <v>489</v>
      </c>
      <c r="S1652" s="85"/>
    </row>
    <row r="1653" spans="1:19" hidden="1">
      <c r="A1653" s="89" t="s">
        <v>3405</v>
      </c>
      <c r="B1653" s="85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85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47</v>
      </c>
      <c r="R1653" s="90" t="s">
        <v>489</v>
      </c>
      <c r="S1653" s="85"/>
    </row>
    <row r="1654" spans="1:19" hidden="1">
      <c r="A1654" s="89" t="s">
        <v>3405</v>
      </c>
      <c r="B1654" s="85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85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47</v>
      </c>
      <c r="R1654" s="90" t="s">
        <v>489</v>
      </c>
      <c r="S1654" s="85"/>
    </row>
    <row r="1655" spans="1:19" hidden="1">
      <c r="A1655" s="89" t="s">
        <v>3405</v>
      </c>
      <c r="B1655" s="85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85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47</v>
      </c>
      <c r="R1655" s="90" t="s">
        <v>489</v>
      </c>
      <c r="S1655" s="85"/>
    </row>
    <row r="1656" spans="1:19" hidden="1">
      <c r="A1656" s="89" t="s">
        <v>3405</v>
      </c>
      <c r="B1656" s="85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85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47</v>
      </c>
      <c r="R1656" s="90" t="s">
        <v>489</v>
      </c>
      <c r="S1656" s="85"/>
    </row>
    <row r="1657" spans="1:19" hidden="1">
      <c r="A1657" s="89" t="s">
        <v>3405</v>
      </c>
      <c r="B1657" s="85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85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47</v>
      </c>
      <c r="R1657" s="90" t="s">
        <v>489</v>
      </c>
      <c r="S1657" s="85"/>
    </row>
    <row r="1658" spans="1:19" hidden="1">
      <c r="A1658" s="89" t="s">
        <v>3405</v>
      </c>
      <c r="B1658" s="85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85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47</v>
      </c>
      <c r="R1658" s="90" t="s">
        <v>489</v>
      </c>
      <c r="S1658" s="85"/>
    </row>
    <row r="1659" spans="1:19" hidden="1">
      <c r="A1659" s="89" t="s">
        <v>3405</v>
      </c>
      <c r="B1659" s="85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85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47</v>
      </c>
      <c r="R1659" s="90" t="s">
        <v>489</v>
      </c>
      <c r="S1659" s="85"/>
    </row>
    <row r="1660" spans="1:19" hidden="1">
      <c r="A1660" s="89" t="s">
        <v>3405</v>
      </c>
      <c r="B1660" s="85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85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47</v>
      </c>
      <c r="R1660" s="90" t="s">
        <v>489</v>
      </c>
      <c r="S1660" s="85"/>
    </row>
    <row r="1661" spans="1:19" hidden="1">
      <c r="A1661" s="89" t="s">
        <v>3405</v>
      </c>
      <c r="B1661" s="85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85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47</v>
      </c>
      <c r="R1661" s="90" t="s">
        <v>489</v>
      </c>
      <c r="S1661" s="85"/>
    </row>
    <row r="1662" spans="1:19" hidden="1">
      <c r="A1662" s="89" t="s">
        <v>3405</v>
      </c>
      <c r="B1662" s="85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85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47</v>
      </c>
      <c r="R1662" s="90" t="s">
        <v>489</v>
      </c>
      <c r="S1662" s="85"/>
    </row>
    <row r="1663" spans="1:19" hidden="1">
      <c r="A1663" s="89" t="s">
        <v>3405</v>
      </c>
      <c r="B1663" s="85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85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47</v>
      </c>
      <c r="R1663" s="90" t="s">
        <v>489</v>
      </c>
      <c r="S1663" s="85"/>
    </row>
    <row r="1664" spans="1:19" hidden="1">
      <c r="A1664" s="89" t="s">
        <v>3405</v>
      </c>
      <c r="B1664" s="85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85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47</v>
      </c>
      <c r="R1664" s="90" t="s">
        <v>489</v>
      </c>
      <c r="S1664" s="85"/>
    </row>
    <row r="1665" spans="1:19" hidden="1">
      <c r="A1665" s="89" t="s">
        <v>3405</v>
      </c>
      <c r="B1665" s="85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85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47</v>
      </c>
      <c r="R1665" s="90" t="s">
        <v>489</v>
      </c>
      <c r="S1665" s="85"/>
    </row>
    <row r="1666" spans="1:19" hidden="1">
      <c r="A1666" s="89" t="s">
        <v>3405</v>
      </c>
      <c r="B1666" s="85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85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47</v>
      </c>
      <c r="R1666" s="90" t="s">
        <v>489</v>
      </c>
      <c r="S1666" s="85"/>
    </row>
    <row r="1667" spans="1:19" hidden="1">
      <c r="A1667" s="89" t="s">
        <v>3405</v>
      </c>
      <c r="B1667" s="85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85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47</v>
      </c>
      <c r="R1667" s="90" t="s">
        <v>489</v>
      </c>
      <c r="S1667" s="85"/>
    </row>
    <row r="1668" spans="1:19" hidden="1">
      <c r="A1668" s="89" t="s">
        <v>3405</v>
      </c>
      <c r="B1668" s="85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85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47</v>
      </c>
      <c r="R1668" s="90" t="s">
        <v>489</v>
      </c>
      <c r="S1668" s="85"/>
    </row>
    <row r="1669" spans="1:19" hidden="1">
      <c r="A1669" s="89" t="s">
        <v>3405</v>
      </c>
      <c r="B1669" s="85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85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85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85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85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85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85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85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85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85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85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85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85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85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85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85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85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85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85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85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85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85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85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85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85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85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85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85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85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85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85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85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85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85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85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85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85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85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85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85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85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85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85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85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85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85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85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85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85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85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47</v>
      </c>
      <c r="R1693" s="90" t="s">
        <v>489</v>
      </c>
      <c r="S1693" s="85"/>
    </row>
    <row r="1694" spans="1:19" hidden="1">
      <c r="A1694" s="89" t="s">
        <v>3405</v>
      </c>
      <c r="B1694" s="85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85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47</v>
      </c>
      <c r="R1694" s="90" t="s">
        <v>489</v>
      </c>
      <c r="S1694" s="85"/>
    </row>
    <row r="1695" spans="1:19" hidden="1">
      <c r="A1695" s="89" t="s">
        <v>3405</v>
      </c>
      <c r="B1695" s="85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85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47</v>
      </c>
      <c r="R1695" s="90" t="s">
        <v>489</v>
      </c>
      <c r="S1695" s="85"/>
    </row>
    <row r="1696" spans="1:19" hidden="1">
      <c r="A1696" s="89" t="s">
        <v>3405</v>
      </c>
      <c r="B1696" s="85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85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47</v>
      </c>
      <c r="R1696" s="90" t="s">
        <v>489</v>
      </c>
      <c r="S1696" s="85"/>
    </row>
    <row r="1697" spans="1:19" hidden="1">
      <c r="A1697" s="89" t="s">
        <v>3405</v>
      </c>
      <c r="B1697" s="85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85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47</v>
      </c>
      <c r="R1697" s="90" t="s">
        <v>489</v>
      </c>
      <c r="S1697" s="85"/>
    </row>
    <row r="1698" spans="1:19" hidden="1">
      <c r="A1698" s="89" t="s">
        <v>3405</v>
      </c>
      <c r="B1698" s="85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85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47</v>
      </c>
      <c r="R1698" s="90" t="s">
        <v>489</v>
      </c>
      <c r="S1698" s="85"/>
    </row>
    <row r="1699" spans="1:19" hidden="1">
      <c r="A1699" s="89" t="s">
        <v>3405</v>
      </c>
      <c r="B1699" s="85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85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47</v>
      </c>
      <c r="R1699" s="90" t="s">
        <v>489</v>
      </c>
      <c r="S1699" s="85"/>
    </row>
    <row r="1700" spans="1:19" hidden="1">
      <c r="A1700" s="89" t="s">
        <v>3405</v>
      </c>
      <c r="B1700" s="85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85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47</v>
      </c>
      <c r="R1700" s="90" t="s">
        <v>489</v>
      </c>
      <c r="S1700" s="85"/>
    </row>
    <row r="1701" spans="1:19" hidden="1">
      <c r="A1701" s="89" t="s">
        <v>3405</v>
      </c>
      <c r="B1701" s="85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85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47</v>
      </c>
      <c r="R1701" s="90" t="s">
        <v>489</v>
      </c>
      <c r="S1701" s="85"/>
    </row>
    <row r="1702" spans="1:19" hidden="1">
      <c r="A1702" s="89" t="s">
        <v>3405</v>
      </c>
      <c r="B1702" s="85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85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47</v>
      </c>
      <c r="R1702" s="90" t="s">
        <v>489</v>
      </c>
      <c r="S1702" s="85"/>
    </row>
    <row r="1703" spans="1:19" hidden="1">
      <c r="A1703" s="89" t="s">
        <v>3405</v>
      </c>
      <c r="B1703" s="85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85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47</v>
      </c>
      <c r="R1703" s="90" t="s">
        <v>489</v>
      </c>
      <c r="S1703" s="85"/>
    </row>
    <row r="1704" spans="1:19" hidden="1">
      <c r="A1704" s="89" t="s">
        <v>3405</v>
      </c>
      <c r="B1704" s="85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85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47</v>
      </c>
      <c r="R1704" s="90" t="s">
        <v>489</v>
      </c>
      <c r="S1704" s="85"/>
    </row>
    <row r="1705" spans="1:19" hidden="1">
      <c r="A1705" s="89" t="s">
        <v>3405</v>
      </c>
      <c r="B1705" s="85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85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47</v>
      </c>
      <c r="R1705" s="90" t="s">
        <v>489</v>
      </c>
      <c r="S1705" s="85"/>
    </row>
    <row r="1706" spans="1:19" hidden="1">
      <c r="A1706" s="89" t="s">
        <v>3405</v>
      </c>
      <c r="B1706" s="85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85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47</v>
      </c>
      <c r="R1706" s="90" t="s">
        <v>489</v>
      </c>
      <c r="S1706" s="85"/>
    </row>
    <row r="1707" spans="1:19" hidden="1">
      <c r="A1707" s="89" t="s">
        <v>3405</v>
      </c>
      <c r="B1707" s="85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85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47</v>
      </c>
      <c r="R1707" s="90" t="s">
        <v>489</v>
      </c>
      <c r="S1707" s="85"/>
    </row>
    <row r="1708" spans="1:19" hidden="1">
      <c r="A1708" s="89" t="s">
        <v>3405</v>
      </c>
      <c r="B1708" s="85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85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47</v>
      </c>
      <c r="R1708" s="90" t="s">
        <v>489</v>
      </c>
      <c r="S1708" s="85"/>
    </row>
    <row r="1709" spans="1:19" hidden="1">
      <c r="A1709" s="89" t="s">
        <v>3405</v>
      </c>
      <c r="B1709" s="85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85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47</v>
      </c>
      <c r="R1709" s="90" t="s">
        <v>489</v>
      </c>
      <c r="S1709" s="85"/>
    </row>
    <row r="1710" spans="1:19" hidden="1">
      <c r="A1710" s="89" t="s">
        <v>3405</v>
      </c>
      <c r="B1710" s="85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85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47</v>
      </c>
      <c r="R1710" s="90" t="s">
        <v>489</v>
      </c>
      <c r="S1710" s="85"/>
    </row>
    <row r="1711" spans="1:19" hidden="1">
      <c r="A1711" s="89" t="s">
        <v>3405</v>
      </c>
      <c r="B1711" s="85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85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47</v>
      </c>
      <c r="R1711" s="90" t="s">
        <v>489</v>
      </c>
      <c r="S1711" s="85"/>
    </row>
    <row r="1712" spans="1:19" hidden="1">
      <c r="A1712" s="89" t="s">
        <v>3405</v>
      </c>
      <c r="B1712" s="85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85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47</v>
      </c>
      <c r="R1712" s="90" t="s">
        <v>489</v>
      </c>
      <c r="S1712" s="85"/>
    </row>
    <row r="1713" spans="1:19" hidden="1">
      <c r="A1713" s="89" t="s">
        <v>3405</v>
      </c>
      <c r="B1713" s="85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85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47</v>
      </c>
      <c r="R1713" s="90" t="s">
        <v>489</v>
      </c>
      <c r="S1713" s="85"/>
    </row>
    <row r="1714" spans="1:19" hidden="1">
      <c r="A1714" s="89" t="s">
        <v>3405</v>
      </c>
      <c r="B1714" s="85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85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47</v>
      </c>
      <c r="R1714" s="90" t="s">
        <v>489</v>
      </c>
      <c r="S1714" s="85"/>
    </row>
    <row r="1715" spans="1:19" hidden="1">
      <c r="A1715" s="89" t="s">
        <v>3405</v>
      </c>
      <c r="B1715" s="85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85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47</v>
      </c>
      <c r="R1715" s="90" t="s">
        <v>489</v>
      </c>
      <c r="S1715" s="85"/>
    </row>
    <row r="1716" spans="1:19" hidden="1">
      <c r="A1716" s="89" t="s">
        <v>3405</v>
      </c>
      <c r="B1716" s="85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85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47</v>
      </c>
      <c r="R1716" s="90" t="s">
        <v>489</v>
      </c>
      <c r="S1716" s="85"/>
    </row>
    <row r="1717" spans="1:19" hidden="1">
      <c r="A1717" s="89" t="s">
        <v>3405</v>
      </c>
      <c r="B1717" s="85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85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47</v>
      </c>
      <c r="R1717" s="90" t="s">
        <v>489</v>
      </c>
      <c r="S1717" s="85"/>
    </row>
    <row r="1718" spans="1:19" hidden="1">
      <c r="A1718" s="89" t="s">
        <v>3405</v>
      </c>
      <c r="B1718" s="85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85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47</v>
      </c>
      <c r="R1718" s="90" t="s">
        <v>489</v>
      </c>
      <c r="S1718" s="85"/>
    </row>
    <row r="1719" spans="1:19" hidden="1">
      <c r="A1719" s="89" t="s">
        <v>3405</v>
      </c>
      <c r="B1719" s="85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85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47</v>
      </c>
      <c r="R1719" s="90" t="s">
        <v>489</v>
      </c>
      <c r="S1719" s="85"/>
    </row>
    <row r="1720" spans="1:19" hidden="1">
      <c r="A1720" s="89" t="s">
        <v>3405</v>
      </c>
      <c r="B1720" s="85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85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47</v>
      </c>
      <c r="R1720" s="90" t="s">
        <v>489</v>
      </c>
      <c r="S1720" s="85"/>
    </row>
    <row r="1721" spans="1:19" hidden="1">
      <c r="A1721" s="89" t="s">
        <v>3405</v>
      </c>
      <c r="B1721" s="85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85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47</v>
      </c>
      <c r="R1721" s="90" t="s">
        <v>489</v>
      </c>
      <c r="S1721" s="85"/>
    </row>
    <row r="1722" spans="1:19" hidden="1">
      <c r="A1722" s="89" t="s">
        <v>3405</v>
      </c>
      <c r="B1722" s="85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85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47</v>
      </c>
      <c r="R1722" s="90" t="s">
        <v>489</v>
      </c>
      <c r="S1722" s="85"/>
    </row>
    <row r="1723" spans="1:19" hidden="1">
      <c r="A1723" s="89" t="s">
        <v>3405</v>
      </c>
      <c r="B1723" s="85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85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47</v>
      </c>
      <c r="R1723" s="90" t="s">
        <v>489</v>
      </c>
      <c r="S1723" s="85"/>
    </row>
    <row r="1724" spans="1:19" hidden="1">
      <c r="A1724" s="89" t="s">
        <v>3405</v>
      </c>
      <c r="B1724" s="85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85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47</v>
      </c>
      <c r="R1724" s="90" t="s">
        <v>489</v>
      </c>
      <c r="S1724" s="85"/>
    </row>
    <row r="1725" spans="1:19" hidden="1">
      <c r="A1725" s="89" t="s">
        <v>3405</v>
      </c>
      <c r="B1725" s="85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85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47</v>
      </c>
      <c r="R1725" s="90" t="s">
        <v>489</v>
      </c>
      <c r="S1725" s="85"/>
    </row>
    <row r="1726" spans="1:19" hidden="1">
      <c r="A1726" s="89" t="s">
        <v>3405</v>
      </c>
      <c r="B1726" s="85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85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47</v>
      </c>
      <c r="R1726" s="90" t="s">
        <v>489</v>
      </c>
      <c r="S1726" s="85"/>
    </row>
    <row r="1727" spans="1:19" hidden="1">
      <c r="A1727" s="89" t="s">
        <v>3405</v>
      </c>
      <c r="B1727" s="85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85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47</v>
      </c>
      <c r="R1727" s="90" t="s">
        <v>489</v>
      </c>
      <c r="S1727" s="85"/>
    </row>
    <row r="1728" spans="1:19" hidden="1">
      <c r="A1728" s="89" t="s">
        <v>3405</v>
      </c>
      <c r="B1728" s="85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85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47</v>
      </c>
      <c r="R1728" s="90" t="s">
        <v>489</v>
      </c>
      <c r="S1728" s="85"/>
    </row>
    <row r="1729" spans="1:19" hidden="1">
      <c r="A1729" s="89" t="s">
        <v>3405</v>
      </c>
      <c r="B1729" s="85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85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47</v>
      </c>
      <c r="R1729" s="90" t="s">
        <v>489</v>
      </c>
      <c r="S1729" s="85"/>
    </row>
    <row r="1730" spans="1:19" hidden="1">
      <c r="A1730" s="89" t="s">
        <v>3405</v>
      </c>
      <c r="B1730" s="85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85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47</v>
      </c>
      <c r="R1730" s="90" t="s">
        <v>489</v>
      </c>
      <c r="S1730" s="85"/>
    </row>
    <row r="1731" spans="1:19" hidden="1">
      <c r="A1731" s="89" t="s">
        <v>3405</v>
      </c>
      <c r="B1731" s="85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85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47</v>
      </c>
      <c r="R1731" s="90" t="s">
        <v>489</v>
      </c>
      <c r="S1731" s="85"/>
    </row>
    <row r="1732" spans="1:19" hidden="1">
      <c r="A1732" s="89" t="s">
        <v>3405</v>
      </c>
      <c r="B1732" s="85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85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47</v>
      </c>
      <c r="R1732" s="90" t="s">
        <v>489</v>
      </c>
      <c r="S1732" s="85"/>
    </row>
    <row r="1733" spans="1:19" hidden="1">
      <c r="A1733" s="89" t="s">
        <v>3405</v>
      </c>
      <c r="B1733" s="85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85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47</v>
      </c>
      <c r="R1733" s="90" t="s">
        <v>489</v>
      </c>
      <c r="S1733" s="85"/>
    </row>
    <row r="1734" spans="1:19" hidden="1">
      <c r="A1734" s="89" t="s">
        <v>3405</v>
      </c>
      <c r="B1734" s="85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85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47</v>
      </c>
      <c r="R1734" s="90" t="s">
        <v>489</v>
      </c>
      <c r="S1734" s="85"/>
    </row>
    <row r="1735" spans="1:19" hidden="1">
      <c r="A1735" s="89" t="s">
        <v>3405</v>
      </c>
      <c r="B1735" s="85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85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47</v>
      </c>
      <c r="R1735" s="90" t="s">
        <v>489</v>
      </c>
      <c r="S1735" s="85"/>
    </row>
    <row r="1736" spans="1:19" hidden="1">
      <c r="A1736" s="89" t="s">
        <v>3405</v>
      </c>
      <c r="B1736" s="85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85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47</v>
      </c>
      <c r="R1736" s="90" t="s">
        <v>489</v>
      </c>
      <c r="S1736" s="85"/>
    </row>
    <row r="1737" spans="1:19" hidden="1">
      <c r="A1737" s="89" t="s">
        <v>3405</v>
      </c>
      <c r="B1737" s="85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85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47</v>
      </c>
      <c r="R1737" s="90" t="s">
        <v>489</v>
      </c>
      <c r="S1737" s="85"/>
    </row>
    <row r="1738" spans="1:19" hidden="1">
      <c r="A1738" s="89" t="s">
        <v>3405</v>
      </c>
      <c r="B1738" s="85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85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47</v>
      </c>
      <c r="R1738" s="90" t="s">
        <v>489</v>
      </c>
      <c r="S1738" s="85"/>
    </row>
    <row r="1739" spans="1:19" hidden="1">
      <c r="A1739" s="89" t="s">
        <v>3405</v>
      </c>
      <c r="B1739" s="85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85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47</v>
      </c>
      <c r="R1739" s="90" t="s">
        <v>489</v>
      </c>
      <c r="S1739" s="85"/>
    </row>
    <row r="1740" spans="1:19" hidden="1">
      <c r="A1740" s="89" t="s">
        <v>3405</v>
      </c>
      <c r="B1740" s="85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85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47</v>
      </c>
      <c r="R1740" s="90" t="s">
        <v>489</v>
      </c>
      <c r="S1740" s="85"/>
    </row>
    <row r="1741" spans="1:19" hidden="1">
      <c r="A1741" s="89" t="s">
        <v>3405</v>
      </c>
      <c r="B1741" s="85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85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47</v>
      </c>
      <c r="R1741" s="90" t="s">
        <v>489</v>
      </c>
      <c r="S1741" s="85"/>
    </row>
    <row r="1742" spans="1:19" hidden="1">
      <c r="A1742" s="89" t="s">
        <v>3405</v>
      </c>
      <c r="B1742" s="85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85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47</v>
      </c>
      <c r="R1742" s="90" t="s">
        <v>489</v>
      </c>
      <c r="S1742" s="85"/>
    </row>
    <row r="1743" spans="1:19" hidden="1">
      <c r="A1743" s="89" t="s">
        <v>3405</v>
      </c>
      <c r="B1743" s="85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85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47</v>
      </c>
      <c r="R1743" s="90" t="s">
        <v>489</v>
      </c>
      <c r="S1743" s="85"/>
    </row>
    <row r="1744" spans="1:19" hidden="1">
      <c r="A1744" s="89" t="s">
        <v>3405</v>
      </c>
      <c r="B1744" s="85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85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47</v>
      </c>
      <c r="R1744" s="90" t="s">
        <v>489</v>
      </c>
      <c r="S1744" s="85"/>
    </row>
    <row r="1745" spans="1:19" hidden="1">
      <c r="A1745" s="89" t="s">
        <v>3405</v>
      </c>
      <c r="B1745" s="85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85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47</v>
      </c>
      <c r="R1745" s="90" t="s">
        <v>489</v>
      </c>
      <c r="S1745" s="85"/>
    </row>
    <row r="1746" spans="1:19" hidden="1">
      <c r="A1746" s="89" t="s">
        <v>3405</v>
      </c>
      <c r="B1746" s="85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85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47</v>
      </c>
      <c r="R1746" s="90" t="s">
        <v>489</v>
      </c>
      <c r="S1746" s="85"/>
    </row>
    <row r="1747" spans="1:19" hidden="1">
      <c r="A1747" s="89" t="s">
        <v>3405</v>
      </c>
      <c r="B1747" s="85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85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47</v>
      </c>
      <c r="R1747" s="90" t="s">
        <v>489</v>
      </c>
      <c r="S1747" s="85"/>
    </row>
    <row r="1748" spans="1:19" hidden="1">
      <c r="A1748" s="89" t="s">
        <v>3405</v>
      </c>
      <c r="B1748" s="85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85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47</v>
      </c>
      <c r="R1748" s="90" t="s">
        <v>489</v>
      </c>
      <c r="S1748" s="85"/>
    </row>
    <row r="1749" spans="1:19" hidden="1">
      <c r="A1749" s="89" t="s">
        <v>3405</v>
      </c>
      <c r="B1749" s="85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85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47</v>
      </c>
      <c r="R1749" s="90" t="s">
        <v>489</v>
      </c>
      <c r="S1749" s="85"/>
    </row>
    <row r="1750" spans="1:19" hidden="1">
      <c r="A1750" s="89" t="s">
        <v>3405</v>
      </c>
      <c r="B1750" s="85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85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47</v>
      </c>
      <c r="R1750" s="90" t="s">
        <v>489</v>
      </c>
      <c r="S1750" s="85"/>
    </row>
    <row r="1751" spans="1:19" hidden="1">
      <c r="A1751" s="89" t="s">
        <v>3405</v>
      </c>
      <c r="B1751" s="85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85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47</v>
      </c>
      <c r="R1751" s="90" t="s">
        <v>489</v>
      </c>
      <c r="S1751" s="85"/>
    </row>
    <row r="1752" spans="1:19" hidden="1">
      <c r="A1752" s="89" t="s">
        <v>3405</v>
      </c>
      <c r="B1752" s="85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85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47</v>
      </c>
      <c r="R1752" s="90" t="s">
        <v>489</v>
      </c>
      <c r="S1752" s="85"/>
    </row>
    <row r="1753" spans="1:19" hidden="1">
      <c r="A1753" s="89" t="s">
        <v>3405</v>
      </c>
      <c r="B1753" s="85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85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47</v>
      </c>
      <c r="R1753" s="90" t="s">
        <v>489</v>
      </c>
      <c r="S1753" s="85"/>
    </row>
    <row r="1754" spans="1:19" hidden="1">
      <c r="A1754" s="89" t="s">
        <v>3405</v>
      </c>
      <c r="B1754" s="85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85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47</v>
      </c>
      <c r="R1754" s="90" t="s">
        <v>489</v>
      </c>
      <c r="S1754" s="85"/>
    </row>
    <row r="1755" spans="1:19" hidden="1">
      <c r="A1755" s="89" t="s">
        <v>3405</v>
      </c>
      <c r="B1755" s="85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85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47</v>
      </c>
      <c r="R1755" s="90" t="s">
        <v>489</v>
      </c>
      <c r="S1755" s="85"/>
    </row>
    <row r="1756" spans="1:19" hidden="1">
      <c r="A1756" t="s">
        <v>3548</v>
      </c>
      <c r="B1756" s="85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85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85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85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85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85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85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85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47</v>
      </c>
      <c r="R1759" s="90" t="s">
        <v>489</v>
      </c>
      <c r="S1759" s="85"/>
    </row>
    <row r="1760" spans="1:19" hidden="1">
      <c r="A1760" s="89" t="s">
        <v>3548</v>
      </c>
      <c r="B1760" s="85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85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47</v>
      </c>
      <c r="R1760" s="90" t="s">
        <v>489</v>
      </c>
      <c r="S1760" s="85"/>
    </row>
    <row r="1761" spans="1:19" hidden="1">
      <c r="A1761" s="89" t="s">
        <v>3548</v>
      </c>
      <c r="B1761" s="85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85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47</v>
      </c>
      <c r="R1761" s="90" t="s">
        <v>489</v>
      </c>
      <c r="S1761" s="85"/>
    </row>
    <row r="1762" spans="1:19" hidden="1">
      <c r="A1762" s="89" t="s">
        <v>3548</v>
      </c>
      <c r="B1762" s="85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85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47</v>
      </c>
      <c r="R1762" s="90" t="s">
        <v>489</v>
      </c>
      <c r="S1762" s="85"/>
    </row>
    <row r="1763" spans="1:19" hidden="1">
      <c r="A1763" t="s">
        <v>3560</v>
      </c>
      <c r="B1763" s="85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85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85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85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85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85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85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85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85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85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85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85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85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85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85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85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85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85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85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85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85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85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85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85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85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85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85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85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85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85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85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85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85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85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85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85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85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85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85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85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85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85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85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85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85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85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85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85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85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85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85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85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85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85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85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85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85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85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85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85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85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85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85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85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85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85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85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85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85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85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85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85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85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85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85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85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85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85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85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85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85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85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85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85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85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85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85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85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85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85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85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85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85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85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85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85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85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85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85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85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94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9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94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9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94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9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94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9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94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9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94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9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94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9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94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9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94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9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94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9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94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9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94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9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94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9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94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9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94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9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94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9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94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9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94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9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94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9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94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9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94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9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94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9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94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9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94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9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94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9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94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9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94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9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94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9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94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9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94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9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94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9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94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9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94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9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94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9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94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9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94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9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94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9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94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9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94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9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94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9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94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9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94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9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94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9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94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9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94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9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94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9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94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9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94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9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94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9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94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9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94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9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94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9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94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9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94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9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94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9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94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9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94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9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94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9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94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9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94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9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94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9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94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9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94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9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94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9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94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9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94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9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94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9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94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9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94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9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94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9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94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9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94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9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94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9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94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9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94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9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94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9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94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9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94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9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94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9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94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9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94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9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94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9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94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9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94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9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94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9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94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9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94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9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94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9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94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9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94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9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94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9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94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9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94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9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94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9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94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9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94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9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94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9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94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9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94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9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94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9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94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9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94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9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94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9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94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9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94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9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94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9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94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9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94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9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94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9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94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9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94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9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94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9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94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9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94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9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94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9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94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9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94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9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94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9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94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9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94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9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94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9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94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9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94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9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94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9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94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9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94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9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94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9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94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9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94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9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94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9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94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9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94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9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94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9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94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9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94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9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94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9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94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9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94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9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94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9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94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9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94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9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94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9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94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9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94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9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94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9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94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9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94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9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94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9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94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9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94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9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94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9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94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9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94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9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94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9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94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9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94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9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94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9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94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9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94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9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94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9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94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9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94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9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94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9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94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9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94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9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94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9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94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9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94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9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94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9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94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9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94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9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94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9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94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9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94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9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94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9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94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9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94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9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94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9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94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9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94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9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94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9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94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9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94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9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94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9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94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9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94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9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94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9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94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9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94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9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94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9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94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9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94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9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94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9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94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9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94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9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94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9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94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9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94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9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94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9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94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9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94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9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94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9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94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9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94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9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94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9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94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9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94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9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94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9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94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9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94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9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94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9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94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9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94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9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94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9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94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9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94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9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94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9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94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9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94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9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94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9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94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9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94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9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94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9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94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9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94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9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94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9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94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9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94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9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94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9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94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9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94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9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94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9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94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9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94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9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94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9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94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9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94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9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94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9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94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9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94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9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94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9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94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9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94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9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94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9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94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9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94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9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94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9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94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9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94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9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94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9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94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9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94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9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94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9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94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9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94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9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94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9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94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9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94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9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94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9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94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9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94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9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94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9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94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9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94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9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94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9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94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9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94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9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94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9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94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9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94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9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94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9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94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9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94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9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94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9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94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9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94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9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94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9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94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9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94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9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94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9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94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9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94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9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94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9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94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9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94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9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94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9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94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9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94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9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94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9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94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9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94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9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94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9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94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9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94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9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94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9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94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9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94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9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94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9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94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9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94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9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94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9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94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9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94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9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94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9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94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9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94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9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94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9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94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9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94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9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94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9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94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9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94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9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94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9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94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9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94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9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94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9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94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9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94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9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94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9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94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9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94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9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94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9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94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9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94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9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94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9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94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9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94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9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94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9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94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9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94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9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94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9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94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9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94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9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94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9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94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9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94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9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94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9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94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9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94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9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94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9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94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9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94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9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94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9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94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9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94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9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94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9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94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9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94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9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94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9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94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9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94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9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94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9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94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9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94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9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94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9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94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9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94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9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94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9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94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9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94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9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94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9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94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9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94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9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94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9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94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9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94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9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94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9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94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9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94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9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94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9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94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9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94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9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94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9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94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9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94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9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94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9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94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9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94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9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94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9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94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9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94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9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94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9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94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9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94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9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94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9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94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9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94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9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94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9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94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9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94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9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94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9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94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9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94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9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94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9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94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9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94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9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94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9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94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9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94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9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94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9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94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9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94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9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94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9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94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9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94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9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94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9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94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9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94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9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94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9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94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9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94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9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94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9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94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9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94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9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94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9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94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9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94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9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94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9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94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9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94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9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94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9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94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9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94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9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94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9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94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9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94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9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94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9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94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9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94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9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94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9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94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9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94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9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94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9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41</v>
      </c>
      <c r="R2245" s="95" t="s">
        <v>764</v>
      </c>
      <c r="S2245" s="94"/>
    </row>
    <row r="2246" spans="1:19" hidden="1">
      <c r="A2246" t="s">
        <v>4098</v>
      </c>
      <c r="B2246" s="94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9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41</v>
      </c>
      <c r="R2246" s="95" t="s">
        <v>515</v>
      </c>
      <c r="S2246" s="94"/>
    </row>
    <row r="2247" spans="1:19" hidden="1">
      <c r="A2247" t="s">
        <v>4099</v>
      </c>
      <c r="B2247" s="94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9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94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9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94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9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94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9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94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9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94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9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94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9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94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9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94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9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94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9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94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9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94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9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94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9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36</v>
      </c>
      <c r="R2259" s="98" t="s">
        <v>515</v>
      </c>
      <c r="S2259" s="94"/>
    </row>
    <row r="2260" spans="1:19" hidden="1">
      <c r="A2260" s="101" t="s">
        <v>4120</v>
      </c>
      <c r="B2260" s="94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9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36</v>
      </c>
      <c r="R2260" s="98" t="s">
        <v>515</v>
      </c>
      <c r="S2260" s="94"/>
    </row>
    <row r="2261" spans="1:19" hidden="1">
      <c r="A2261" t="s">
        <v>4124</v>
      </c>
      <c r="B2261" s="94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9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94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9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94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9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94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9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94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9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94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9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94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9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94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9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94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9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94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9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94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9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94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9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94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9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94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9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94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9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94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9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94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9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94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9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94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9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94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9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94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9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94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9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94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9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94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9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94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9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94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9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94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9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94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9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94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9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94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9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94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9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94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9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94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9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94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9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94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9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94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9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94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9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94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9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94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9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94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9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94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9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94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9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31</v>
      </c>
      <c r="R2302" s="104" t="s">
        <v>410</v>
      </c>
      <c r="S2302" s="94"/>
    </row>
    <row r="2303" spans="1:19" hidden="1">
      <c r="A2303" s="103" t="s">
        <v>4140</v>
      </c>
      <c r="B2303" s="94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9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31</v>
      </c>
      <c r="R2303" s="104" t="s">
        <v>410</v>
      </c>
      <c r="S2303" s="94"/>
    </row>
    <row r="2304" spans="1:19" hidden="1">
      <c r="A2304" t="s">
        <v>4181</v>
      </c>
      <c r="B2304" s="94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9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31</v>
      </c>
      <c r="R2304" s="106" t="s">
        <v>955</v>
      </c>
      <c r="S2304" s="94"/>
    </row>
    <row r="2305" spans="1:19" hidden="1">
      <c r="A2305" t="s">
        <v>4188</v>
      </c>
      <c r="B2305" s="94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9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31</v>
      </c>
      <c r="R2305" s="106" t="s">
        <v>972</v>
      </c>
      <c r="S2305" s="94"/>
    </row>
    <row r="2306" spans="1:19" hidden="1">
      <c r="A2306" s="103" t="s">
        <v>4188</v>
      </c>
      <c r="B2306" s="94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9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31</v>
      </c>
      <c r="R2306" s="106" t="s">
        <v>972</v>
      </c>
      <c r="S2306" s="94"/>
    </row>
    <row r="2307" spans="1:19" hidden="1">
      <c r="A2307" s="103" t="s">
        <v>4188</v>
      </c>
      <c r="B2307" s="94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9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31</v>
      </c>
      <c r="R2307" s="106" t="s">
        <v>972</v>
      </c>
      <c r="S2307" s="94"/>
    </row>
    <row r="2308" spans="1:19" hidden="1">
      <c r="A2308" s="103" t="s">
        <v>4188</v>
      </c>
      <c r="B2308" s="94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9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31</v>
      </c>
      <c r="R2308" s="106" t="s">
        <v>972</v>
      </c>
      <c r="S2308" s="94"/>
    </row>
    <row r="2309" spans="1:19" hidden="1">
      <c r="A2309" s="103" t="s">
        <v>4188</v>
      </c>
      <c r="B2309" s="94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9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31</v>
      </c>
      <c r="R2309" s="106" t="s">
        <v>972</v>
      </c>
      <c r="S2309" s="94"/>
    </row>
    <row r="2310" spans="1:19" hidden="1">
      <c r="A2310" t="s">
        <v>4189</v>
      </c>
      <c r="B2310" s="94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9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31</v>
      </c>
      <c r="R2310" s="106" t="s">
        <v>780</v>
      </c>
      <c r="S2310" s="94"/>
    </row>
    <row r="2311" spans="1:19" hidden="1">
      <c r="A2311" s="103" t="s">
        <v>4189</v>
      </c>
      <c r="B2311" s="94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9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31</v>
      </c>
      <c r="R2311" s="106" t="s">
        <v>780</v>
      </c>
      <c r="S2311" s="94"/>
    </row>
    <row r="2312" spans="1:19" hidden="1">
      <c r="A2312" s="103" t="s">
        <v>4189</v>
      </c>
      <c r="B2312" s="94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9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31</v>
      </c>
      <c r="R2312" s="106" t="s">
        <v>780</v>
      </c>
      <c r="S2312" s="94"/>
    </row>
    <row r="2313" spans="1:19" hidden="1">
      <c r="A2313" s="103" t="s">
        <v>4189</v>
      </c>
      <c r="B2313" s="94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9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31</v>
      </c>
      <c r="R2313" s="106" t="s">
        <v>780</v>
      </c>
      <c r="S2313" s="94"/>
    </row>
    <row r="2314" spans="1:19" hidden="1">
      <c r="A2314" s="103" t="s">
        <v>4189</v>
      </c>
      <c r="B2314" s="94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9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31</v>
      </c>
      <c r="R2314" s="106" t="s">
        <v>780</v>
      </c>
      <c r="S2314" s="94"/>
    </row>
    <row r="2315" spans="1:19" hidden="1">
      <c r="A2315" s="103" t="s">
        <v>4189</v>
      </c>
      <c r="B2315" s="94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9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31</v>
      </c>
      <c r="R2315" s="106" t="s">
        <v>780</v>
      </c>
      <c r="S2315" s="94"/>
    </row>
    <row r="2316" spans="1:19" hidden="1">
      <c r="A2316" s="103" t="s">
        <v>4189</v>
      </c>
      <c r="B2316" s="94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9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31</v>
      </c>
      <c r="R2316" s="106" t="s">
        <v>780</v>
      </c>
      <c r="S2316" s="94"/>
    </row>
    <row r="2317" spans="1:19" hidden="1">
      <c r="A2317" s="103" t="s">
        <v>4189</v>
      </c>
      <c r="B2317" s="94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9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31</v>
      </c>
      <c r="R2317" s="106" t="s">
        <v>780</v>
      </c>
      <c r="S2317" s="94"/>
    </row>
    <row r="2318" spans="1:19" hidden="1">
      <c r="A2318" s="103" t="s">
        <v>4189</v>
      </c>
      <c r="B2318" s="94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9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31</v>
      </c>
      <c r="R2318" s="106" t="s">
        <v>780</v>
      </c>
      <c r="S2318" s="94"/>
    </row>
    <row r="2319" spans="1:19" hidden="1">
      <c r="A2319" s="103" t="s">
        <v>4189</v>
      </c>
      <c r="B2319" s="94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9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31</v>
      </c>
      <c r="R2319" s="106" t="s">
        <v>780</v>
      </c>
      <c r="S2319" s="94"/>
    </row>
    <row r="2320" spans="1:19" hidden="1">
      <c r="A2320" s="103" t="s">
        <v>4189</v>
      </c>
      <c r="B2320" s="94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9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31</v>
      </c>
      <c r="R2320" s="106" t="s">
        <v>780</v>
      </c>
      <c r="S2320" s="94"/>
    </row>
    <row r="2321" spans="1:19" hidden="1">
      <c r="A2321" s="103" t="s">
        <v>4189</v>
      </c>
      <c r="B2321" s="94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9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31</v>
      </c>
      <c r="R2321" s="106" t="s">
        <v>780</v>
      </c>
      <c r="S2321" s="94"/>
    </row>
    <row r="2322" spans="1:19" hidden="1">
      <c r="A2322" s="103" t="s">
        <v>4189</v>
      </c>
      <c r="B2322" s="94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9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31</v>
      </c>
      <c r="R2322" s="106" t="s">
        <v>780</v>
      </c>
      <c r="S2322" s="94"/>
    </row>
    <row r="2323" spans="1:19" hidden="1">
      <c r="A2323" s="103" t="s">
        <v>4189</v>
      </c>
      <c r="B2323" s="94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9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31</v>
      </c>
      <c r="R2323" s="106" t="s">
        <v>780</v>
      </c>
      <c r="S2323" s="94"/>
    </row>
    <row r="2324" spans="1:19" hidden="1">
      <c r="A2324" s="103" t="s">
        <v>4189</v>
      </c>
      <c r="B2324" s="94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9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31</v>
      </c>
      <c r="R2324" s="106" t="s">
        <v>780</v>
      </c>
      <c r="S2324" s="94"/>
    </row>
    <row r="2325" spans="1:19" hidden="1">
      <c r="A2325" s="103" t="s">
        <v>4189</v>
      </c>
      <c r="B2325" s="94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9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31</v>
      </c>
      <c r="R2325" s="106" t="s">
        <v>780</v>
      </c>
      <c r="S2325" s="94"/>
    </row>
    <row r="2326" spans="1:19" hidden="1">
      <c r="A2326" s="103" t="s">
        <v>4189</v>
      </c>
      <c r="B2326" s="94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9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31</v>
      </c>
      <c r="R2326" s="106" t="s">
        <v>780</v>
      </c>
      <c r="S2326" s="94"/>
    </row>
    <row r="2327" spans="1:19" hidden="1">
      <c r="A2327" s="103" t="s">
        <v>4189</v>
      </c>
      <c r="B2327" s="94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9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31</v>
      </c>
      <c r="R2327" s="106" t="s">
        <v>780</v>
      </c>
      <c r="S2327" s="94"/>
    </row>
    <row r="2328" spans="1:19" hidden="1">
      <c r="A2328" s="103" t="s">
        <v>4189</v>
      </c>
      <c r="B2328" s="94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9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31</v>
      </c>
      <c r="R2328" s="106" t="s">
        <v>780</v>
      </c>
      <c r="S2328" s="94"/>
    </row>
    <row r="2329" spans="1:19" hidden="1">
      <c r="A2329" s="103" t="s">
        <v>4189</v>
      </c>
      <c r="B2329" s="94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9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31</v>
      </c>
      <c r="R2329" s="106" t="s">
        <v>780</v>
      </c>
      <c r="S2329" s="94"/>
    </row>
    <row r="2330" spans="1:19" hidden="1">
      <c r="A2330" s="103" t="s">
        <v>4189</v>
      </c>
      <c r="B2330" s="94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9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31</v>
      </c>
      <c r="R2330" s="106" t="s">
        <v>780</v>
      </c>
      <c r="S2330" s="94"/>
    </row>
    <row r="2331" spans="1:19" hidden="1">
      <c r="A2331" s="103" t="s">
        <v>4189</v>
      </c>
      <c r="B2331" s="94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9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31</v>
      </c>
      <c r="R2331" s="106" t="s">
        <v>780</v>
      </c>
      <c r="S2331" s="94"/>
    </row>
    <row r="2332" spans="1:19" hidden="1">
      <c r="A2332" s="103" t="s">
        <v>4189</v>
      </c>
      <c r="B2332" s="94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9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31</v>
      </c>
      <c r="R2332" s="106" t="s">
        <v>780</v>
      </c>
      <c r="S2332" s="94"/>
    </row>
    <row r="2333" spans="1:19" hidden="1">
      <c r="A2333" s="103" t="s">
        <v>4189</v>
      </c>
      <c r="B2333" s="94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9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31</v>
      </c>
      <c r="R2333" s="106" t="s">
        <v>780</v>
      </c>
      <c r="S2333" s="94"/>
    </row>
    <row r="2334" spans="1:19" hidden="1">
      <c r="A2334" s="103" t="s">
        <v>4189</v>
      </c>
      <c r="B2334" s="94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9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31</v>
      </c>
      <c r="R2334" s="106" t="s">
        <v>780</v>
      </c>
      <c r="S2334" s="94"/>
    </row>
    <row r="2335" spans="1:19" hidden="1">
      <c r="A2335" s="103" t="s">
        <v>4189</v>
      </c>
      <c r="B2335" s="94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9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31</v>
      </c>
      <c r="R2335" s="106" t="s">
        <v>780</v>
      </c>
      <c r="S2335" s="94"/>
    </row>
    <row r="2336" spans="1:19" hidden="1">
      <c r="A2336" s="103" t="s">
        <v>4189</v>
      </c>
      <c r="B2336" s="94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9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31</v>
      </c>
      <c r="R2336" s="106" t="s">
        <v>780</v>
      </c>
      <c r="S2336" s="94"/>
    </row>
    <row r="2337" spans="1:19" hidden="1">
      <c r="A2337" s="103" t="s">
        <v>4189</v>
      </c>
      <c r="B2337" s="94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9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31</v>
      </c>
      <c r="R2337" s="106" t="s">
        <v>780</v>
      </c>
      <c r="S2337" s="94"/>
    </row>
    <row r="2338" spans="1:19" hidden="1">
      <c r="A2338" s="103" t="s">
        <v>4189</v>
      </c>
      <c r="B2338" s="94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9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31</v>
      </c>
      <c r="R2338" s="106" t="s">
        <v>780</v>
      </c>
      <c r="S2338" s="94"/>
    </row>
    <row r="2339" spans="1:19" hidden="1">
      <c r="A2339" s="103" t="s">
        <v>4189</v>
      </c>
      <c r="B2339" s="94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9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31</v>
      </c>
      <c r="R2339" s="106" t="s">
        <v>780</v>
      </c>
      <c r="S2339" s="94"/>
    </row>
    <row r="2340" spans="1:19" hidden="1">
      <c r="A2340" s="103" t="s">
        <v>4189</v>
      </c>
      <c r="B2340" s="94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9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31</v>
      </c>
      <c r="R2340" s="106" t="s">
        <v>780</v>
      </c>
      <c r="S2340" s="94"/>
    </row>
    <row r="2341" spans="1:19" hidden="1">
      <c r="A2341" s="103" t="s">
        <v>4189</v>
      </c>
      <c r="B2341" s="94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9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31</v>
      </c>
      <c r="R2341" s="106" t="s">
        <v>780</v>
      </c>
      <c r="S2341" s="94"/>
    </row>
    <row r="2342" spans="1:19" hidden="1">
      <c r="A2342" s="103" t="s">
        <v>4189</v>
      </c>
      <c r="B2342" s="94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9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31</v>
      </c>
      <c r="R2342" s="106" t="s">
        <v>780</v>
      </c>
      <c r="S2342" s="94"/>
    </row>
    <row r="2343" spans="1:19" hidden="1">
      <c r="A2343" s="103" t="s">
        <v>4189</v>
      </c>
      <c r="B2343" s="94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9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31</v>
      </c>
      <c r="R2343" s="106" t="s">
        <v>780</v>
      </c>
      <c r="S2343" s="94"/>
    </row>
    <row r="2344" spans="1:19" hidden="1">
      <c r="A2344" s="103" t="s">
        <v>4189</v>
      </c>
      <c r="B2344" s="94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9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31</v>
      </c>
      <c r="R2344" s="106" t="s">
        <v>780</v>
      </c>
      <c r="S2344" s="94"/>
    </row>
    <row r="2345" spans="1:19" hidden="1">
      <c r="A2345" s="103" t="s">
        <v>4189</v>
      </c>
      <c r="B2345" s="94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9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31</v>
      </c>
      <c r="R2345" s="106" t="s">
        <v>780</v>
      </c>
      <c r="S2345" s="94"/>
    </row>
    <row r="2346" spans="1:19" hidden="1">
      <c r="A2346" s="103" t="s">
        <v>4189</v>
      </c>
      <c r="B2346" s="94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9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31</v>
      </c>
      <c r="R2346" s="106" t="s">
        <v>780</v>
      </c>
      <c r="S2346" s="94"/>
    </row>
    <row r="2347" spans="1:19" hidden="1">
      <c r="A2347" s="103" t="s">
        <v>4189</v>
      </c>
      <c r="B2347" s="94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9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31</v>
      </c>
      <c r="R2347" s="106" t="s">
        <v>780</v>
      </c>
      <c r="S2347" s="94"/>
    </row>
    <row r="2348" spans="1:19" hidden="1">
      <c r="A2348" s="103" t="s">
        <v>4189</v>
      </c>
      <c r="B2348" s="94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9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31</v>
      </c>
      <c r="R2348" s="106" t="s">
        <v>780</v>
      </c>
      <c r="S2348" s="94"/>
    </row>
    <row r="2349" spans="1:19" hidden="1">
      <c r="A2349" s="103" t="s">
        <v>4189</v>
      </c>
      <c r="B2349" s="94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9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31</v>
      </c>
      <c r="R2349" s="106" t="s">
        <v>780</v>
      </c>
      <c r="S2349" s="94"/>
    </row>
    <row r="2350" spans="1:19" hidden="1">
      <c r="A2350" s="103" t="s">
        <v>4189</v>
      </c>
      <c r="B2350" s="94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9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31</v>
      </c>
      <c r="R2350" s="106" t="s">
        <v>780</v>
      </c>
      <c r="S2350" s="94"/>
    </row>
    <row r="2351" spans="1:19" hidden="1">
      <c r="A2351" s="103" t="s">
        <v>4189</v>
      </c>
      <c r="B2351" s="94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9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31</v>
      </c>
      <c r="R2351" s="106" t="s">
        <v>780</v>
      </c>
      <c r="S2351" s="94"/>
    </row>
    <row r="2352" spans="1:19" hidden="1">
      <c r="A2352" s="103" t="s">
        <v>4189</v>
      </c>
      <c r="B2352" s="94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9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31</v>
      </c>
      <c r="R2352" s="106" t="s">
        <v>780</v>
      </c>
      <c r="S2352" s="94"/>
    </row>
    <row r="2353" spans="1:19" hidden="1">
      <c r="A2353" s="103" t="s">
        <v>4189</v>
      </c>
      <c r="B2353" s="94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9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31</v>
      </c>
      <c r="R2353" s="106" t="s">
        <v>780</v>
      </c>
      <c r="S2353" s="94"/>
    </row>
    <row r="2354" spans="1:19" hidden="1">
      <c r="A2354" s="103" t="s">
        <v>4189</v>
      </c>
      <c r="B2354" s="94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9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31</v>
      </c>
      <c r="R2354" s="106" t="s">
        <v>780</v>
      </c>
      <c r="S2354" s="94"/>
    </row>
    <row r="2355" spans="1:19" hidden="1">
      <c r="A2355" s="103" t="s">
        <v>4189</v>
      </c>
      <c r="B2355" s="94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9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31</v>
      </c>
      <c r="R2355" s="106" t="s">
        <v>780</v>
      </c>
      <c r="S2355" s="94"/>
    </row>
    <row r="2356" spans="1:19" hidden="1">
      <c r="A2356" s="103" t="s">
        <v>4189</v>
      </c>
      <c r="B2356" s="94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9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31</v>
      </c>
      <c r="R2356" s="106" t="s">
        <v>780</v>
      </c>
      <c r="S2356" s="94"/>
    </row>
    <row r="2357" spans="1:19" hidden="1">
      <c r="A2357" s="103" t="s">
        <v>4189</v>
      </c>
      <c r="B2357" s="94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9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31</v>
      </c>
      <c r="R2357" s="106" t="s">
        <v>780</v>
      </c>
      <c r="S2357" s="94"/>
    </row>
    <row r="2358" spans="1:19" hidden="1">
      <c r="A2358" s="103" t="s">
        <v>4189</v>
      </c>
      <c r="B2358" s="94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9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31</v>
      </c>
      <c r="R2358" s="106" t="s">
        <v>780</v>
      </c>
      <c r="S2358" s="94"/>
    </row>
    <row r="2359" spans="1:19" hidden="1">
      <c r="A2359" s="103" t="s">
        <v>4189</v>
      </c>
      <c r="B2359" s="94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9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31</v>
      </c>
      <c r="R2359" s="106" t="s">
        <v>780</v>
      </c>
      <c r="S2359" s="94"/>
    </row>
    <row r="2360" spans="1:19" hidden="1">
      <c r="A2360" s="103" t="s">
        <v>4189</v>
      </c>
      <c r="B2360" s="94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9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31</v>
      </c>
      <c r="R2360" s="106" t="s">
        <v>780</v>
      </c>
      <c r="S2360" s="94"/>
    </row>
    <row r="2361" spans="1:19" hidden="1">
      <c r="A2361" s="103" t="s">
        <v>4189</v>
      </c>
      <c r="B2361" s="94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9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31</v>
      </c>
      <c r="R2361" s="106" t="s">
        <v>780</v>
      </c>
      <c r="S2361" s="94"/>
    </row>
    <row r="2362" spans="1:19" hidden="1">
      <c r="A2362" s="103" t="s">
        <v>4189</v>
      </c>
      <c r="B2362" s="94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9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31</v>
      </c>
      <c r="R2362" s="106" t="s">
        <v>780</v>
      </c>
      <c r="S2362" s="94"/>
    </row>
    <row r="2363" spans="1:19" hidden="1">
      <c r="A2363" s="103" t="s">
        <v>4189</v>
      </c>
      <c r="B2363" s="94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9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31</v>
      </c>
      <c r="R2363" s="106" t="s">
        <v>780</v>
      </c>
      <c r="S2363" s="94"/>
    </row>
    <row r="2364" spans="1:19" hidden="1">
      <c r="A2364" s="103" t="s">
        <v>4189</v>
      </c>
      <c r="B2364" s="94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9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31</v>
      </c>
      <c r="R2364" s="106" t="s">
        <v>780</v>
      </c>
      <c r="S2364" s="94"/>
    </row>
    <row r="2365" spans="1:19" hidden="1">
      <c r="A2365" s="103" t="s">
        <v>4189</v>
      </c>
      <c r="B2365" s="94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9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31</v>
      </c>
      <c r="R2365" s="106" t="s">
        <v>780</v>
      </c>
      <c r="S2365" s="94"/>
    </row>
    <row r="2366" spans="1:19" hidden="1">
      <c r="A2366" s="103" t="s">
        <v>4189</v>
      </c>
      <c r="B2366" s="94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9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31</v>
      </c>
      <c r="R2366" s="106" t="s">
        <v>780</v>
      </c>
      <c r="S2366" s="94"/>
    </row>
    <row r="2367" spans="1:19" hidden="1">
      <c r="A2367" s="103" t="s">
        <v>4189</v>
      </c>
      <c r="B2367" s="94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9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31</v>
      </c>
      <c r="R2367" s="106" t="s">
        <v>780</v>
      </c>
      <c r="S2367" s="94"/>
    </row>
    <row r="2368" spans="1:19" hidden="1">
      <c r="A2368" s="103" t="s">
        <v>4189</v>
      </c>
      <c r="B2368" s="94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9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31</v>
      </c>
      <c r="R2368" s="106" t="s">
        <v>780</v>
      </c>
      <c r="S2368" s="94"/>
    </row>
    <row r="2369" spans="1:19" hidden="1">
      <c r="A2369" s="103" t="s">
        <v>4189</v>
      </c>
      <c r="B2369" s="94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9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31</v>
      </c>
      <c r="R2369" s="106" t="s">
        <v>780</v>
      </c>
      <c r="S2369" s="94"/>
    </row>
    <row r="2370" spans="1:19" hidden="1">
      <c r="A2370" s="103" t="s">
        <v>4189</v>
      </c>
      <c r="B2370" s="94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9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31</v>
      </c>
      <c r="R2370" s="106" t="s">
        <v>780</v>
      </c>
      <c r="S2370" s="94"/>
    </row>
    <row r="2371" spans="1:19" hidden="1">
      <c r="A2371" s="103" t="s">
        <v>4189</v>
      </c>
      <c r="B2371" s="94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9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31</v>
      </c>
      <c r="R2371" s="106" t="s">
        <v>780</v>
      </c>
      <c r="S2371" s="94"/>
    </row>
    <row r="2372" spans="1:19" hidden="1">
      <c r="A2372" s="103" t="s">
        <v>4189</v>
      </c>
      <c r="B2372" s="94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9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31</v>
      </c>
      <c r="R2372" s="106" t="s">
        <v>780</v>
      </c>
      <c r="S2372" s="94"/>
    </row>
    <row r="2373" spans="1:19" hidden="1">
      <c r="A2373" s="103" t="s">
        <v>4189</v>
      </c>
      <c r="B2373" s="94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9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31</v>
      </c>
      <c r="R2373" s="106" t="s">
        <v>780</v>
      </c>
      <c r="S2373" s="94"/>
    </row>
    <row r="2374" spans="1:19" hidden="1">
      <c r="A2374" s="103" t="s">
        <v>4189</v>
      </c>
      <c r="B2374" s="94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9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31</v>
      </c>
      <c r="R2374" s="106" t="s">
        <v>780</v>
      </c>
      <c r="S2374" s="94"/>
    </row>
    <row r="2375" spans="1:19" hidden="1">
      <c r="A2375" s="103" t="s">
        <v>4189</v>
      </c>
      <c r="B2375" s="94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9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31</v>
      </c>
      <c r="R2375" s="106" t="s">
        <v>780</v>
      </c>
      <c r="S2375" s="94"/>
    </row>
    <row r="2376" spans="1:19" hidden="1">
      <c r="A2376" s="103" t="s">
        <v>4189</v>
      </c>
      <c r="B2376" s="94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9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31</v>
      </c>
      <c r="R2376" s="106" t="s">
        <v>780</v>
      </c>
      <c r="S2376" s="94"/>
    </row>
    <row r="2377" spans="1:19" hidden="1">
      <c r="A2377" s="103" t="s">
        <v>4189</v>
      </c>
      <c r="B2377" s="94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9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31</v>
      </c>
      <c r="R2377" s="106" t="s">
        <v>780</v>
      </c>
      <c r="S2377" s="94"/>
    </row>
    <row r="2378" spans="1:19" hidden="1">
      <c r="A2378" s="103" t="s">
        <v>4189</v>
      </c>
      <c r="B2378" s="94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9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31</v>
      </c>
      <c r="R2378" s="106" t="s">
        <v>780</v>
      </c>
      <c r="S2378" s="94"/>
    </row>
    <row r="2379" spans="1:19" hidden="1">
      <c r="A2379" s="103" t="s">
        <v>4189</v>
      </c>
      <c r="B2379" s="94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9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31</v>
      </c>
      <c r="R2379" s="106" t="s">
        <v>780</v>
      </c>
      <c r="S2379" s="94"/>
    </row>
    <row r="2380" spans="1:19" hidden="1">
      <c r="A2380" s="103" t="s">
        <v>4189</v>
      </c>
      <c r="B2380" s="94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9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31</v>
      </c>
      <c r="R2380" s="106" t="s">
        <v>780</v>
      </c>
      <c r="S2380" s="94"/>
    </row>
    <row r="2381" spans="1:19" hidden="1">
      <c r="A2381" s="103" t="s">
        <v>4189</v>
      </c>
      <c r="B2381" s="94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9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31</v>
      </c>
      <c r="R2381" s="106" t="s">
        <v>780</v>
      </c>
      <c r="S2381" s="94"/>
    </row>
    <row r="2382" spans="1:19" hidden="1">
      <c r="A2382" s="103" t="s">
        <v>4189</v>
      </c>
      <c r="B2382" s="94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9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31</v>
      </c>
      <c r="R2382" s="106" t="s">
        <v>780</v>
      </c>
      <c r="S2382" s="94"/>
    </row>
    <row r="2383" spans="1:19" hidden="1">
      <c r="A2383" s="103" t="s">
        <v>4189</v>
      </c>
      <c r="B2383" s="94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9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31</v>
      </c>
      <c r="R2383" s="106" t="s">
        <v>780</v>
      </c>
      <c r="S2383" s="94"/>
    </row>
    <row r="2384" spans="1:19" hidden="1">
      <c r="A2384" s="103" t="s">
        <v>4189</v>
      </c>
      <c r="B2384" s="94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9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31</v>
      </c>
      <c r="R2384" s="106" t="s">
        <v>780</v>
      </c>
      <c r="S2384" s="94"/>
    </row>
    <row r="2385" spans="1:19" hidden="1">
      <c r="A2385" s="103" t="s">
        <v>4189</v>
      </c>
      <c r="B2385" s="94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9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31</v>
      </c>
      <c r="R2385" s="106" t="s">
        <v>780</v>
      </c>
      <c r="S2385" s="94"/>
    </row>
    <row r="2386" spans="1:19" hidden="1">
      <c r="A2386" s="103" t="s">
        <v>4189</v>
      </c>
      <c r="B2386" s="94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9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31</v>
      </c>
      <c r="R2386" s="106" t="s">
        <v>780</v>
      </c>
      <c r="S2386" s="94"/>
    </row>
    <row r="2387" spans="1:19" hidden="1">
      <c r="A2387" s="103" t="s">
        <v>4189</v>
      </c>
      <c r="B2387" s="94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9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31</v>
      </c>
      <c r="R2387" s="106" t="s">
        <v>780</v>
      </c>
      <c r="S2387" s="94"/>
    </row>
    <row r="2388" spans="1:19" hidden="1">
      <c r="A2388" s="103" t="s">
        <v>4189</v>
      </c>
      <c r="B2388" s="94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9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31</v>
      </c>
      <c r="R2388" s="106" t="s">
        <v>780</v>
      </c>
      <c r="S2388" s="94"/>
    </row>
    <row r="2389" spans="1:19" hidden="1">
      <c r="A2389" s="103" t="s">
        <v>4189</v>
      </c>
      <c r="B2389" s="94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9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31</v>
      </c>
      <c r="R2389" s="106" t="s">
        <v>780</v>
      </c>
      <c r="S2389" s="94"/>
    </row>
    <row r="2390" spans="1:19" hidden="1">
      <c r="A2390" s="103" t="s">
        <v>4189</v>
      </c>
      <c r="B2390" s="94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9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31</v>
      </c>
      <c r="R2390" s="106" t="s">
        <v>780</v>
      </c>
      <c r="S2390" s="94"/>
    </row>
    <row r="2391" spans="1:19" hidden="1">
      <c r="A2391" s="103" t="s">
        <v>4189</v>
      </c>
      <c r="B2391" s="94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9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31</v>
      </c>
      <c r="R2391" s="106" t="s">
        <v>780</v>
      </c>
      <c r="S2391" s="94"/>
    </row>
    <row r="2392" spans="1:19" hidden="1">
      <c r="A2392" t="s">
        <v>4288</v>
      </c>
      <c r="B2392" s="94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9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31</v>
      </c>
      <c r="R2392" s="106" t="s">
        <v>780</v>
      </c>
      <c r="S2392" s="94"/>
    </row>
    <row r="2393" spans="1:19" hidden="1">
      <c r="A2393" s="103" t="s">
        <v>4288</v>
      </c>
      <c r="B2393" s="94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9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31</v>
      </c>
      <c r="R2393" s="106" t="s">
        <v>780</v>
      </c>
      <c r="S2393" s="94"/>
    </row>
    <row r="2394" spans="1:19" hidden="1">
      <c r="A2394" s="103" t="s">
        <v>4288</v>
      </c>
      <c r="B2394" s="94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9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31</v>
      </c>
      <c r="R2394" s="106" t="s">
        <v>780</v>
      </c>
      <c r="S2394" s="94"/>
    </row>
    <row r="2395" spans="1:19" hidden="1">
      <c r="A2395" s="103" t="s">
        <v>4288</v>
      </c>
      <c r="B2395" s="94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9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31</v>
      </c>
      <c r="R2395" s="106" t="s">
        <v>780</v>
      </c>
      <c r="S2395" s="94"/>
    </row>
    <row r="2396" spans="1:19" hidden="1">
      <c r="A2396" s="103" t="s">
        <v>4288</v>
      </c>
      <c r="B2396" s="94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9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31</v>
      </c>
      <c r="R2396" s="106" t="s">
        <v>780</v>
      </c>
      <c r="S2396" s="94"/>
    </row>
    <row r="2397" spans="1:19" hidden="1">
      <c r="A2397" s="103" t="s">
        <v>4288</v>
      </c>
      <c r="B2397" s="94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9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31</v>
      </c>
      <c r="R2397" s="106" t="s">
        <v>780</v>
      </c>
      <c r="S2397" s="94"/>
    </row>
    <row r="2398" spans="1:19" hidden="1">
      <c r="A2398" s="103" t="s">
        <v>4288</v>
      </c>
      <c r="B2398" s="94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9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31</v>
      </c>
      <c r="R2398" s="106" t="s">
        <v>780</v>
      </c>
      <c r="S2398" s="94"/>
    </row>
    <row r="2399" spans="1:19" hidden="1">
      <c r="A2399" s="103" t="s">
        <v>4288</v>
      </c>
      <c r="B2399" s="94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9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31</v>
      </c>
      <c r="R2399" s="106" t="s">
        <v>780</v>
      </c>
      <c r="S2399" s="94"/>
    </row>
    <row r="2400" spans="1:19" hidden="1">
      <c r="A2400" s="103" t="s">
        <v>4288</v>
      </c>
      <c r="B2400" s="94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9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31</v>
      </c>
      <c r="R2400" s="106" t="s">
        <v>780</v>
      </c>
      <c r="S2400" s="94"/>
    </row>
    <row r="2401" spans="1:19" hidden="1">
      <c r="A2401" s="103" t="s">
        <v>4288</v>
      </c>
      <c r="B2401" s="94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9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31</v>
      </c>
      <c r="R2401" s="106" t="s">
        <v>780</v>
      </c>
      <c r="S2401" s="94"/>
    </row>
    <row r="2402" spans="1:19" hidden="1">
      <c r="A2402" s="103" t="s">
        <v>4288</v>
      </c>
      <c r="B2402" s="94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9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31</v>
      </c>
      <c r="R2402" s="106" t="s">
        <v>780</v>
      </c>
      <c r="S2402" s="94"/>
    </row>
    <row r="2403" spans="1:19" hidden="1">
      <c r="A2403" s="103" t="s">
        <v>4288</v>
      </c>
      <c r="B2403" s="94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9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31</v>
      </c>
      <c r="R2403" s="106" t="s">
        <v>780</v>
      </c>
      <c r="S2403" s="94"/>
    </row>
    <row r="2404" spans="1:19" hidden="1">
      <c r="A2404" s="103" t="s">
        <v>4288</v>
      </c>
      <c r="B2404" s="94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9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31</v>
      </c>
      <c r="R2404" s="106" t="s">
        <v>780</v>
      </c>
      <c r="S2404" s="94"/>
    </row>
    <row r="2405" spans="1:19" hidden="1">
      <c r="A2405" s="103" t="s">
        <v>4288</v>
      </c>
      <c r="B2405" s="94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9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31</v>
      </c>
      <c r="R2405" s="106" t="s">
        <v>780</v>
      </c>
      <c r="S2405" s="94"/>
    </row>
    <row r="2406" spans="1:19" hidden="1">
      <c r="A2406" t="s">
        <v>4291</v>
      </c>
      <c r="B2406" s="94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9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31</v>
      </c>
      <c r="R2406" s="106" t="s">
        <v>3640</v>
      </c>
      <c r="S2406" s="94"/>
    </row>
    <row r="2407" spans="1:19" hidden="1">
      <c r="A2407" t="s">
        <v>4294</v>
      </c>
      <c r="B2407" s="94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9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94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9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94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9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28</v>
      </c>
      <c r="R2409" s="108" t="s">
        <v>415</v>
      </c>
      <c r="S2409" s="94"/>
    </row>
    <row r="2410" spans="1:19" hidden="1">
      <c r="A2410" s="103" t="s">
        <v>4303</v>
      </c>
      <c r="B2410" s="94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9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28</v>
      </c>
      <c r="R2410" s="108" t="s">
        <v>415</v>
      </c>
      <c r="S2410" s="94"/>
    </row>
    <row r="2411" spans="1:19" hidden="1">
      <c r="A2411" s="103" t="s">
        <v>4303</v>
      </c>
      <c r="B2411" s="94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9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28</v>
      </c>
      <c r="R2411" s="108" t="s">
        <v>415</v>
      </c>
      <c r="S2411" s="94"/>
    </row>
    <row r="2412" spans="1:19" hidden="1">
      <c r="A2412" s="103" t="s">
        <v>4303</v>
      </c>
      <c r="B2412" s="94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9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28</v>
      </c>
      <c r="R2412" s="108" t="s">
        <v>415</v>
      </c>
      <c r="S2412" s="94"/>
    </row>
    <row r="2413" spans="1:19" hidden="1">
      <c r="A2413" t="s">
        <v>4294</v>
      </c>
      <c r="B2413" s="94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9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29</v>
      </c>
      <c r="R2413" s="108" t="s">
        <v>972</v>
      </c>
      <c r="S2413" s="94"/>
    </row>
    <row r="2414" spans="1:19" hidden="1">
      <c r="A2414" t="s">
        <v>4306</v>
      </c>
      <c r="B2414" s="94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9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94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9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94" t="str">
        <f>IFERROR(VLOOKUP(Proc[[#This Row],[App]],Table2[],3,0),"open")</f>
        <v>ok</v>
      </c>
      <c r="C2416" s="117" t="s">
        <v>369</v>
      </c>
      <c r="D2416" t="s">
        <v>4831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9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26</v>
      </c>
      <c r="R2416" s="110" t="s">
        <v>515</v>
      </c>
      <c r="S2416" s="94"/>
    </row>
    <row r="2417" spans="1:19" hidden="1">
      <c r="A2417" s="103" t="s">
        <v>4310</v>
      </c>
      <c r="B2417" s="94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9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26</v>
      </c>
      <c r="R2417" s="110" t="s">
        <v>515</v>
      </c>
      <c r="S2417" s="94"/>
    </row>
    <row r="2418" spans="1:19" hidden="1">
      <c r="A2418" t="s">
        <v>4314</v>
      </c>
      <c r="B2418" s="94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9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94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9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94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9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94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9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94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9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94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9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94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9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94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9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94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9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94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9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94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9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94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94" t="str">
        <f>IF(Proc[[#This Row],[Author]]="Marcela Urrego",VLOOKUP(LEFT(Proc[[#This Row],[Requested]],1),Table3[#All],2,0),VLOOKUP(Proc[[#This Row],[Author]],Table4[],2,0))</f>
        <v>HC</v>
      </c>
      <c r="L2429" s="94" t="s">
        <v>4897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94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9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94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9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94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9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94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9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94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9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94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9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94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9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94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9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94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9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94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9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94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9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94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9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94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9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94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9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94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9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94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9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94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9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94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9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94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9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94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9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94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9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94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9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94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9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94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9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94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9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94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9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94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9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94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9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94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9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94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9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94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9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94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9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94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9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94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9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94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9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94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9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94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9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94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9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94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9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94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9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94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9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94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9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94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9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94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9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94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9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94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9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94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9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94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9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94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9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94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9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94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9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94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9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94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9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94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9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94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9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94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9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94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9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94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9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4415</v>
      </c>
      <c r="B2488" s="94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4416</v>
      </c>
      <c r="J2488" s="94" t="b">
        <f>Proc[[#This Row],[Requested]]=Proc[[#This Row],[CurrentParent]]</f>
        <v>1</v>
      </c>
      <c r="K2488" s="94" t="str">
        <f>IF(Proc[[#This Row],[Author]]="Marcela Urrego",VLOOKUP(LEFT(Proc[[#This Row],[Requested]],1),Table3[#All],2,0),VLOOKUP(Proc[[#This Row],[Author]],Table4[],2,0))</f>
        <v>MGF</v>
      </c>
      <c r="L2488" s="125" t="s">
        <v>4897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21</v>
      </c>
      <c r="R2488" s="110" t="s">
        <v>1459</v>
      </c>
      <c r="S2488" s="94"/>
    </row>
    <row r="2489" spans="1:19">
      <c r="A2489" s="103" t="s">
        <v>4415</v>
      </c>
      <c r="B2489" s="94" t="str">
        <f>IFERROR(VLOOKUP(Proc[[#This Row],[App]],Table2[],3,0),"open")</f>
        <v>open</v>
      </c>
      <c r="C2489" s="117" t="s">
        <v>370</v>
      </c>
      <c r="D2489" t="s">
        <v>2319</v>
      </c>
      <c r="E2489" t="s">
        <v>430</v>
      </c>
      <c r="F2489" s="94" t="s">
        <v>4414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4835</v>
      </c>
      <c r="J2489" s="94" t="b">
        <f>Proc[[#This Row],[Requested]]=Proc[[#This Row],[CurrentParent]]</f>
        <v>0</v>
      </c>
      <c r="K2489" s="94" t="str">
        <f>IF(Proc[[#This Row],[Author]]="Marcela Urrego",VLOOKUP(LEFT(Proc[[#This Row],[Requested]],1),Table3[#All],2,0),VLOOKUP(Proc[[#This Row],[Author]],Table4[],2,0))</f>
        <v>MGF</v>
      </c>
      <c r="L2489" s="125" t="s">
        <v>4897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21</v>
      </c>
      <c r="R2489" s="110" t="s">
        <v>1459</v>
      </c>
      <c r="S2489" s="94"/>
    </row>
    <row r="2490" spans="1:19" hidden="1">
      <c r="A2490" s="103" t="s">
        <v>4415</v>
      </c>
      <c r="B2490" s="94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4416</v>
      </c>
      <c r="J2490" s="94" t="b">
        <f>Proc[[#This Row],[Requested]]=Proc[[#This Row],[CurrentParent]]</f>
        <v>1</v>
      </c>
      <c r="K2490" s="94" t="str">
        <f>IF(Proc[[#This Row],[Author]]="Marcela Urrego",VLOOKUP(LEFT(Proc[[#This Row],[Requested]],1),Table3[#All],2,0),VLOOKUP(Proc[[#This Row],[Author]],Table4[],2,0))</f>
        <v>MGF</v>
      </c>
      <c r="L2490" s="125" t="s">
        <v>4897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21</v>
      </c>
      <c r="R2490" s="110" t="s">
        <v>1459</v>
      </c>
      <c r="S2490" s="94"/>
    </row>
    <row r="2491" spans="1:19" hidden="1">
      <c r="A2491" s="103" t="s">
        <v>4415</v>
      </c>
      <c r="B2491" s="94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4416</v>
      </c>
      <c r="J2491" s="94" t="b">
        <f>Proc[[#This Row],[Requested]]=Proc[[#This Row],[CurrentParent]]</f>
        <v>1</v>
      </c>
      <c r="K2491" s="94" t="str">
        <f>IF(Proc[[#This Row],[Author]]="Marcela Urrego",VLOOKUP(LEFT(Proc[[#This Row],[Requested]],1),Table3[#All],2,0),VLOOKUP(Proc[[#This Row],[Author]],Table4[],2,0))</f>
        <v>MGF</v>
      </c>
      <c r="L2491" s="125" t="s">
        <v>4897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21</v>
      </c>
      <c r="R2491" s="110" t="s">
        <v>1459</v>
      </c>
      <c r="S2491" s="94"/>
    </row>
    <row r="2492" spans="1:19" hidden="1">
      <c r="A2492" s="103" t="s">
        <v>4415</v>
      </c>
      <c r="B2492" s="94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94" t="str">
        <f>IF(Proc[[#This Row],[Author]]="Marcela Urrego",VLOOKUP(LEFT(Proc[[#This Row],[Requested]],1),Table3[#All],2,0),VLOOKUP(Proc[[#This Row],[Author]],Table4[],2,0))</f>
        <v>MGF</v>
      </c>
      <c r="L2492" s="125" t="s">
        <v>4897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21</v>
      </c>
      <c r="R2492" s="110" t="s">
        <v>1459</v>
      </c>
      <c r="S2492" s="94"/>
    </row>
    <row r="2493" spans="1:19" hidden="1">
      <c r="A2493" s="103" t="s">
        <v>4415</v>
      </c>
      <c r="B2493" s="94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94" t="str">
        <f>IF(Proc[[#This Row],[Author]]="Marcela Urrego",VLOOKUP(LEFT(Proc[[#This Row],[Requested]],1),Table3[#All],2,0),VLOOKUP(Proc[[#This Row],[Author]],Table4[],2,0))</f>
        <v>MGF</v>
      </c>
      <c r="L2493" s="125" t="s">
        <v>4897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21</v>
      </c>
      <c r="R2493" s="110" t="s">
        <v>1459</v>
      </c>
      <c r="S2493" s="94"/>
    </row>
    <row r="2494" spans="1:19" hidden="1">
      <c r="A2494" s="103" t="s">
        <v>4415</v>
      </c>
      <c r="B2494" s="94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94" t="str">
        <f>IF(Proc[[#This Row],[Author]]="Marcela Urrego",VLOOKUP(LEFT(Proc[[#This Row],[Requested]],1),Table3[#All],2,0),VLOOKUP(Proc[[#This Row],[Author]],Table4[],2,0))</f>
        <v>MGF</v>
      </c>
      <c r="L2494" s="125" t="s">
        <v>4897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21</v>
      </c>
      <c r="R2494" s="110" t="s">
        <v>1459</v>
      </c>
      <c r="S2494" s="94"/>
    </row>
    <row r="2495" spans="1:19" hidden="1">
      <c r="A2495" s="103" t="s">
        <v>4415</v>
      </c>
      <c r="B2495" s="94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94" t="str">
        <f>IF(Proc[[#This Row],[Author]]="Marcela Urrego",VLOOKUP(LEFT(Proc[[#This Row],[Requested]],1),Table3[#All],2,0),VLOOKUP(Proc[[#This Row],[Author]],Table4[],2,0))</f>
        <v>MGF</v>
      </c>
      <c r="L2495" s="125" t="s">
        <v>4897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21</v>
      </c>
      <c r="R2495" s="110" t="s">
        <v>1459</v>
      </c>
      <c r="S2495" s="94"/>
    </row>
    <row r="2496" spans="1:19" hidden="1">
      <c r="A2496" s="103" t="s">
        <v>4415</v>
      </c>
      <c r="B2496" s="94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94" t="str">
        <f>IF(Proc[[#This Row],[Author]]="Marcela Urrego",VLOOKUP(LEFT(Proc[[#This Row],[Requested]],1),Table3[#All],2,0),VLOOKUP(Proc[[#This Row],[Author]],Table4[],2,0))</f>
        <v>MGF</v>
      </c>
      <c r="L2496" s="125" t="s">
        <v>4897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21</v>
      </c>
      <c r="R2496" s="110" t="s">
        <v>1459</v>
      </c>
      <c r="S2496" s="94"/>
    </row>
    <row r="2497" spans="1:19" hidden="1">
      <c r="A2497" s="103" t="s">
        <v>4415</v>
      </c>
      <c r="B2497" s="94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94" t="str">
        <f>IF(Proc[[#This Row],[Author]]="Marcela Urrego",VLOOKUP(LEFT(Proc[[#This Row],[Requested]],1),Table3[#All],2,0),VLOOKUP(Proc[[#This Row],[Author]],Table4[],2,0))</f>
        <v>MGF</v>
      </c>
      <c r="L2497" s="125" t="s">
        <v>4897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21</v>
      </c>
      <c r="R2497" s="110" t="s">
        <v>1459</v>
      </c>
      <c r="S2497" s="94"/>
    </row>
    <row r="2498" spans="1:19" hidden="1">
      <c r="A2498" s="103" t="s">
        <v>4415</v>
      </c>
      <c r="B2498" s="94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94" t="str">
        <f>IF(Proc[[#This Row],[Author]]="Marcela Urrego",VLOOKUP(LEFT(Proc[[#This Row],[Requested]],1),Table3[#All],2,0),VLOOKUP(Proc[[#This Row],[Author]],Table4[],2,0))</f>
        <v>MGF</v>
      </c>
      <c r="L2498" s="125" t="s">
        <v>4897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21</v>
      </c>
      <c r="R2498" s="110" t="s">
        <v>1459</v>
      </c>
      <c r="S2498" s="94"/>
    </row>
    <row r="2499" spans="1:19" hidden="1">
      <c r="A2499" t="s">
        <v>4418</v>
      </c>
      <c r="B2499" s="94" t="str">
        <f>IFERROR(VLOOKUP(Proc[[#This Row],[App]],Table2[],3,0),"open")</f>
        <v>ok</v>
      </c>
      <c r="C2499" s="103" t="s">
        <v>369</v>
      </c>
      <c r="D2499" t="s">
        <v>4417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94" t="str">
        <f>IF(Proc[[#This Row],[Author]]="Marcela Urrego",VLOOKUP(LEFT(Proc[[#This Row],[Requested]],1),Table3[#All],2,0),VLOOKUP(Proc[[#This Row],[Author]],Table4[],2,0))</f>
        <v>HC</v>
      </c>
      <c r="L2499" s="125" t="s">
        <v>4897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4419</v>
      </c>
      <c r="S2499" s="94"/>
    </row>
    <row r="2500" spans="1:19" hidden="1">
      <c r="A2500" t="s">
        <v>4421</v>
      </c>
      <c r="B2500" s="94" t="str">
        <f>IFERROR(VLOOKUP(Proc[[#This Row],[App]],Table2[],3,0),"open")</f>
        <v>ok</v>
      </c>
      <c r="C2500" s="103" t="s">
        <v>369</v>
      </c>
      <c r="D2500" t="s">
        <v>4420</v>
      </c>
      <c r="E2500" t="s">
        <v>4806</v>
      </c>
      <c r="F2500" s="94" t="s">
        <v>4806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94" t="str">
        <f>IF(Proc[[#This Row],[Author]]="Marcela Urrego",VLOOKUP(LEFT(Proc[[#This Row],[Requested]],1),Table3[#All],2,0),VLOOKUP(Proc[[#This Row],[Author]],Table4[],2,0))</f>
        <v>LS</v>
      </c>
      <c r="L2500" s="125" t="s">
        <v>4897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19</v>
      </c>
      <c r="R2500" s="110" t="s">
        <v>489</v>
      </c>
      <c r="S2500" s="94"/>
    </row>
    <row r="2501" spans="1:19" hidden="1">
      <c r="A2501" t="s">
        <v>4423</v>
      </c>
      <c r="B2501" s="94" t="str">
        <f>IFERROR(VLOOKUP(Proc[[#This Row],[App]],Table2[],3,0),"open")</f>
        <v>ok</v>
      </c>
      <c r="C2501" s="103" t="s">
        <v>369</v>
      </c>
      <c r="D2501" t="s">
        <v>4422</v>
      </c>
      <c r="E2501" t="s">
        <v>4424</v>
      </c>
      <c r="F2501" s="94" t="s">
        <v>4424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94" t="str">
        <f>IF(Proc[[#This Row],[Author]]="Marcela Urrego",VLOOKUP(LEFT(Proc[[#This Row],[Requested]],1),Table3[#All],2,0),VLOOKUP(Proc[[#This Row],[Author]],Table4[],2,0))</f>
        <v>LS</v>
      </c>
      <c r="L2501" s="125" t="s">
        <v>4897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19</v>
      </c>
      <c r="R2501" s="110" t="s">
        <v>489</v>
      </c>
      <c r="S2501" s="94"/>
    </row>
    <row r="2502" spans="1:19" hidden="1">
      <c r="A2502" t="s">
        <v>4425</v>
      </c>
      <c r="B2502" s="94" t="str">
        <f>IFERROR(VLOOKUP(Proc[[#This Row],[App]],Table2[],3,0),"open")</f>
        <v>ok</v>
      </c>
      <c r="C2502" s="117" t="s">
        <v>369</v>
      </c>
      <c r="D2502" t="s">
        <v>4426</v>
      </c>
      <c r="E2502" t="s">
        <v>4737</v>
      </c>
      <c r="F2502" s="94" t="s">
        <v>4737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4787</v>
      </c>
      <c r="J2502" s="94" t="b">
        <f>Proc[[#This Row],[Requested]]=Proc[[#This Row],[CurrentParent]]</f>
        <v>1</v>
      </c>
      <c r="K2502" s="94" t="str">
        <f>IF(Proc[[#This Row],[Author]]="Marcela Urrego",VLOOKUP(LEFT(Proc[[#This Row],[Requested]],1),Table3[#All],2,0),VLOOKUP(Proc[[#This Row],[Author]],Table4[],2,0))</f>
        <v>MGF</v>
      </c>
      <c r="L2502" s="125" t="s">
        <v>4897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19</v>
      </c>
      <c r="R2502" s="110" t="s">
        <v>485</v>
      </c>
      <c r="S2502" s="94"/>
    </row>
    <row r="2503" spans="1:19" hidden="1">
      <c r="A2503" s="103" t="s">
        <v>4425</v>
      </c>
      <c r="B2503" s="94" t="str">
        <f>IFERROR(VLOOKUP(Proc[[#This Row],[App]],Table2[],3,0),"open")</f>
        <v>ok</v>
      </c>
      <c r="C2503" s="117" t="s">
        <v>369</v>
      </c>
      <c r="D2503" t="s">
        <v>4427</v>
      </c>
      <c r="E2503" t="s">
        <v>4737</v>
      </c>
      <c r="F2503" s="94" t="s">
        <v>4737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4787</v>
      </c>
      <c r="J2503" s="94" t="b">
        <f>Proc[[#This Row],[Requested]]=Proc[[#This Row],[CurrentParent]]</f>
        <v>1</v>
      </c>
      <c r="K2503" s="94" t="str">
        <f>IF(Proc[[#This Row],[Author]]="Marcela Urrego",VLOOKUP(LEFT(Proc[[#This Row],[Requested]],1),Table3[#All],2,0),VLOOKUP(Proc[[#This Row],[Author]],Table4[],2,0))</f>
        <v>MGF</v>
      </c>
      <c r="L2503" s="125" t="s">
        <v>4897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19</v>
      </c>
      <c r="R2503" s="110" t="s">
        <v>485</v>
      </c>
      <c r="S2503" s="94"/>
    </row>
    <row r="2504" spans="1:19" hidden="1">
      <c r="A2504" s="103" t="s">
        <v>4425</v>
      </c>
      <c r="B2504" s="94" t="str">
        <f>IFERROR(VLOOKUP(Proc[[#This Row],[App]],Table2[],3,0),"open")</f>
        <v>ok</v>
      </c>
      <c r="C2504" s="117" t="s">
        <v>369</v>
      </c>
      <c r="D2504" t="s">
        <v>4428</v>
      </c>
      <c r="E2504" t="s">
        <v>4738</v>
      </c>
      <c r="F2504" s="94" t="s">
        <v>4738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4787</v>
      </c>
      <c r="J2504" s="94" t="b">
        <f>Proc[[#This Row],[Requested]]=Proc[[#This Row],[CurrentParent]]</f>
        <v>1</v>
      </c>
      <c r="K2504" s="94" t="str">
        <f>IF(Proc[[#This Row],[Author]]="Marcela Urrego",VLOOKUP(LEFT(Proc[[#This Row],[Requested]],1),Table3[#All],2,0),VLOOKUP(Proc[[#This Row],[Author]],Table4[],2,0))</f>
        <v>MGF</v>
      </c>
      <c r="L2504" s="125" t="s">
        <v>4897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19</v>
      </c>
      <c r="R2504" s="110" t="s">
        <v>485</v>
      </c>
      <c r="S2504" s="94"/>
    </row>
    <row r="2505" spans="1:19" hidden="1">
      <c r="A2505" s="103" t="s">
        <v>4425</v>
      </c>
      <c r="B2505" s="94" t="str">
        <f>IFERROR(VLOOKUP(Proc[[#This Row],[App]],Table2[],3,0),"open")</f>
        <v>ok</v>
      </c>
      <c r="C2505" s="117" t="s">
        <v>369</v>
      </c>
      <c r="D2505" t="s">
        <v>4429</v>
      </c>
      <c r="E2505" t="s">
        <v>4738</v>
      </c>
      <c r="F2505" s="94" t="s">
        <v>4738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4787</v>
      </c>
      <c r="J2505" s="94" t="b">
        <f>Proc[[#This Row],[Requested]]=Proc[[#This Row],[CurrentParent]]</f>
        <v>1</v>
      </c>
      <c r="K2505" s="94" t="str">
        <f>IF(Proc[[#This Row],[Author]]="Marcela Urrego",VLOOKUP(LEFT(Proc[[#This Row],[Requested]],1),Table3[#All],2,0),VLOOKUP(Proc[[#This Row],[Author]],Table4[],2,0))</f>
        <v>MGF</v>
      </c>
      <c r="L2505" s="125" t="s">
        <v>4897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19</v>
      </c>
      <c r="R2505" s="110" t="s">
        <v>485</v>
      </c>
      <c r="S2505" s="94"/>
    </row>
    <row r="2506" spans="1:19" hidden="1">
      <c r="A2506" s="103" t="s">
        <v>4425</v>
      </c>
      <c r="B2506" s="94" t="str">
        <f>IFERROR(VLOOKUP(Proc[[#This Row],[App]],Table2[],3,0),"open")</f>
        <v>ok</v>
      </c>
      <c r="C2506" s="117" t="s">
        <v>369</v>
      </c>
      <c r="D2506" t="s">
        <v>4430</v>
      </c>
      <c r="E2506" t="s">
        <v>4738</v>
      </c>
      <c r="F2506" s="94" t="s">
        <v>4738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4787</v>
      </c>
      <c r="J2506" s="94" t="b">
        <f>Proc[[#This Row],[Requested]]=Proc[[#This Row],[CurrentParent]]</f>
        <v>1</v>
      </c>
      <c r="K2506" s="94" t="str">
        <f>IF(Proc[[#This Row],[Author]]="Marcela Urrego",VLOOKUP(LEFT(Proc[[#This Row],[Requested]],1),Table3[#All],2,0),VLOOKUP(Proc[[#This Row],[Author]],Table4[],2,0))</f>
        <v>MGF</v>
      </c>
      <c r="L2506" s="125" t="s">
        <v>4897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19</v>
      </c>
      <c r="R2506" s="110" t="s">
        <v>485</v>
      </c>
      <c r="S2506" s="94"/>
    </row>
    <row r="2507" spans="1:19" hidden="1">
      <c r="A2507" s="103" t="s">
        <v>4425</v>
      </c>
      <c r="B2507" s="94" t="str">
        <f>IFERROR(VLOOKUP(Proc[[#This Row],[App]],Table2[],3,0),"open")</f>
        <v>ok</v>
      </c>
      <c r="C2507" s="117" t="s">
        <v>369</v>
      </c>
      <c r="D2507" t="s">
        <v>4431</v>
      </c>
      <c r="E2507" t="s">
        <v>4739</v>
      </c>
      <c r="F2507" s="94" t="s">
        <v>4739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4787</v>
      </c>
      <c r="J2507" s="94" t="b">
        <f>Proc[[#This Row],[Requested]]=Proc[[#This Row],[CurrentParent]]</f>
        <v>1</v>
      </c>
      <c r="K2507" s="94" t="str">
        <f>IF(Proc[[#This Row],[Author]]="Marcela Urrego",VLOOKUP(LEFT(Proc[[#This Row],[Requested]],1),Table3[#All],2,0),VLOOKUP(Proc[[#This Row],[Author]],Table4[],2,0))</f>
        <v>MGF</v>
      </c>
      <c r="L2507" s="125" t="s">
        <v>4897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19</v>
      </c>
      <c r="R2507" s="110" t="s">
        <v>485</v>
      </c>
      <c r="S2507" s="94"/>
    </row>
    <row r="2508" spans="1:19" hidden="1">
      <c r="A2508" s="103" t="s">
        <v>4425</v>
      </c>
      <c r="B2508" s="94" t="str">
        <f>IFERROR(VLOOKUP(Proc[[#This Row],[App]],Table2[],3,0),"open")</f>
        <v>ok</v>
      </c>
      <c r="C2508" s="117" t="s">
        <v>369</v>
      </c>
      <c r="D2508" t="s">
        <v>4432</v>
      </c>
      <c r="E2508" t="s">
        <v>4739</v>
      </c>
      <c r="F2508" s="94" t="s">
        <v>4739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4787</v>
      </c>
      <c r="J2508" s="94" t="b">
        <f>Proc[[#This Row],[Requested]]=Proc[[#This Row],[CurrentParent]]</f>
        <v>1</v>
      </c>
      <c r="K2508" s="94" t="str">
        <f>IF(Proc[[#This Row],[Author]]="Marcela Urrego",VLOOKUP(LEFT(Proc[[#This Row],[Requested]],1),Table3[#All],2,0),VLOOKUP(Proc[[#This Row],[Author]],Table4[],2,0))</f>
        <v>MGF</v>
      </c>
      <c r="L2508" s="125" t="s">
        <v>4897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19</v>
      </c>
      <c r="R2508" s="110" t="s">
        <v>485</v>
      </c>
      <c r="S2508" s="94"/>
    </row>
    <row r="2509" spans="1:19" hidden="1">
      <c r="A2509" s="103" t="s">
        <v>4425</v>
      </c>
      <c r="B2509" s="94" t="str">
        <f>IFERROR(VLOOKUP(Proc[[#This Row],[App]],Table2[],3,0),"open")</f>
        <v>ok</v>
      </c>
      <c r="C2509" s="117" t="s">
        <v>369</v>
      </c>
      <c r="D2509" t="s">
        <v>4433</v>
      </c>
      <c r="E2509" t="s">
        <v>4739</v>
      </c>
      <c r="F2509" s="94" t="s">
        <v>4739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4787</v>
      </c>
      <c r="J2509" s="94" t="b">
        <f>Proc[[#This Row],[Requested]]=Proc[[#This Row],[CurrentParent]]</f>
        <v>1</v>
      </c>
      <c r="K2509" s="94" t="str">
        <f>IF(Proc[[#This Row],[Author]]="Marcela Urrego",VLOOKUP(LEFT(Proc[[#This Row],[Requested]],1),Table3[#All],2,0),VLOOKUP(Proc[[#This Row],[Author]],Table4[],2,0))</f>
        <v>MGF</v>
      </c>
      <c r="L2509" s="125" t="s">
        <v>4897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19</v>
      </c>
      <c r="R2509" s="110" t="s">
        <v>485</v>
      </c>
      <c r="S2509" s="94"/>
    </row>
    <row r="2510" spans="1:19" hidden="1">
      <c r="A2510" s="103" t="s">
        <v>4425</v>
      </c>
      <c r="B2510" s="94" t="str">
        <f>IFERROR(VLOOKUP(Proc[[#This Row],[App]],Table2[],3,0),"open")</f>
        <v>ok</v>
      </c>
      <c r="C2510" s="117" t="s">
        <v>369</v>
      </c>
      <c r="D2510" t="s">
        <v>4434</v>
      </c>
      <c r="E2510" t="s">
        <v>4739</v>
      </c>
      <c r="F2510" s="94" t="s">
        <v>4739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4787</v>
      </c>
      <c r="J2510" s="94" t="b">
        <f>Proc[[#This Row],[Requested]]=Proc[[#This Row],[CurrentParent]]</f>
        <v>1</v>
      </c>
      <c r="K2510" s="94" t="str">
        <f>IF(Proc[[#This Row],[Author]]="Marcela Urrego",VLOOKUP(LEFT(Proc[[#This Row],[Requested]],1),Table3[#All],2,0),VLOOKUP(Proc[[#This Row],[Author]],Table4[],2,0))</f>
        <v>MGF</v>
      </c>
      <c r="L2510" s="125" t="s">
        <v>4897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19</v>
      </c>
      <c r="R2510" s="110" t="s">
        <v>485</v>
      </c>
      <c r="S2510" s="94"/>
    </row>
    <row r="2511" spans="1:19" hidden="1">
      <c r="A2511" s="103" t="s">
        <v>4425</v>
      </c>
      <c r="B2511" s="94" t="str">
        <f>IFERROR(VLOOKUP(Proc[[#This Row],[App]],Table2[],3,0),"open")</f>
        <v>ok</v>
      </c>
      <c r="C2511" s="117" t="s">
        <v>369</v>
      </c>
      <c r="D2511" t="s">
        <v>4435</v>
      </c>
      <c r="E2511" t="s">
        <v>4739</v>
      </c>
      <c r="F2511" s="94" t="s">
        <v>4739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4787</v>
      </c>
      <c r="J2511" s="94" t="b">
        <f>Proc[[#This Row],[Requested]]=Proc[[#This Row],[CurrentParent]]</f>
        <v>1</v>
      </c>
      <c r="K2511" s="94" t="str">
        <f>IF(Proc[[#This Row],[Author]]="Marcela Urrego",VLOOKUP(LEFT(Proc[[#This Row],[Requested]],1),Table3[#All],2,0),VLOOKUP(Proc[[#This Row],[Author]],Table4[],2,0))</f>
        <v>MGF</v>
      </c>
      <c r="L2511" s="125" t="s">
        <v>4897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19</v>
      </c>
      <c r="R2511" s="110" t="s">
        <v>485</v>
      </c>
      <c r="S2511" s="94"/>
    </row>
    <row r="2512" spans="1:19" hidden="1">
      <c r="A2512" s="103" t="s">
        <v>4425</v>
      </c>
      <c r="B2512" s="94" t="str">
        <f>IFERROR(VLOOKUP(Proc[[#This Row],[App]],Table2[],3,0),"open")</f>
        <v>ok</v>
      </c>
      <c r="C2512" s="117" t="s">
        <v>369</v>
      </c>
      <c r="D2512" t="s">
        <v>4436</v>
      </c>
      <c r="E2512" t="s">
        <v>4739</v>
      </c>
      <c r="F2512" s="94" t="s">
        <v>4739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4787</v>
      </c>
      <c r="J2512" s="94" t="b">
        <f>Proc[[#This Row],[Requested]]=Proc[[#This Row],[CurrentParent]]</f>
        <v>1</v>
      </c>
      <c r="K2512" s="94" t="str">
        <f>IF(Proc[[#This Row],[Author]]="Marcela Urrego",VLOOKUP(LEFT(Proc[[#This Row],[Requested]],1),Table3[#All],2,0),VLOOKUP(Proc[[#This Row],[Author]],Table4[],2,0))</f>
        <v>MGF</v>
      </c>
      <c r="L2512" s="125" t="s">
        <v>4897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19</v>
      </c>
      <c r="R2512" s="110" t="s">
        <v>485</v>
      </c>
      <c r="S2512" s="94"/>
    </row>
    <row r="2513" spans="1:19" hidden="1">
      <c r="A2513" s="103" t="s">
        <v>4425</v>
      </c>
      <c r="B2513" s="94" t="str">
        <f>IFERROR(VLOOKUP(Proc[[#This Row],[App]],Table2[],3,0),"open")</f>
        <v>ok</v>
      </c>
      <c r="C2513" s="117" t="s">
        <v>369</v>
      </c>
      <c r="D2513" t="s">
        <v>4437</v>
      </c>
      <c r="E2513" t="s">
        <v>4739</v>
      </c>
      <c r="F2513" s="94" t="s">
        <v>4739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4787</v>
      </c>
      <c r="J2513" s="94" t="b">
        <f>Proc[[#This Row],[Requested]]=Proc[[#This Row],[CurrentParent]]</f>
        <v>1</v>
      </c>
      <c r="K2513" s="94" t="str">
        <f>IF(Proc[[#This Row],[Author]]="Marcela Urrego",VLOOKUP(LEFT(Proc[[#This Row],[Requested]],1),Table3[#All],2,0),VLOOKUP(Proc[[#This Row],[Author]],Table4[],2,0))</f>
        <v>MGF</v>
      </c>
      <c r="L2513" s="125" t="s">
        <v>4897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19</v>
      </c>
      <c r="R2513" s="110" t="s">
        <v>485</v>
      </c>
      <c r="S2513" s="94"/>
    </row>
    <row r="2514" spans="1:19" hidden="1">
      <c r="A2514" s="103" t="s">
        <v>4425</v>
      </c>
      <c r="B2514" s="94" t="str">
        <f>IFERROR(VLOOKUP(Proc[[#This Row],[App]],Table2[],3,0),"open")</f>
        <v>ok</v>
      </c>
      <c r="C2514" s="117" t="s">
        <v>369</v>
      </c>
      <c r="D2514" t="s">
        <v>4438</v>
      </c>
      <c r="E2514" t="s">
        <v>4740</v>
      </c>
      <c r="F2514" s="94" t="s">
        <v>4740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4787</v>
      </c>
      <c r="J2514" s="94" t="b">
        <f>Proc[[#This Row],[Requested]]=Proc[[#This Row],[CurrentParent]]</f>
        <v>1</v>
      </c>
      <c r="K2514" s="94" t="str">
        <f>IF(Proc[[#This Row],[Author]]="Marcela Urrego",VLOOKUP(LEFT(Proc[[#This Row],[Requested]],1),Table3[#All],2,0),VLOOKUP(Proc[[#This Row],[Author]],Table4[],2,0))</f>
        <v>MGF</v>
      </c>
      <c r="L2514" s="125" t="s">
        <v>4897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19</v>
      </c>
      <c r="R2514" s="110" t="s">
        <v>485</v>
      </c>
      <c r="S2514" s="94"/>
    </row>
    <row r="2515" spans="1:19" hidden="1">
      <c r="A2515" s="103" t="s">
        <v>4425</v>
      </c>
      <c r="B2515" s="94" t="str">
        <f>IFERROR(VLOOKUP(Proc[[#This Row],[App]],Table2[],3,0),"open")</f>
        <v>ok</v>
      </c>
      <c r="C2515" s="117" t="s">
        <v>369</v>
      </c>
      <c r="D2515" t="s">
        <v>4439</v>
      </c>
      <c r="E2515" t="s">
        <v>4740</v>
      </c>
      <c r="F2515" s="94" t="s">
        <v>4740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4787</v>
      </c>
      <c r="J2515" s="94" t="b">
        <f>Proc[[#This Row],[Requested]]=Proc[[#This Row],[CurrentParent]]</f>
        <v>1</v>
      </c>
      <c r="K2515" s="94" t="str">
        <f>IF(Proc[[#This Row],[Author]]="Marcela Urrego",VLOOKUP(LEFT(Proc[[#This Row],[Requested]],1),Table3[#All],2,0),VLOOKUP(Proc[[#This Row],[Author]],Table4[],2,0))</f>
        <v>MGF</v>
      </c>
      <c r="L2515" s="125" t="s">
        <v>4897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19</v>
      </c>
      <c r="R2515" s="110" t="s">
        <v>485</v>
      </c>
      <c r="S2515" s="94"/>
    </row>
    <row r="2516" spans="1:19" hidden="1">
      <c r="A2516" s="103" t="s">
        <v>4425</v>
      </c>
      <c r="B2516" s="94" t="str">
        <f>IFERROR(VLOOKUP(Proc[[#This Row],[App]],Table2[],3,0),"open")</f>
        <v>ok</v>
      </c>
      <c r="C2516" s="117" t="s">
        <v>369</v>
      </c>
      <c r="D2516" t="s">
        <v>4440</v>
      </c>
      <c r="E2516" t="s">
        <v>4740</v>
      </c>
      <c r="F2516" s="94" t="s">
        <v>4740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4787</v>
      </c>
      <c r="J2516" s="94" t="b">
        <f>Proc[[#This Row],[Requested]]=Proc[[#This Row],[CurrentParent]]</f>
        <v>1</v>
      </c>
      <c r="K2516" s="94" t="str">
        <f>IF(Proc[[#This Row],[Author]]="Marcela Urrego",VLOOKUP(LEFT(Proc[[#This Row],[Requested]],1),Table3[#All],2,0),VLOOKUP(Proc[[#This Row],[Author]],Table4[],2,0))</f>
        <v>MGF</v>
      </c>
      <c r="L2516" s="125" t="s">
        <v>4897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19</v>
      </c>
      <c r="R2516" s="110" t="s">
        <v>485</v>
      </c>
      <c r="S2516" s="94"/>
    </row>
    <row r="2517" spans="1:19" hidden="1">
      <c r="A2517" s="103" t="s">
        <v>4425</v>
      </c>
      <c r="B2517" s="94" t="str">
        <f>IFERROR(VLOOKUP(Proc[[#This Row],[App]],Table2[],3,0),"open")</f>
        <v>ok</v>
      </c>
      <c r="C2517" s="117" t="s">
        <v>369</v>
      </c>
      <c r="D2517" t="s">
        <v>4441</v>
      </c>
      <c r="E2517" t="s">
        <v>4741</v>
      </c>
      <c r="F2517" s="94" t="s">
        <v>4741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4787</v>
      </c>
      <c r="J2517" s="94" t="b">
        <f>Proc[[#This Row],[Requested]]=Proc[[#This Row],[CurrentParent]]</f>
        <v>1</v>
      </c>
      <c r="K2517" s="94" t="str">
        <f>IF(Proc[[#This Row],[Author]]="Marcela Urrego",VLOOKUP(LEFT(Proc[[#This Row],[Requested]],1),Table3[#All],2,0),VLOOKUP(Proc[[#This Row],[Author]],Table4[],2,0))</f>
        <v>MGF</v>
      </c>
      <c r="L2517" s="125" t="s">
        <v>4897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19</v>
      </c>
      <c r="R2517" s="110" t="s">
        <v>485</v>
      </c>
      <c r="S2517" s="94"/>
    </row>
    <row r="2518" spans="1:19" hidden="1">
      <c r="A2518" s="103" t="s">
        <v>4425</v>
      </c>
      <c r="B2518" s="94" t="str">
        <f>IFERROR(VLOOKUP(Proc[[#This Row],[App]],Table2[],3,0),"open")</f>
        <v>ok</v>
      </c>
      <c r="C2518" s="117" t="s">
        <v>369</v>
      </c>
      <c r="D2518" t="s">
        <v>4442</v>
      </c>
      <c r="E2518" t="s">
        <v>4740</v>
      </c>
      <c r="F2518" s="94" t="s">
        <v>4740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4787</v>
      </c>
      <c r="J2518" s="94" t="b">
        <f>Proc[[#This Row],[Requested]]=Proc[[#This Row],[CurrentParent]]</f>
        <v>1</v>
      </c>
      <c r="K2518" s="94" t="str">
        <f>IF(Proc[[#This Row],[Author]]="Marcela Urrego",VLOOKUP(LEFT(Proc[[#This Row],[Requested]],1),Table3[#All],2,0),VLOOKUP(Proc[[#This Row],[Author]],Table4[],2,0))</f>
        <v>MGF</v>
      </c>
      <c r="L2518" s="125" t="s">
        <v>4897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19</v>
      </c>
      <c r="R2518" s="110" t="s">
        <v>485</v>
      </c>
      <c r="S2518" s="94"/>
    </row>
    <row r="2519" spans="1:19" hidden="1">
      <c r="A2519" s="103" t="s">
        <v>4425</v>
      </c>
      <c r="B2519" s="94" t="str">
        <f>IFERROR(VLOOKUP(Proc[[#This Row],[App]],Table2[],3,0),"open")</f>
        <v>ok</v>
      </c>
      <c r="C2519" s="117" t="s">
        <v>369</v>
      </c>
      <c r="D2519" t="s">
        <v>4443</v>
      </c>
      <c r="E2519" t="s">
        <v>4741</v>
      </c>
      <c r="F2519" s="94" t="s">
        <v>4741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4787</v>
      </c>
      <c r="J2519" s="94" t="b">
        <f>Proc[[#This Row],[Requested]]=Proc[[#This Row],[CurrentParent]]</f>
        <v>1</v>
      </c>
      <c r="K2519" s="94" t="str">
        <f>IF(Proc[[#This Row],[Author]]="Marcela Urrego",VLOOKUP(LEFT(Proc[[#This Row],[Requested]],1),Table3[#All],2,0),VLOOKUP(Proc[[#This Row],[Author]],Table4[],2,0))</f>
        <v>MGF</v>
      </c>
      <c r="L2519" s="125" t="s">
        <v>4897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19</v>
      </c>
      <c r="R2519" s="110" t="s">
        <v>485</v>
      </c>
      <c r="S2519" s="94"/>
    </row>
    <row r="2520" spans="1:19" hidden="1">
      <c r="A2520" s="103" t="s">
        <v>4425</v>
      </c>
      <c r="B2520" s="94" t="str">
        <f>IFERROR(VLOOKUP(Proc[[#This Row],[App]],Table2[],3,0),"open")</f>
        <v>ok</v>
      </c>
      <c r="C2520" s="117" t="s">
        <v>369</v>
      </c>
      <c r="D2520" t="s">
        <v>4444</v>
      </c>
      <c r="E2520" t="s">
        <v>4742</v>
      </c>
      <c r="F2520" s="94" t="s">
        <v>4742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4787</v>
      </c>
      <c r="J2520" s="94" t="b">
        <f>Proc[[#This Row],[Requested]]=Proc[[#This Row],[CurrentParent]]</f>
        <v>1</v>
      </c>
      <c r="K2520" s="94" t="str">
        <f>IF(Proc[[#This Row],[Author]]="Marcela Urrego",VLOOKUP(LEFT(Proc[[#This Row],[Requested]],1),Table3[#All],2,0),VLOOKUP(Proc[[#This Row],[Author]],Table4[],2,0))</f>
        <v>MGF</v>
      </c>
      <c r="L2520" s="125" t="s">
        <v>4897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19</v>
      </c>
      <c r="R2520" s="110" t="s">
        <v>485</v>
      </c>
      <c r="S2520" s="94"/>
    </row>
    <row r="2521" spans="1:19" hidden="1">
      <c r="A2521" s="103" t="s">
        <v>4425</v>
      </c>
      <c r="B2521" s="94" t="str">
        <f>IFERROR(VLOOKUP(Proc[[#This Row],[App]],Table2[],3,0),"open")</f>
        <v>ok</v>
      </c>
      <c r="C2521" s="117" t="s">
        <v>369</v>
      </c>
      <c r="D2521" t="s">
        <v>4445</v>
      </c>
      <c r="E2521" t="s">
        <v>4741</v>
      </c>
      <c r="F2521" s="94" t="s">
        <v>4741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4787</v>
      </c>
      <c r="J2521" s="94" t="b">
        <f>Proc[[#This Row],[Requested]]=Proc[[#This Row],[CurrentParent]]</f>
        <v>1</v>
      </c>
      <c r="K2521" s="94" t="str">
        <f>IF(Proc[[#This Row],[Author]]="Marcela Urrego",VLOOKUP(LEFT(Proc[[#This Row],[Requested]],1),Table3[#All],2,0),VLOOKUP(Proc[[#This Row],[Author]],Table4[],2,0))</f>
        <v>MGF</v>
      </c>
      <c r="L2521" s="125" t="s">
        <v>4897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19</v>
      </c>
      <c r="R2521" s="110" t="s">
        <v>485</v>
      </c>
      <c r="S2521" s="94"/>
    </row>
    <row r="2522" spans="1:19" hidden="1">
      <c r="A2522" s="103" t="s">
        <v>4425</v>
      </c>
      <c r="B2522" s="94" t="str">
        <f>IFERROR(VLOOKUP(Proc[[#This Row],[App]],Table2[],3,0),"open")</f>
        <v>ok</v>
      </c>
      <c r="C2522" s="117" t="s">
        <v>369</v>
      </c>
      <c r="D2522" t="s">
        <v>4446</v>
      </c>
      <c r="E2522" t="s">
        <v>4741</v>
      </c>
      <c r="F2522" s="94" t="s">
        <v>4741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4787</v>
      </c>
      <c r="J2522" s="94" t="b">
        <f>Proc[[#This Row],[Requested]]=Proc[[#This Row],[CurrentParent]]</f>
        <v>1</v>
      </c>
      <c r="K2522" s="94" t="str">
        <f>IF(Proc[[#This Row],[Author]]="Marcela Urrego",VLOOKUP(LEFT(Proc[[#This Row],[Requested]],1),Table3[#All],2,0),VLOOKUP(Proc[[#This Row],[Author]],Table4[],2,0))</f>
        <v>MGF</v>
      </c>
      <c r="L2522" s="125" t="s">
        <v>4897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19</v>
      </c>
      <c r="R2522" s="110" t="s">
        <v>485</v>
      </c>
      <c r="S2522" s="94"/>
    </row>
    <row r="2523" spans="1:19" hidden="1">
      <c r="A2523" s="103" t="s">
        <v>4425</v>
      </c>
      <c r="B2523" s="94" t="str">
        <f>IFERROR(VLOOKUP(Proc[[#This Row],[App]],Table2[],3,0),"open")</f>
        <v>ok</v>
      </c>
      <c r="C2523" s="117" t="s">
        <v>369</v>
      </c>
      <c r="D2523" t="s">
        <v>4447</v>
      </c>
      <c r="E2523" t="s">
        <v>4740</v>
      </c>
      <c r="F2523" s="94" t="s">
        <v>4740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4787</v>
      </c>
      <c r="J2523" s="94" t="b">
        <f>Proc[[#This Row],[Requested]]=Proc[[#This Row],[CurrentParent]]</f>
        <v>1</v>
      </c>
      <c r="K2523" s="94" t="str">
        <f>IF(Proc[[#This Row],[Author]]="Marcela Urrego",VLOOKUP(LEFT(Proc[[#This Row],[Requested]],1),Table3[#All],2,0),VLOOKUP(Proc[[#This Row],[Author]],Table4[],2,0))</f>
        <v>MGF</v>
      </c>
      <c r="L2523" s="125" t="s">
        <v>4897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19</v>
      </c>
      <c r="R2523" s="110" t="s">
        <v>485</v>
      </c>
      <c r="S2523" s="94"/>
    </row>
    <row r="2524" spans="1:19" hidden="1">
      <c r="A2524" s="103" t="s">
        <v>4425</v>
      </c>
      <c r="B2524" s="94" t="str">
        <f>IFERROR(VLOOKUP(Proc[[#This Row],[App]],Table2[],3,0),"open")</f>
        <v>ok</v>
      </c>
      <c r="C2524" s="117" t="s">
        <v>369</v>
      </c>
      <c r="D2524" t="s">
        <v>4448</v>
      </c>
      <c r="E2524" t="s">
        <v>4740</v>
      </c>
      <c r="F2524" s="94" t="s">
        <v>4740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4787</v>
      </c>
      <c r="J2524" s="94" t="b">
        <f>Proc[[#This Row],[Requested]]=Proc[[#This Row],[CurrentParent]]</f>
        <v>1</v>
      </c>
      <c r="K2524" s="94" t="str">
        <f>IF(Proc[[#This Row],[Author]]="Marcela Urrego",VLOOKUP(LEFT(Proc[[#This Row],[Requested]],1),Table3[#All],2,0),VLOOKUP(Proc[[#This Row],[Author]],Table4[],2,0))</f>
        <v>MGF</v>
      </c>
      <c r="L2524" s="125" t="s">
        <v>4897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19</v>
      </c>
      <c r="R2524" s="110" t="s">
        <v>485</v>
      </c>
      <c r="S2524" s="94"/>
    </row>
    <row r="2525" spans="1:19" hidden="1">
      <c r="A2525" s="103" t="s">
        <v>4425</v>
      </c>
      <c r="B2525" s="94" t="str">
        <f>IFERROR(VLOOKUP(Proc[[#This Row],[App]],Table2[],3,0),"open")</f>
        <v>ok</v>
      </c>
      <c r="C2525" s="117" t="s">
        <v>369</v>
      </c>
      <c r="D2525" t="s">
        <v>4449</v>
      </c>
      <c r="E2525" t="s">
        <v>4740</v>
      </c>
      <c r="F2525" s="94" t="s">
        <v>4740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4787</v>
      </c>
      <c r="J2525" s="94" t="b">
        <f>Proc[[#This Row],[Requested]]=Proc[[#This Row],[CurrentParent]]</f>
        <v>1</v>
      </c>
      <c r="K2525" s="94" t="str">
        <f>IF(Proc[[#This Row],[Author]]="Marcela Urrego",VLOOKUP(LEFT(Proc[[#This Row],[Requested]],1),Table3[#All],2,0),VLOOKUP(Proc[[#This Row],[Author]],Table4[],2,0))</f>
        <v>MGF</v>
      </c>
      <c r="L2525" s="125" t="s">
        <v>4897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19</v>
      </c>
      <c r="R2525" s="110" t="s">
        <v>485</v>
      </c>
      <c r="S2525" s="94"/>
    </row>
    <row r="2526" spans="1:19" hidden="1">
      <c r="A2526" s="103" t="s">
        <v>4425</v>
      </c>
      <c r="B2526" s="94" t="str">
        <f>IFERROR(VLOOKUP(Proc[[#This Row],[App]],Table2[],3,0),"open")</f>
        <v>ok</v>
      </c>
      <c r="C2526" s="117" t="s">
        <v>369</v>
      </c>
      <c r="D2526" t="s">
        <v>4450</v>
      </c>
      <c r="E2526" t="s">
        <v>4740</v>
      </c>
      <c r="F2526" s="94" t="s">
        <v>4740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4787</v>
      </c>
      <c r="J2526" s="94" t="b">
        <f>Proc[[#This Row],[Requested]]=Proc[[#This Row],[CurrentParent]]</f>
        <v>1</v>
      </c>
      <c r="K2526" s="94" t="str">
        <f>IF(Proc[[#This Row],[Author]]="Marcela Urrego",VLOOKUP(LEFT(Proc[[#This Row],[Requested]],1),Table3[#All],2,0),VLOOKUP(Proc[[#This Row],[Author]],Table4[],2,0))</f>
        <v>MGF</v>
      </c>
      <c r="L2526" s="125" t="s">
        <v>4897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19</v>
      </c>
      <c r="R2526" s="110" t="s">
        <v>485</v>
      </c>
      <c r="S2526" s="94"/>
    </row>
    <row r="2527" spans="1:19" hidden="1">
      <c r="A2527" s="103" t="s">
        <v>4425</v>
      </c>
      <c r="B2527" s="94" t="str">
        <f>IFERROR(VLOOKUP(Proc[[#This Row],[App]],Table2[],3,0),"open")</f>
        <v>ok</v>
      </c>
      <c r="C2527" s="117" t="s">
        <v>369</v>
      </c>
      <c r="D2527" t="s">
        <v>4451</v>
      </c>
      <c r="E2527" t="s">
        <v>4740</v>
      </c>
      <c r="F2527" s="94" t="s">
        <v>4740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4787</v>
      </c>
      <c r="J2527" s="94" t="b">
        <f>Proc[[#This Row],[Requested]]=Proc[[#This Row],[CurrentParent]]</f>
        <v>1</v>
      </c>
      <c r="K2527" s="94" t="str">
        <f>IF(Proc[[#This Row],[Author]]="Marcela Urrego",VLOOKUP(LEFT(Proc[[#This Row],[Requested]],1),Table3[#All],2,0),VLOOKUP(Proc[[#This Row],[Author]],Table4[],2,0))</f>
        <v>MGF</v>
      </c>
      <c r="L2527" s="125" t="s">
        <v>4897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19</v>
      </c>
      <c r="R2527" s="110" t="s">
        <v>485</v>
      </c>
      <c r="S2527" s="94"/>
    </row>
    <row r="2528" spans="1:19" hidden="1">
      <c r="A2528" s="103" t="s">
        <v>4425</v>
      </c>
      <c r="B2528" s="94" t="str">
        <f>IFERROR(VLOOKUP(Proc[[#This Row],[App]],Table2[],3,0),"open")</f>
        <v>ok</v>
      </c>
      <c r="C2528" s="117" t="s">
        <v>369</v>
      </c>
      <c r="D2528" t="s">
        <v>4452</v>
      </c>
      <c r="E2528" t="s">
        <v>4742</v>
      </c>
      <c r="F2528" s="94" t="s">
        <v>4742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4787</v>
      </c>
      <c r="J2528" s="94" t="b">
        <f>Proc[[#This Row],[Requested]]=Proc[[#This Row],[CurrentParent]]</f>
        <v>1</v>
      </c>
      <c r="K2528" s="94" t="str">
        <f>IF(Proc[[#This Row],[Author]]="Marcela Urrego",VLOOKUP(LEFT(Proc[[#This Row],[Requested]],1),Table3[#All],2,0),VLOOKUP(Proc[[#This Row],[Author]],Table4[],2,0))</f>
        <v>MGF</v>
      </c>
      <c r="L2528" s="125" t="s">
        <v>4897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19</v>
      </c>
      <c r="R2528" s="110" t="s">
        <v>485</v>
      </c>
      <c r="S2528" s="94"/>
    </row>
    <row r="2529" spans="1:19" hidden="1">
      <c r="A2529" s="103" t="s">
        <v>4425</v>
      </c>
      <c r="B2529" s="94" t="str">
        <f>IFERROR(VLOOKUP(Proc[[#This Row],[App]],Table2[],3,0),"open")</f>
        <v>ok</v>
      </c>
      <c r="C2529" s="117" t="s">
        <v>369</v>
      </c>
      <c r="D2529" t="s">
        <v>4453</v>
      </c>
      <c r="E2529" t="s">
        <v>4740</v>
      </c>
      <c r="F2529" s="94" t="s">
        <v>4740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4787</v>
      </c>
      <c r="J2529" s="94" t="b">
        <f>Proc[[#This Row],[Requested]]=Proc[[#This Row],[CurrentParent]]</f>
        <v>1</v>
      </c>
      <c r="K2529" s="94" t="str">
        <f>IF(Proc[[#This Row],[Author]]="Marcela Urrego",VLOOKUP(LEFT(Proc[[#This Row],[Requested]],1),Table3[#All],2,0),VLOOKUP(Proc[[#This Row],[Author]],Table4[],2,0))</f>
        <v>MGF</v>
      </c>
      <c r="L2529" s="125" t="s">
        <v>4897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19</v>
      </c>
      <c r="R2529" s="110" t="s">
        <v>485</v>
      </c>
      <c r="S2529" s="94"/>
    </row>
    <row r="2530" spans="1:19" hidden="1">
      <c r="A2530" s="103" t="s">
        <v>4425</v>
      </c>
      <c r="B2530" s="94" t="str">
        <f>IFERROR(VLOOKUP(Proc[[#This Row],[App]],Table2[],3,0),"open")</f>
        <v>ok</v>
      </c>
      <c r="C2530" s="117" t="s">
        <v>369</v>
      </c>
      <c r="D2530" t="s">
        <v>4454</v>
      </c>
      <c r="E2530" t="s">
        <v>4740</v>
      </c>
      <c r="F2530" s="94" t="s">
        <v>4740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4787</v>
      </c>
      <c r="J2530" s="94" t="b">
        <f>Proc[[#This Row],[Requested]]=Proc[[#This Row],[CurrentParent]]</f>
        <v>1</v>
      </c>
      <c r="K2530" s="94" t="str">
        <f>IF(Proc[[#This Row],[Author]]="Marcela Urrego",VLOOKUP(LEFT(Proc[[#This Row],[Requested]],1),Table3[#All],2,0),VLOOKUP(Proc[[#This Row],[Author]],Table4[],2,0))</f>
        <v>MGF</v>
      </c>
      <c r="L2530" s="125" t="s">
        <v>4897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19</v>
      </c>
      <c r="R2530" s="110" t="s">
        <v>485</v>
      </c>
      <c r="S2530" s="94"/>
    </row>
    <row r="2531" spans="1:19" hidden="1">
      <c r="A2531" s="103" t="s">
        <v>4425</v>
      </c>
      <c r="B2531" s="94" t="str">
        <f>IFERROR(VLOOKUP(Proc[[#This Row],[App]],Table2[],3,0),"open")</f>
        <v>ok</v>
      </c>
      <c r="C2531" s="117" t="s">
        <v>369</v>
      </c>
      <c r="D2531" t="s">
        <v>4455</v>
      </c>
      <c r="E2531" t="s">
        <v>4740</v>
      </c>
      <c r="F2531" s="94" t="s">
        <v>4740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4787</v>
      </c>
      <c r="J2531" s="94" t="b">
        <f>Proc[[#This Row],[Requested]]=Proc[[#This Row],[CurrentParent]]</f>
        <v>1</v>
      </c>
      <c r="K2531" s="94" t="str">
        <f>IF(Proc[[#This Row],[Author]]="Marcela Urrego",VLOOKUP(LEFT(Proc[[#This Row],[Requested]],1),Table3[#All],2,0),VLOOKUP(Proc[[#This Row],[Author]],Table4[],2,0))</f>
        <v>MGF</v>
      </c>
      <c r="L2531" s="125" t="s">
        <v>4897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19</v>
      </c>
      <c r="R2531" s="110" t="s">
        <v>485</v>
      </c>
      <c r="S2531" s="94"/>
    </row>
    <row r="2532" spans="1:19" hidden="1">
      <c r="A2532" s="103" t="s">
        <v>4425</v>
      </c>
      <c r="B2532" s="94" t="str">
        <f>IFERROR(VLOOKUP(Proc[[#This Row],[App]],Table2[],3,0),"open")</f>
        <v>ok</v>
      </c>
      <c r="C2532" s="117" t="s">
        <v>369</v>
      </c>
      <c r="D2532" t="s">
        <v>4456</v>
      </c>
      <c r="E2532" t="s">
        <v>4742</v>
      </c>
      <c r="F2532" s="94" t="s">
        <v>4742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4787</v>
      </c>
      <c r="J2532" s="94" t="b">
        <f>Proc[[#This Row],[Requested]]=Proc[[#This Row],[CurrentParent]]</f>
        <v>1</v>
      </c>
      <c r="K2532" s="94" t="str">
        <f>IF(Proc[[#This Row],[Author]]="Marcela Urrego",VLOOKUP(LEFT(Proc[[#This Row],[Requested]],1),Table3[#All],2,0),VLOOKUP(Proc[[#This Row],[Author]],Table4[],2,0))</f>
        <v>MGF</v>
      </c>
      <c r="L2532" s="125" t="s">
        <v>4897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19</v>
      </c>
      <c r="R2532" s="110" t="s">
        <v>485</v>
      </c>
      <c r="S2532" s="94"/>
    </row>
    <row r="2533" spans="1:19" hidden="1">
      <c r="A2533" s="103" t="s">
        <v>4425</v>
      </c>
      <c r="B2533" s="94" t="str">
        <f>IFERROR(VLOOKUP(Proc[[#This Row],[App]],Table2[],3,0),"open")</f>
        <v>ok</v>
      </c>
      <c r="C2533" s="117" t="s">
        <v>369</v>
      </c>
      <c r="D2533" t="s">
        <v>4457</v>
      </c>
      <c r="E2533" t="s">
        <v>4740</v>
      </c>
      <c r="F2533" s="94" t="s">
        <v>4740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4787</v>
      </c>
      <c r="J2533" s="94" t="b">
        <f>Proc[[#This Row],[Requested]]=Proc[[#This Row],[CurrentParent]]</f>
        <v>1</v>
      </c>
      <c r="K2533" s="94" t="str">
        <f>IF(Proc[[#This Row],[Author]]="Marcela Urrego",VLOOKUP(LEFT(Proc[[#This Row],[Requested]],1),Table3[#All],2,0),VLOOKUP(Proc[[#This Row],[Author]],Table4[],2,0))</f>
        <v>MGF</v>
      </c>
      <c r="L2533" s="125" t="s">
        <v>4897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19</v>
      </c>
      <c r="R2533" s="110" t="s">
        <v>485</v>
      </c>
      <c r="S2533" s="94"/>
    </row>
    <row r="2534" spans="1:19" hidden="1">
      <c r="A2534" s="103" t="s">
        <v>4425</v>
      </c>
      <c r="B2534" s="94" t="str">
        <f>IFERROR(VLOOKUP(Proc[[#This Row],[App]],Table2[],3,0),"open")</f>
        <v>ok</v>
      </c>
      <c r="C2534" s="117" t="s">
        <v>369</v>
      </c>
      <c r="D2534" t="s">
        <v>4458</v>
      </c>
      <c r="E2534" t="s">
        <v>4740</v>
      </c>
      <c r="F2534" s="94" t="s">
        <v>4740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4787</v>
      </c>
      <c r="J2534" s="94" t="b">
        <f>Proc[[#This Row],[Requested]]=Proc[[#This Row],[CurrentParent]]</f>
        <v>1</v>
      </c>
      <c r="K2534" s="94" t="str">
        <f>IF(Proc[[#This Row],[Author]]="Marcela Urrego",VLOOKUP(LEFT(Proc[[#This Row],[Requested]],1),Table3[#All],2,0),VLOOKUP(Proc[[#This Row],[Author]],Table4[],2,0))</f>
        <v>MGF</v>
      </c>
      <c r="L2534" s="125" t="s">
        <v>4897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19</v>
      </c>
      <c r="R2534" s="110" t="s">
        <v>485</v>
      </c>
      <c r="S2534" s="94"/>
    </row>
    <row r="2535" spans="1:19" hidden="1">
      <c r="A2535" s="103" t="s">
        <v>4425</v>
      </c>
      <c r="B2535" s="94" t="str">
        <f>IFERROR(VLOOKUP(Proc[[#This Row],[App]],Table2[],3,0),"open")</f>
        <v>ok</v>
      </c>
      <c r="C2535" s="117" t="s">
        <v>369</v>
      </c>
      <c r="D2535" t="s">
        <v>4459</v>
      </c>
      <c r="E2535" t="s">
        <v>4740</v>
      </c>
      <c r="F2535" s="94" t="s">
        <v>4740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4787</v>
      </c>
      <c r="J2535" s="94" t="b">
        <f>Proc[[#This Row],[Requested]]=Proc[[#This Row],[CurrentParent]]</f>
        <v>1</v>
      </c>
      <c r="K2535" s="94" t="str">
        <f>IF(Proc[[#This Row],[Author]]="Marcela Urrego",VLOOKUP(LEFT(Proc[[#This Row],[Requested]],1),Table3[#All],2,0),VLOOKUP(Proc[[#This Row],[Author]],Table4[],2,0))</f>
        <v>MGF</v>
      </c>
      <c r="L2535" s="125" t="s">
        <v>4897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19</v>
      </c>
      <c r="R2535" s="110" t="s">
        <v>485</v>
      </c>
      <c r="S2535" s="94"/>
    </row>
    <row r="2536" spans="1:19" hidden="1">
      <c r="A2536" s="103" t="s">
        <v>4425</v>
      </c>
      <c r="B2536" s="94" t="str">
        <f>IFERROR(VLOOKUP(Proc[[#This Row],[App]],Table2[],3,0),"open")</f>
        <v>ok</v>
      </c>
      <c r="C2536" s="117" t="s">
        <v>369</v>
      </c>
      <c r="D2536" t="s">
        <v>4460</v>
      </c>
      <c r="E2536" t="s">
        <v>4741</v>
      </c>
      <c r="F2536" s="94" t="s">
        <v>4741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4787</v>
      </c>
      <c r="J2536" s="94" t="b">
        <f>Proc[[#This Row],[Requested]]=Proc[[#This Row],[CurrentParent]]</f>
        <v>1</v>
      </c>
      <c r="K2536" s="94" t="str">
        <f>IF(Proc[[#This Row],[Author]]="Marcela Urrego",VLOOKUP(LEFT(Proc[[#This Row],[Requested]],1),Table3[#All],2,0),VLOOKUP(Proc[[#This Row],[Author]],Table4[],2,0))</f>
        <v>MGF</v>
      </c>
      <c r="L2536" s="125" t="s">
        <v>4897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19</v>
      </c>
      <c r="R2536" s="110" t="s">
        <v>485</v>
      </c>
      <c r="S2536" s="94"/>
    </row>
    <row r="2537" spans="1:19" hidden="1">
      <c r="A2537" s="103" t="s">
        <v>4425</v>
      </c>
      <c r="B2537" s="94" t="str">
        <f>IFERROR(VLOOKUP(Proc[[#This Row],[App]],Table2[],3,0),"open")</f>
        <v>ok</v>
      </c>
      <c r="C2537" s="117" t="s">
        <v>369</v>
      </c>
      <c r="D2537" t="s">
        <v>4461</v>
      </c>
      <c r="E2537" t="s">
        <v>4740</v>
      </c>
      <c r="F2537" s="94" t="s">
        <v>4740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4787</v>
      </c>
      <c r="J2537" s="94" t="b">
        <f>Proc[[#This Row],[Requested]]=Proc[[#This Row],[CurrentParent]]</f>
        <v>1</v>
      </c>
      <c r="K2537" s="94" t="str">
        <f>IF(Proc[[#This Row],[Author]]="Marcela Urrego",VLOOKUP(LEFT(Proc[[#This Row],[Requested]],1),Table3[#All],2,0),VLOOKUP(Proc[[#This Row],[Author]],Table4[],2,0))</f>
        <v>MGF</v>
      </c>
      <c r="L2537" s="125" t="s">
        <v>4897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19</v>
      </c>
      <c r="R2537" s="110" t="s">
        <v>485</v>
      </c>
      <c r="S2537" s="94"/>
    </row>
    <row r="2538" spans="1:19" hidden="1">
      <c r="A2538" s="103" t="s">
        <v>4425</v>
      </c>
      <c r="B2538" s="94" t="str">
        <f>IFERROR(VLOOKUP(Proc[[#This Row],[App]],Table2[],3,0),"open")</f>
        <v>ok</v>
      </c>
      <c r="C2538" s="117" t="s">
        <v>369</v>
      </c>
      <c r="D2538" t="s">
        <v>4462</v>
      </c>
      <c r="E2538" t="s">
        <v>4742</v>
      </c>
      <c r="F2538" s="94" t="s">
        <v>4742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4787</v>
      </c>
      <c r="J2538" s="94" t="b">
        <f>Proc[[#This Row],[Requested]]=Proc[[#This Row],[CurrentParent]]</f>
        <v>1</v>
      </c>
      <c r="K2538" s="94" t="str">
        <f>IF(Proc[[#This Row],[Author]]="Marcela Urrego",VLOOKUP(LEFT(Proc[[#This Row],[Requested]],1),Table3[#All],2,0),VLOOKUP(Proc[[#This Row],[Author]],Table4[],2,0))</f>
        <v>MGF</v>
      </c>
      <c r="L2538" s="125" t="s">
        <v>4897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19</v>
      </c>
      <c r="R2538" s="110" t="s">
        <v>485</v>
      </c>
      <c r="S2538" s="94"/>
    </row>
    <row r="2539" spans="1:19" hidden="1">
      <c r="A2539" s="103" t="s">
        <v>4425</v>
      </c>
      <c r="B2539" s="94" t="str">
        <f>IFERROR(VLOOKUP(Proc[[#This Row],[App]],Table2[],3,0),"open")</f>
        <v>ok</v>
      </c>
      <c r="C2539" s="117" t="s">
        <v>369</v>
      </c>
      <c r="D2539" t="s">
        <v>4463</v>
      </c>
      <c r="E2539" t="s">
        <v>4742</v>
      </c>
      <c r="F2539" s="94" t="s">
        <v>4742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4787</v>
      </c>
      <c r="J2539" s="94" t="b">
        <f>Proc[[#This Row],[Requested]]=Proc[[#This Row],[CurrentParent]]</f>
        <v>1</v>
      </c>
      <c r="K2539" s="94" t="str">
        <f>IF(Proc[[#This Row],[Author]]="Marcela Urrego",VLOOKUP(LEFT(Proc[[#This Row],[Requested]],1),Table3[#All],2,0),VLOOKUP(Proc[[#This Row],[Author]],Table4[],2,0))</f>
        <v>MGF</v>
      </c>
      <c r="L2539" s="125" t="s">
        <v>4897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19</v>
      </c>
      <c r="R2539" s="110" t="s">
        <v>485</v>
      </c>
      <c r="S2539" s="94"/>
    </row>
    <row r="2540" spans="1:19" hidden="1">
      <c r="A2540" s="103" t="s">
        <v>4425</v>
      </c>
      <c r="B2540" s="94" t="str">
        <f>IFERROR(VLOOKUP(Proc[[#This Row],[App]],Table2[],3,0),"open")</f>
        <v>ok</v>
      </c>
      <c r="C2540" s="117" t="s">
        <v>369</v>
      </c>
      <c r="D2540" t="s">
        <v>4464</v>
      </c>
      <c r="E2540" t="s">
        <v>4740</v>
      </c>
      <c r="F2540" s="94" t="s">
        <v>4740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4787</v>
      </c>
      <c r="J2540" s="94" t="b">
        <f>Proc[[#This Row],[Requested]]=Proc[[#This Row],[CurrentParent]]</f>
        <v>1</v>
      </c>
      <c r="K2540" s="94" t="str">
        <f>IF(Proc[[#This Row],[Author]]="Marcela Urrego",VLOOKUP(LEFT(Proc[[#This Row],[Requested]],1),Table3[#All],2,0),VLOOKUP(Proc[[#This Row],[Author]],Table4[],2,0))</f>
        <v>MGF</v>
      </c>
      <c r="L2540" s="125" t="s">
        <v>4897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19</v>
      </c>
      <c r="R2540" s="110" t="s">
        <v>485</v>
      </c>
      <c r="S2540" s="94"/>
    </row>
    <row r="2541" spans="1:19" hidden="1">
      <c r="A2541" s="103" t="s">
        <v>4425</v>
      </c>
      <c r="B2541" s="94" t="str">
        <f>IFERROR(VLOOKUP(Proc[[#This Row],[App]],Table2[],3,0),"open")</f>
        <v>ok</v>
      </c>
      <c r="C2541" s="117" t="s">
        <v>369</v>
      </c>
      <c r="D2541" t="s">
        <v>4465</v>
      </c>
      <c r="E2541" t="s">
        <v>4740</v>
      </c>
      <c r="F2541" s="94" t="s">
        <v>4740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4787</v>
      </c>
      <c r="J2541" s="94" t="b">
        <f>Proc[[#This Row],[Requested]]=Proc[[#This Row],[CurrentParent]]</f>
        <v>1</v>
      </c>
      <c r="K2541" s="94" t="str">
        <f>IF(Proc[[#This Row],[Author]]="Marcela Urrego",VLOOKUP(LEFT(Proc[[#This Row],[Requested]],1),Table3[#All],2,0),VLOOKUP(Proc[[#This Row],[Author]],Table4[],2,0))</f>
        <v>MGF</v>
      </c>
      <c r="L2541" s="125" t="s">
        <v>4897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19</v>
      </c>
      <c r="R2541" s="110" t="s">
        <v>485</v>
      </c>
      <c r="S2541" s="94"/>
    </row>
    <row r="2542" spans="1:19" hidden="1">
      <c r="A2542" s="103" t="s">
        <v>4425</v>
      </c>
      <c r="B2542" s="94" t="str">
        <f>IFERROR(VLOOKUP(Proc[[#This Row],[App]],Table2[],3,0),"open")</f>
        <v>ok</v>
      </c>
      <c r="C2542" s="117" t="s">
        <v>369</v>
      </c>
      <c r="D2542" t="s">
        <v>4466</v>
      </c>
      <c r="E2542" t="s">
        <v>4740</v>
      </c>
      <c r="F2542" s="94" t="s">
        <v>4740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4787</v>
      </c>
      <c r="J2542" s="94" t="b">
        <f>Proc[[#This Row],[Requested]]=Proc[[#This Row],[CurrentParent]]</f>
        <v>1</v>
      </c>
      <c r="K2542" s="94" t="str">
        <f>IF(Proc[[#This Row],[Author]]="Marcela Urrego",VLOOKUP(LEFT(Proc[[#This Row],[Requested]],1),Table3[#All],2,0),VLOOKUP(Proc[[#This Row],[Author]],Table4[],2,0))</f>
        <v>MGF</v>
      </c>
      <c r="L2542" s="125" t="s">
        <v>4897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19</v>
      </c>
      <c r="R2542" s="110" t="s">
        <v>485</v>
      </c>
      <c r="S2542" s="94"/>
    </row>
    <row r="2543" spans="1:19" hidden="1">
      <c r="A2543" s="103" t="s">
        <v>4425</v>
      </c>
      <c r="B2543" s="94" t="str">
        <f>IFERROR(VLOOKUP(Proc[[#This Row],[App]],Table2[],3,0),"open")</f>
        <v>ok</v>
      </c>
      <c r="C2543" s="117" t="s">
        <v>369</v>
      </c>
      <c r="D2543" t="s">
        <v>4467</v>
      </c>
      <c r="E2543" t="s">
        <v>4741</v>
      </c>
      <c r="F2543" s="94" t="s">
        <v>4741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4787</v>
      </c>
      <c r="J2543" s="94" t="b">
        <f>Proc[[#This Row],[Requested]]=Proc[[#This Row],[CurrentParent]]</f>
        <v>1</v>
      </c>
      <c r="K2543" s="94" t="str">
        <f>IF(Proc[[#This Row],[Author]]="Marcela Urrego",VLOOKUP(LEFT(Proc[[#This Row],[Requested]],1),Table3[#All],2,0),VLOOKUP(Proc[[#This Row],[Author]],Table4[],2,0))</f>
        <v>MGF</v>
      </c>
      <c r="L2543" s="125" t="s">
        <v>4897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19</v>
      </c>
      <c r="R2543" s="110" t="s">
        <v>485</v>
      </c>
      <c r="S2543" s="94"/>
    </row>
    <row r="2544" spans="1:19" hidden="1">
      <c r="A2544" s="103" t="s">
        <v>4425</v>
      </c>
      <c r="B2544" s="94" t="str">
        <f>IFERROR(VLOOKUP(Proc[[#This Row],[App]],Table2[],3,0),"open")</f>
        <v>ok</v>
      </c>
      <c r="C2544" s="117" t="s">
        <v>369</v>
      </c>
      <c r="D2544" t="s">
        <v>4468</v>
      </c>
      <c r="E2544" t="s">
        <v>4741</v>
      </c>
      <c r="F2544" s="94" t="s">
        <v>4741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4787</v>
      </c>
      <c r="J2544" s="94" t="b">
        <f>Proc[[#This Row],[Requested]]=Proc[[#This Row],[CurrentParent]]</f>
        <v>1</v>
      </c>
      <c r="K2544" s="94" t="str">
        <f>IF(Proc[[#This Row],[Author]]="Marcela Urrego",VLOOKUP(LEFT(Proc[[#This Row],[Requested]],1),Table3[#All],2,0),VLOOKUP(Proc[[#This Row],[Author]],Table4[],2,0))</f>
        <v>MGF</v>
      </c>
      <c r="L2544" s="125" t="s">
        <v>4897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19</v>
      </c>
      <c r="R2544" s="110" t="s">
        <v>485</v>
      </c>
      <c r="S2544" s="94"/>
    </row>
    <row r="2545" spans="1:19" hidden="1">
      <c r="A2545" s="103" t="s">
        <v>4425</v>
      </c>
      <c r="B2545" s="94" t="str">
        <f>IFERROR(VLOOKUP(Proc[[#This Row],[App]],Table2[],3,0),"open")</f>
        <v>ok</v>
      </c>
      <c r="C2545" s="117" t="s">
        <v>369</v>
      </c>
      <c r="D2545" t="s">
        <v>4469</v>
      </c>
      <c r="E2545" t="s">
        <v>4741</v>
      </c>
      <c r="F2545" s="94" t="s">
        <v>4741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4787</v>
      </c>
      <c r="J2545" s="94" t="b">
        <f>Proc[[#This Row],[Requested]]=Proc[[#This Row],[CurrentParent]]</f>
        <v>1</v>
      </c>
      <c r="K2545" s="94" t="str">
        <f>IF(Proc[[#This Row],[Author]]="Marcela Urrego",VLOOKUP(LEFT(Proc[[#This Row],[Requested]],1),Table3[#All],2,0),VLOOKUP(Proc[[#This Row],[Author]],Table4[],2,0))</f>
        <v>MGF</v>
      </c>
      <c r="L2545" s="125" t="s">
        <v>4897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19</v>
      </c>
      <c r="R2545" s="110" t="s">
        <v>485</v>
      </c>
      <c r="S2545" s="94"/>
    </row>
    <row r="2546" spans="1:19" hidden="1">
      <c r="A2546" s="103" t="s">
        <v>4425</v>
      </c>
      <c r="B2546" s="94" t="str">
        <f>IFERROR(VLOOKUP(Proc[[#This Row],[App]],Table2[],3,0),"open")</f>
        <v>ok</v>
      </c>
      <c r="C2546" s="117" t="s">
        <v>369</v>
      </c>
      <c r="D2546" t="s">
        <v>4470</v>
      </c>
      <c r="E2546" t="s">
        <v>4741</v>
      </c>
      <c r="F2546" s="94" t="s">
        <v>4741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4787</v>
      </c>
      <c r="J2546" s="94" t="b">
        <f>Proc[[#This Row],[Requested]]=Proc[[#This Row],[CurrentParent]]</f>
        <v>1</v>
      </c>
      <c r="K2546" s="94" t="str">
        <f>IF(Proc[[#This Row],[Author]]="Marcela Urrego",VLOOKUP(LEFT(Proc[[#This Row],[Requested]],1),Table3[#All],2,0),VLOOKUP(Proc[[#This Row],[Author]],Table4[],2,0))</f>
        <v>MGF</v>
      </c>
      <c r="L2546" s="125" t="s">
        <v>4897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19</v>
      </c>
      <c r="R2546" s="110" t="s">
        <v>485</v>
      </c>
      <c r="S2546" s="94"/>
    </row>
    <row r="2547" spans="1:19" hidden="1">
      <c r="A2547" s="103" t="s">
        <v>4425</v>
      </c>
      <c r="B2547" s="94" t="str">
        <f>IFERROR(VLOOKUP(Proc[[#This Row],[App]],Table2[],3,0),"open")</f>
        <v>ok</v>
      </c>
      <c r="C2547" s="117" t="s">
        <v>369</v>
      </c>
      <c r="D2547" t="s">
        <v>4471</v>
      </c>
      <c r="E2547" t="s">
        <v>4741</v>
      </c>
      <c r="F2547" s="94" t="s">
        <v>4741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4787</v>
      </c>
      <c r="J2547" s="94" t="b">
        <f>Proc[[#This Row],[Requested]]=Proc[[#This Row],[CurrentParent]]</f>
        <v>1</v>
      </c>
      <c r="K2547" s="94" t="str">
        <f>IF(Proc[[#This Row],[Author]]="Marcela Urrego",VLOOKUP(LEFT(Proc[[#This Row],[Requested]],1),Table3[#All],2,0),VLOOKUP(Proc[[#This Row],[Author]],Table4[],2,0))</f>
        <v>MGF</v>
      </c>
      <c r="L2547" s="125" t="s">
        <v>4897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19</v>
      </c>
      <c r="R2547" s="110" t="s">
        <v>485</v>
      </c>
      <c r="S2547" s="94"/>
    </row>
    <row r="2548" spans="1:19" hidden="1">
      <c r="A2548" s="103" t="s">
        <v>4425</v>
      </c>
      <c r="B2548" s="94" t="str">
        <f>IFERROR(VLOOKUP(Proc[[#This Row],[App]],Table2[],3,0),"open")</f>
        <v>ok</v>
      </c>
      <c r="C2548" s="117" t="s">
        <v>369</v>
      </c>
      <c r="D2548" t="s">
        <v>4472</v>
      </c>
      <c r="E2548" t="s">
        <v>4741</v>
      </c>
      <c r="F2548" s="94" t="s">
        <v>4741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4787</v>
      </c>
      <c r="J2548" s="94" t="b">
        <f>Proc[[#This Row],[Requested]]=Proc[[#This Row],[CurrentParent]]</f>
        <v>1</v>
      </c>
      <c r="K2548" s="94" t="str">
        <f>IF(Proc[[#This Row],[Author]]="Marcela Urrego",VLOOKUP(LEFT(Proc[[#This Row],[Requested]],1),Table3[#All],2,0),VLOOKUP(Proc[[#This Row],[Author]],Table4[],2,0))</f>
        <v>MGF</v>
      </c>
      <c r="L2548" s="125" t="s">
        <v>4897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19</v>
      </c>
      <c r="R2548" s="110" t="s">
        <v>485</v>
      </c>
      <c r="S2548" s="94"/>
    </row>
    <row r="2549" spans="1:19" hidden="1">
      <c r="A2549" s="103" t="s">
        <v>4425</v>
      </c>
      <c r="B2549" s="94" t="str">
        <f>IFERROR(VLOOKUP(Proc[[#This Row],[App]],Table2[],3,0),"open")</f>
        <v>ok</v>
      </c>
      <c r="C2549" s="117" t="s">
        <v>369</v>
      </c>
      <c r="D2549" t="s">
        <v>4473</v>
      </c>
      <c r="E2549" t="s">
        <v>4741</v>
      </c>
      <c r="F2549" s="94" t="s">
        <v>4741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4787</v>
      </c>
      <c r="J2549" s="94" t="b">
        <f>Proc[[#This Row],[Requested]]=Proc[[#This Row],[CurrentParent]]</f>
        <v>1</v>
      </c>
      <c r="K2549" s="94" t="str">
        <f>IF(Proc[[#This Row],[Author]]="Marcela Urrego",VLOOKUP(LEFT(Proc[[#This Row],[Requested]],1),Table3[#All],2,0),VLOOKUP(Proc[[#This Row],[Author]],Table4[],2,0))</f>
        <v>MGF</v>
      </c>
      <c r="L2549" s="125" t="s">
        <v>4897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19</v>
      </c>
      <c r="R2549" s="110" t="s">
        <v>485</v>
      </c>
      <c r="S2549" s="94"/>
    </row>
    <row r="2550" spans="1:19" hidden="1">
      <c r="A2550" s="103" t="s">
        <v>4425</v>
      </c>
      <c r="B2550" s="94" t="str">
        <f>IFERROR(VLOOKUP(Proc[[#This Row],[App]],Table2[],3,0),"open")</f>
        <v>ok</v>
      </c>
      <c r="C2550" s="117" t="s">
        <v>369</v>
      </c>
      <c r="D2550" t="s">
        <v>4474</v>
      </c>
      <c r="E2550" t="s">
        <v>4741</v>
      </c>
      <c r="F2550" s="94" t="s">
        <v>4741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4787</v>
      </c>
      <c r="J2550" s="94" t="b">
        <f>Proc[[#This Row],[Requested]]=Proc[[#This Row],[CurrentParent]]</f>
        <v>1</v>
      </c>
      <c r="K2550" s="94" t="str">
        <f>IF(Proc[[#This Row],[Author]]="Marcela Urrego",VLOOKUP(LEFT(Proc[[#This Row],[Requested]],1),Table3[#All],2,0),VLOOKUP(Proc[[#This Row],[Author]],Table4[],2,0))</f>
        <v>MGF</v>
      </c>
      <c r="L2550" s="125" t="s">
        <v>4897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19</v>
      </c>
      <c r="R2550" s="110" t="s">
        <v>485</v>
      </c>
      <c r="S2550" s="94"/>
    </row>
    <row r="2551" spans="1:19" hidden="1">
      <c r="A2551" s="103" t="s">
        <v>4425</v>
      </c>
      <c r="B2551" s="94" t="str">
        <f>IFERROR(VLOOKUP(Proc[[#This Row],[App]],Table2[],3,0),"open")</f>
        <v>ok</v>
      </c>
      <c r="C2551" s="117" t="s">
        <v>369</v>
      </c>
      <c r="D2551" t="s">
        <v>4475</v>
      </c>
      <c r="E2551" t="s">
        <v>4741</v>
      </c>
      <c r="F2551" s="94" t="s">
        <v>4741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4787</v>
      </c>
      <c r="J2551" s="94" t="b">
        <f>Proc[[#This Row],[Requested]]=Proc[[#This Row],[CurrentParent]]</f>
        <v>1</v>
      </c>
      <c r="K2551" s="94" t="str">
        <f>IF(Proc[[#This Row],[Author]]="Marcela Urrego",VLOOKUP(LEFT(Proc[[#This Row],[Requested]],1),Table3[#All],2,0),VLOOKUP(Proc[[#This Row],[Author]],Table4[],2,0))</f>
        <v>MGF</v>
      </c>
      <c r="L2551" s="125" t="s">
        <v>4897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19</v>
      </c>
      <c r="R2551" s="110" t="s">
        <v>485</v>
      </c>
      <c r="S2551" s="94"/>
    </row>
    <row r="2552" spans="1:19" hidden="1">
      <c r="A2552" s="103" t="s">
        <v>4425</v>
      </c>
      <c r="B2552" s="94" t="str">
        <f>IFERROR(VLOOKUP(Proc[[#This Row],[App]],Table2[],3,0),"open")</f>
        <v>ok</v>
      </c>
      <c r="C2552" s="117" t="s">
        <v>369</v>
      </c>
      <c r="D2552" t="s">
        <v>4476</v>
      </c>
      <c r="E2552" t="s">
        <v>4741</v>
      </c>
      <c r="F2552" s="94" t="s">
        <v>4741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4787</v>
      </c>
      <c r="J2552" s="94" t="b">
        <f>Proc[[#This Row],[Requested]]=Proc[[#This Row],[CurrentParent]]</f>
        <v>1</v>
      </c>
      <c r="K2552" s="94" t="str">
        <f>IF(Proc[[#This Row],[Author]]="Marcela Urrego",VLOOKUP(LEFT(Proc[[#This Row],[Requested]],1),Table3[#All],2,0),VLOOKUP(Proc[[#This Row],[Author]],Table4[],2,0))</f>
        <v>MGF</v>
      </c>
      <c r="L2552" s="125" t="s">
        <v>4897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19</v>
      </c>
      <c r="R2552" s="110" t="s">
        <v>485</v>
      </c>
      <c r="S2552" s="94"/>
    </row>
    <row r="2553" spans="1:19" hidden="1">
      <c r="A2553" s="103" t="s">
        <v>4425</v>
      </c>
      <c r="B2553" s="94" t="str">
        <f>IFERROR(VLOOKUP(Proc[[#This Row],[App]],Table2[],3,0),"open")</f>
        <v>ok</v>
      </c>
      <c r="C2553" s="117" t="s">
        <v>369</v>
      </c>
      <c r="D2553" t="s">
        <v>4477</v>
      </c>
      <c r="E2553" t="s">
        <v>4741</v>
      </c>
      <c r="F2553" s="94" t="s">
        <v>4741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4787</v>
      </c>
      <c r="J2553" s="94" t="b">
        <f>Proc[[#This Row],[Requested]]=Proc[[#This Row],[CurrentParent]]</f>
        <v>1</v>
      </c>
      <c r="K2553" s="94" t="str">
        <f>IF(Proc[[#This Row],[Author]]="Marcela Urrego",VLOOKUP(LEFT(Proc[[#This Row],[Requested]],1),Table3[#All],2,0),VLOOKUP(Proc[[#This Row],[Author]],Table4[],2,0))</f>
        <v>MGF</v>
      </c>
      <c r="L2553" s="125" t="s">
        <v>4897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19</v>
      </c>
      <c r="R2553" s="110" t="s">
        <v>485</v>
      </c>
      <c r="S2553" s="94"/>
    </row>
    <row r="2554" spans="1:19" hidden="1">
      <c r="A2554" s="103" t="s">
        <v>4425</v>
      </c>
      <c r="B2554" s="94" t="str">
        <f>IFERROR(VLOOKUP(Proc[[#This Row],[App]],Table2[],3,0),"open")</f>
        <v>ok</v>
      </c>
      <c r="C2554" s="117" t="s">
        <v>369</v>
      </c>
      <c r="D2554" t="s">
        <v>4478</v>
      </c>
      <c r="E2554" t="s">
        <v>4741</v>
      </c>
      <c r="F2554" s="94" t="s">
        <v>4741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4787</v>
      </c>
      <c r="J2554" s="94" t="b">
        <f>Proc[[#This Row],[Requested]]=Proc[[#This Row],[CurrentParent]]</f>
        <v>1</v>
      </c>
      <c r="K2554" s="94" t="str">
        <f>IF(Proc[[#This Row],[Author]]="Marcela Urrego",VLOOKUP(LEFT(Proc[[#This Row],[Requested]],1),Table3[#All],2,0),VLOOKUP(Proc[[#This Row],[Author]],Table4[],2,0))</f>
        <v>MGF</v>
      </c>
      <c r="L2554" s="125" t="s">
        <v>4897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19</v>
      </c>
      <c r="R2554" s="110" t="s">
        <v>485</v>
      </c>
      <c r="S2554" s="94"/>
    </row>
    <row r="2555" spans="1:19" hidden="1">
      <c r="A2555" s="103" t="s">
        <v>4425</v>
      </c>
      <c r="B2555" s="94" t="str">
        <f>IFERROR(VLOOKUP(Proc[[#This Row],[App]],Table2[],3,0),"open")</f>
        <v>ok</v>
      </c>
      <c r="C2555" s="117" t="s">
        <v>369</v>
      </c>
      <c r="D2555" t="s">
        <v>4479</v>
      </c>
      <c r="E2555" t="s">
        <v>4741</v>
      </c>
      <c r="F2555" s="94" t="s">
        <v>4741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4787</v>
      </c>
      <c r="J2555" s="94" t="b">
        <f>Proc[[#This Row],[Requested]]=Proc[[#This Row],[CurrentParent]]</f>
        <v>1</v>
      </c>
      <c r="K2555" s="94" t="str">
        <f>IF(Proc[[#This Row],[Author]]="Marcela Urrego",VLOOKUP(LEFT(Proc[[#This Row],[Requested]],1),Table3[#All],2,0),VLOOKUP(Proc[[#This Row],[Author]],Table4[],2,0))</f>
        <v>MGF</v>
      </c>
      <c r="L2555" s="125" t="s">
        <v>4897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19</v>
      </c>
      <c r="R2555" s="110" t="s">
        <v>485</v>
      </c>
      <c r="S2555" s="94"/>
    </row>
    <row r="2556" spans="1:19" hidden="1">
      <c r="A2556" s="103" t="s">
        <v>4425</v>
      </c>
      <c r="B2556" s="94" t="str">
        <f>IFERROR(VLOOKUP(Proc[[#This Row],[App]],Table2[],3,0),"open")</f>
        <v>ok</v>
      </c>
      <c r="C2556" s="117" t="s">
        <v>369</v>
      </c>
      <c r="D2556" t="s">
        <v>4480</v>
      </c>
      <c r="E2556" t="s">
        <v>4741</v>
      </c>
      <c r="F2556" s="94" t="s">
        <v>4741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4787</v>
      </c>
      <c r="J2556" s="94" t="b">
        <f>Proc[[#This Row],[Requested]]=Proc[[#This Row],[CurrentParent]]</f>
        <v>1</v>
      </c>
      <c r="K2556" s="94" t="str">
        <f>IF(Proc[[#This Row],[Author]]="Marcela Urrego",VLOOKUP(LEFT(Proc[[#This Row],[Requested]],1),Table3[#All],2,0),VLOOKUP(Proc[[#This Row],[Author]],Table4[],2,0))</f>
        <v>MGF</v>
      </c>
      <c r="L2556" s="125" t="s">
        <v>4897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19</v>
      </c>
      <c r="R2556" s="110" t="s">
        <v>485</v>
      </c>
      <c r="S2556" s="94"/>
    </row>
    <row r="2557" spans="1:19" hidden="1">
      <c r="A2557" s="103" t="s">
        <v>4425</v>
      </c>
      <c r="B2557" s="94" t="str">
        <f>IFERROR(VLOOKUP(Proc[[#This Row],[App]],Table2[],3,0),"open")</f>
        <v>ok</v>
      </c>
      <c r="C2557" s="117" t="s">
        <v>369</v>
      </c>
      <c r="D2557" t="s">
        <v>4481</v>
      </c>
      <c r="E2557" t="s">
        <v>4740</v>
      </c>
      <c r="F2557" s="94" t="s">
        <v>4740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4787</v>
      </c>
      <c r="J2557" s="94" t="b">
        <f>Proc[[#This Row],[Requested]]=Proc[[#This Row],[CurrentParent]]</f>
        <v>1</v>
      </c>
      <c r="K2557" s="94" t="str">
        <f>IF(Proc[[#This Row],[Author]]="Marcela Urrego",VLOOKUP(LEFT(Proc[[#This Row],[Requested]],1),Table3[#All],2,0),VLOOKUP(Proc[[#This Row],[Author]],Table4[],2,0))</f>
        <v>MGF</v>
      </c>
      <c r="L2557" s="125" t="s">
        <v>4897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19</v>
      </c>
      <c r="R2557" s="110" t="s">
        <v>485</v>
      </c>
      <c r="S2557" s="94"/>
    </row>
    <row r="2558" spans="1:19" hidden="1">
      <c r="A2558" s="103" t="s">
        <v>4425</v>
      </c>
      <c r="B2558" s="94" t="str">
        <f>IFERROR(VLOOKUP(Proc[[#This Row],[App]],Table2[],3,0),"open")</f>
        <v>ok</v>
      </c>
      <c r="C2558" s="117" t="s">
        <v>369</v>
      </c>
      <c r="D2558" t="s">
        <v>4482</v>
      </c>
      <c r="E2558" t="s">
        <v>4740</v>
      </c>
      <c r="F2558" s="94" t="s">
        <v>4740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4787</v>
      </c>
      <c r="J2558" s="94" t="b">
        <f>Proc[[#This Row],[Requested]]=Proc[[#This Row],[CurrentParent]]</f>
        <v>1</v>
      </c>
      <c r="K2558" s="94" t="str">
        <f>IF(Proc[[#This Row],[Author]]="Marcela Urrego",VLOOKUP(LEFT(Proc[[#This Row],[Requested]],1),Table3[#All],2,0),VLOOKUP(Proc[[#This Row],[Author]],Table4[],2,0))</f>
        <v>MGF</v>
      </c>
      <c r="L2558" s="125" t="s">
        <v>4897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19</v>
      </c>
      <c r="R2558" s="110" t="s">
        <v>485</v>
      </c>
      <c r="S2558" s="94"/>
    </row>
    <row r="2559" spans="1:19" hidden="1">
      <c r="A2559" s="103" t="s">
        <v>4425</v>
      </c>
      <c r="B2559" s="94" t="str">
        <f>IFERROR(VLOOKUP(Proc[[#This Row],[App]],Table2[],3,0),"open")</f>
        <v>ok</v>
      </c>
      <c r="C2559" s="117" t="s">
        <v>369</v>
      </c>
      <c r="D2559" t="s">
        <v>4483</v>
      </c>
      <c r="E2559" t="s">
        <v>4740</v>
      </c>
      <c r="F2559" s="94" t="s">
        <v>4740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4787</v>
      </c>
      <c r="J2559" s="94" t="b">
        <f>Proc[[#This Row],[Requested]]=Proc[[#This Row],[CurrentParent]]</f>
        <v>1</v>
      </c>
      <c r="K2559" s="94" t="str">
        <f>IF(Proc[[#This Row],[Author]]="Marcela Urrego",VLOOKUP(LEFT(Proc[[#This Row],[Requested]],1),Table3[#All],2,0),VLOOKUP(Proc[[#This Row],[Author]],Table4[],2,0))</f>
        <v>MGF</v>
      </c>
      <c r="L2559" s="125" t="s">
        <v>4897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19</v>
      </c>
      <c r="R2559" s="110" t="s">
        <v>485</v>
      </c>
      <c r="S2559" s="94"/>
    </row>
    <row r="2560" spans="1:19" hidden="1">
      <c r="A2560" s="103" t="s">
        <v>4425</v>
      </c>
      <c r="B2560" s="94" t="str">
        <f>IFERROR(VLOOKUP(Proc[[#This Row],[App]],Table2[],3,0),"open")</f>
        <v>ok</v>
      </c>
      <c r="C2560" s="117" t="s">
        <v>369</v>
      </c>
      <c r="D2560" t="s">
        <v>4484</v>
      </c>
      <c r="E2560" t="s">
        <v>4741</v>
      </c>
      <c r="F2560" s="94" t="s">
        <v>4741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4787</v>
      </c>
      <c r="J2560" s="94" t="b">
        <f>Proc[[#This Row],[Requested]]=Proc[[#This Row],[CurrentParent]]</f>
        <v>1</v>
      </c>
      <c r="K2560" s="94" t="str">
        <f>IF(Proc[[#This Row],[Author]]="Marcela Urrego",VLOOKUP(LEFT(Proc[[#This Row],[Requested]],1),Table3[#All],2,0),VLOOKUP(Proc[[#This Row],[Author]],Table4[],2,0))</f>
        <v>MGF</v>
      </c>
      <c r="L2560" s="125" t="s">
        <v>4897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19</v>
      </c>
      <c r="R2560" s="110" t="s">
        <v>485</v>
      </c>
      <c r="S2560" s="94"/>
    </row>
    <row r="2561" spans="1:19" hidden="1">
      <c r="A2561" s="103" t="s">
        <v>4425</v>
      </c>
      <c r="B2561" s="94" t="str">
        <f>IFERROR(VLOOKUP(Proc[[#This Row],[App]],Table2[],3,0),"open")</f>
        <v>ok</v>
      </c>
      <c r="C2561" s="117" t="s">
        <v>369</v>
      </c>
      <c r="D2561" t="s">
        <v>4485</v>
      </c>
      <c r="E2561" t="s">
        <v>4741</v>
      </c>
      <c r="F2561" s="94" t="s">
        <v>4741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4787</v>
      </c>
      <c r="J2561" s="94" t="b">
        <f>Proc[[#This Row],[Requested]]=Proc[[#This Row],[CurrentParent]]</f>
        <v>1</v>
      </c>
      <c r="K2561" s="94" t="str">
        <f>IF(Proc[[#This Row],[Author]]="Marcela Urrego",VLOOKUP(LEFT(Proc[[#This Row],[Requested]],1),Table3[#All],2,0),VLOOKUP(Proc[[#This Row],[Author]],Table4[],2,0))</f>
        <v>MGF</v>
      </c>
      <c r="L2561" s="125" t="s">
        <v>4897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19</v>
      </c>
      <c r="R2561" s="110" t="s">
        <v>485</v>
      </c>
      <c r="S2561" s="94"/>
    </row>
    <row r="2562" spans="1:19" hidden="1">
      <c r="A2562" s="103" t="s">
        <v>4425</v>
      </c>
      <c r="B2562" s="94" t="str">
        <f>IFERROR(VLOOKUP(Proc[[#This Row],[App]],Table2[],3,0),"open")</f>
        <v>ok</v>
      </c>
      <c r="C2562" s="117" t="s">
        <v>369</v>
      </c>
      <c r="D2562" t="s">
        <v>4486</v>
      </c>
      <c r="E2562" t="s">
        <v>4741</v>
      </c>
      <c r="F2562" s="94" t="s">
        <v>4741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4787</v>
      </c>
      <c r="J2562" s="94" t="b">
        <f>Proc[[#This Row],[Requested]]=Proc[[#This Row],[CurrentParent]]</f>
        <v>1</v>
      </c>
      <c r="K2562" s="94" t="str">
        <f>IF(Proc[[#This Row],[Author]]="Marcela Urrego",VLOOKUP(LEFT(Proc[[#This Row],[Requested]],1),Table3[#All],2,0),VLOOKUP(Proc[[#This Row],[Author]],Table4[],2,0))</f>
        <v>MGF</v>
      </c>
      <c r="L2562" s="125" t="s">
        <v>4897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19</v>
      </c>
      <c r="R2562" s="110" t="s">
        <v>485</v>
      </c>
      <c r="S2562" s="94"/>
    </row>
    <row r="2563" spans="1:19" hidden="1">
      <c r="A2563" s="103" t="s">
        <v>4425</v>
      </c>
      <c r="B2563" s="94" t="str">
        <f>IFERROR(VLOOKUP(Proc[[#This Row],[App]],Table2[],3,0),"open")</f>
        <v>ok</v>
      </c>
      <c r="C2563" s="117" t="s">
        <v>369</v>
      </c>
      <c r="D2563" t="s">
        <v>4487</v>
      </c>
      <c r="E2563" t="s">
        <v>4741</v>
      </c>
      <c r="F2563" s="94" t="s">
        <v>4741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4787</v>
      </c>
      <c r="J2563" s="94" t="b">
        <f>Proc[[#This Row],[Requested]]=Proc[[#This Row],[CurrentParent]]</f>
        <v>1</v>
      </c>
      <c r="K2563" s="94" t="str">
        <f>IF(Proc[[#This Row],[Author]]="Marcela Urrego",VLOOKUP(LEFT(Proc[[#This Row],[Requested]],1),Table3[#All],2,0),VLOOKUP(Proc[[#This Row],[Author]],Table4[],2,0))</f>
        <v>MGF</v>
      </c>
      <c r="L2563" s="125" t="s">
        <v>4897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19</v>
      </c>
      <c r="R2563" s="110" t="s">
        <v>485</v>
      </c>
      <c r="S2563" s="94"/>
    </row>
    <row r="2564" spans="1:19" hidden="1">
      <c r="A2564" s="103" t="s">
        <v>4425</v>
      </c>
      <c r="B2564" s="94" t="str">
        <f>IFERROR(VLOOKUP(Proc[[#This Row],[App]],Table2[],3,0),"open")</f>
        <v>ok</v>
      </c>
      <c r="C2564" s="117" t="s">
        <v>369</v>
      </c>
      <c r="D2564" t="s">
        <v>4488</v>
      </c>
      <c r="E2564" t="s">
        <v>4741</v>
      </c>
      <c r="F2564" s="94" t="s">
        <v>4741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4787</v>
      </c>
      <c r="J2564" s="94" t="b">
        <f>Proc[[#This Row],[Requested]]=Proc[[#This Row],[CurrentParent]]</f>
        <v>1</v>
      </c>
      <c r="K2564" s="94" t="str">
        <f>IF(Proc[[#This Row],[Author]]="Marcela Urrego",VLOOKUP(LEFT(Proc[[#This Row],[Requested]],1),Table3[#All],2,0),VLOOKUP(Proc[[#This Row],[Author]],Table4[],2,0))</f>
        <v>MGF</v>
      </c>
      <c r="L2564" s="125" t="s">
        <v>4897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19</v>
      </c>
      <c r="R2564" s="110" t="s">
        <v>485</v>
      </c>
      <c r="S2564" s="94"/>
    </row>
    <row r="2565" spans="1:19" hidden="1">
      <c r="A2565" s="103" t="s">
        <v>4425</v>
      </c>
      <c r="B2565" s="94" t="str">
        <f>IFERROR(VLOOKUP(Proc[[#This Row],[App]],Table2[],3,0),"open")</f>
        <v>ok</v>
      </c>
      <c r="C2565" s="117" t="s">
        <v>369</v>
      </c>
      <c r="D2565" t="s">
        <v>4489</v>
      </c>
      <c r="E2565" t="s">
        <v>4741</v>
      </c>
      <c r="F2565" s="94" t="s">
        <v>4741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4787</v>
      </c>
      <c r="J2565" s="94" t="b">
        <f>Proc[[#This Row],[Requested]]=Proc[[#This Row],[CurrentParent]]</f>
        <v>1</v>
      </c>
      <c r="K2565" s="94" t="str">
        <f>IF(Proc[[#This Row],[Author]]="Marcela Urrego",VLOOKUP(LEFT(Proc[[#This Row],[Requested]],1),Table3[#All],2,0),VLOOKUP(Proc[[#This Row],[Author]],Table4[],2,0))</f>
        <v>MGF</v>
      </c>
      <c r="L2565" s="125" t="s">
        <v>4897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19</v>
      </c>
      <c r="R2565" s="110" t="s">
        <v>485</v>
      </c>
      <c r="S2565" s="94"/>
    </row>
    <row r="2566" spans="1:19" hidden="1">
      <c r="A2566" s="103" t="s">
        <v>4425</v>
      </c>
      <c r="B2566" s="94" t="str">
        <f>IFERROR(VLOOKUP(Proc[[#This Row],[App]],Table2[],3,0),"open")</f>
        <v>ok</v>
      </c>
      <c r="C2566" s="117" t="s">
        <v>369</v>
      </c>
      <c r="D2566" t="s">
        <v>4490</v>
      </c>
      <c r="E2566" t="s">
        <v>4741</v>
      </c>
      <c r="F2566" s="94" t="s">
        <v>4741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4787</v>
      </c>
      <c r="J2566" s="94" t="b">
        <f>Proc[[#This Row],[Requested]]=Proc[[#This Row],[CurrentParent]]</f>
        <v>1</v>
      </c>
      <c r="K2566" s="94" t="str">
        <f>IF(Proc[[#This Row],[Author]]="Marcela Urrego",VLOOKUP(LEFT(Proc[[#This Row],[Requested]],1),Table3[#All],2,0),VLOOKUP(Proc[[#This Row],[Author]],Table4[],2,0))</f>
        <v>MGF</v>
      </c>
      <c r="L2566" s="125" t="s">
        <v>4897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19</v>
      </c>
      <c r="R2566" s="110" t="s">
        <v>485</v>
      </c>
      <c r="S2566" s="94"/>
    </row>
    <row r="2567" spans="1:19" hidden="1">
      <c r="A2567" s="103" t="s">
        <v>4425</v>
      </c>
      <c r="B2567" s="94" t="str">
        <f>IFERROR(VLOOKUP(Proc[[#This Row],[App]],Table2[],3,0),"open")</f>
        <v>ok</v>
      </c>
      <c r="C2567" s="117" t="s">
        <v>369</v>
      </c>
      <c r="D2567" t="s">
        <v>4491</v>
      </c>
      <c r="E2567" t="s">
        <v>4741</v>
      </c>
      <c r="F2567" s="94" t="s">
        <v>4741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4787</v>
      </c>
      <c r="J2567" s="94" t="b">
        <f>Proc[[#This Row],[Requested]]=Proc[[#This Row],[CurrentParent]]</f>
        <v>1</v>
      </c>
      <c r="K2567" s="94" t="str">
        <f>IF(Proc[[#This Row],[Author]]="Marcela Urrego",VLOOKUP(LEFT(Proc[[#This Row],[Requested]],1),Table3[#All],2,0),VLOOKUP(Proc[[#This Row],[Author]],Table4[],2,0))</f>
        <v>MGF</v>
      </c>
      <c r="L2567" s="125" t="s">
        <v>4897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19</v>
      </c>
      <c r="R2567" s="110" t="s">
        <v>485</v>
      </c>
      <c r="S2567" s="94"/>
    </row>
    <row r="2568" spans="1:19" hidden="1">
      <c r="A2568" s="103" t="s">
        <v>4425</v>
      </c>
      <c r="B2568" s="94" t="str">
        <f>IFERROR(VLOOKUP(Proc[[#This Row],[App]],Table2[],3,0),"open")</f>
        <v>ok</v>
      </c>
      <c r="C2568" s="117" t="s">
        <v>369</v>
      </c>
      <c r="D2568" t="s">
        <v>4492</v>
      </c>
      <c r="E2568" t="s">
        <v>4741</v>
      </c>
      <c r="F2568" s="94" t="s">
        <v>4741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4787</v>
      </c>
      <c r="J2568" s="94" t="b">
        <f>Proc[[#This Row],[Requested]]=Proc[[#This Row],[CurrentParent]]</f>
        <v>1</v>
      </c>
      <c r="K2568" s="94" t="str">
        <f>IF(Proc[[#This Row],[Author]]="Marcela Urrego",VLOOKUP(LEFT(Proc[[#This Row],[Requested]],1),Table3[#All],2,0),VLOOKUP(Proc[[#This Row],[Author]],Table4[],2,0))</f>
        <v>MGF</v>
      </c>
      <c r="L2568" s="125" t="s">
        <v>4897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19</v>
      </c>
      <c r="R2568" s="110" t="s">
        <v>485</v>
      </c>
      <c r="S2568" s="94"/>
    </row>
    <row r="2569" spans="1:19" hidden="1">
      <c r="A2569" s="103" t="s">
        <v>4425</v>
      </c>
      <c r="B2569" s="94" t="str">
        <f>IFERROR(VLOOKUP(Proc[[#This Row],[App]],Table2[],3,0),"open")</f>
        <v>ok</v>
      </c>
      <c r="C2569" s="117" t="s">
        <v>369</v>
      </c>
      <c r="D2569" t="s">
        <v>4493</v>
      </c>
      <c r="E2569" t="s">
        <v>4741</v>
      </c>
      <c r="F2569" s="94" t="s">
        <v>4741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4787</v>
      </c>
      <c r="J2569" s="94" t="b">
        <f>Proc[[#This Row],[Requested]]=Proc[[#This Row],[CurrentParent]]</f>
        <v>1</v>
      </c>
      <c r="K2569" s="94" t="str">
        <f>IF(Proc[[#This Row],[Author]]="Marcela Urrego",VLOOKUP(LEFT(Proc[[#This Row],[Requested]],1),Table3[#All],2,0),VLOOKUP(Proc[[#This Row],[Author]],Table4[],2,0))</f>
        <v>MGF</v>
      </c>
      <c r="L2569" s="125" t="s">
        <v>4897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19</v>
      </c>
      <c r="R2569" s="110" t="s">
        <v>485</v>
      </c>
      <c r="S2569" s="94"/>
    </row>
    <row r="2570" spans="1:19" hidden="1">
      <c r="A2570" s="103" t="s">
        <v>4425</v>
      </c>
      <c r="B2570" s="94" t="str">
        <f>IFERROR(VLOOKUP(Proc[[#This Row],[App]],Table2[],3,0),"open")</f>
        <v>ok</v>
      </c>
      <c r="C2570" s="117" t="s">
        <v>369</v>
      </c>
      <c r="D2570" t="s">
        <v>4494</v>
      </c>
      <c r="E2570" t="s">
        <v>4741</v>
      </c>
      <c r="F2570" s="94" t="s">
        <v>4741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4787</v>
      </c>
      <c r="J2570" s="94" t="b">
        <f>Proc[[#This Row],[Requested]]=Proc[[#This Row],[CurrentParent]]</f>
        <v>1</v>
      </c>
      <c r="K2570" s="94" t="str">
        <f>IF(Proc[[#This Row],[Author]]="Marcela Urrego",VLOOKUP(LEFT(Proc[[#This Row],[Requested]],1),Table3[#All],2,0),VLOOKUP(Proc[[#This Row],[Author]],Table4[],2,0))</f>
        <v>MGF</v>
      </c>
      <c r="L2570" s="125" t="s">
        <v>4897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19</v>
      </c>
      <c r="R2570" s="110" t="s">
        <v>485</v>
      </c>
      <c r="S2570" s="94"/>
    </row>
    <row r="2571" spans="1:19" hidden="1">
      <c r="A2571" s="103" t="s">
        <v>4425</v>
      </c>
      <c r="B2571" s="94" t="str">
        <f>IFERROR(VLOOKUP(Proc[[#This Row],[App]],Table2[],3,0),"open")</f>
        <v>ok</v>
      </c>
      <c r="C2571" s="117" t="s">
        <v>369</v>
      </c>
      <c r="D2571" t="s">
        <v>4495</v>
      </c>
      <c r="E2571" t="s">
        <v>4741</v>
      </c>
      <c r="F2571" s="94" t="s">
        <v>4741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4787</v>
      </c>
      <c r="J2571" s="94" t="b">
        <f>Proc[[#This Row],[Requested]]=Proc[[#This Row],[CurrentParent]]</f>
        <v>1</v>
      </c>
      <c r="K2571" s="94" t="str">
        <f>IF(Proc[[#This Row],[Author]]="Marcela Urrego",VLOOKUP(LEFT(Proc[[#This Row],[Requested]],1),Table3[#All],2,0),VLOOKUP(Proc[[#This Row],[Author]],Table4[],2,0))</f>
        <v>MGF</v>
      </c>
      <c r="L2571" s="125" t="s">
        <v>4897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19</v>
      </c>
      <c r="R2571" s="110" t="s">
        <v>485</v>
      </c>
      <c r="S2571" s="94"/>
    </row>
    <row r="2572" spans="1:19" hidden="1">
      <c r="A2572" s="103" t="s">
        <v>4425</v>
      </c>
      <c r="B2572" s="94" t="str">
        <f>IFERROR(VLOOKUP(Proc[[#This Row],[App]],Table2[],3,0),"open")</f>
        <v>ok</v>
      </c>
      <c r="C2572" s="117" t="s">
        <v>369</v>
      </c>
      <c r="D2572" t="s">
        <v>4496</v>
      </c>
      <c r="E2572" t="s">
        <v>4741</v>
      </c>
      <c r="F2572" s="94" t="s">
        <v>4741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4787</v>
      </c>
      <c r="J2572" s="94" t="b">
        <f>Proc[[#This Row],[Requested]]=Proc[[#This Row],[CurrentParent]]</f>
        <v>1</v>
      </c>
      <c r="K2572" s="94" t="str">
        <f>IF(Proc[[#This Row],[Author]]="Marcela Urrego",VLOOKUP(LEFT(Proc[[#This Row],[Requested]],1),Table3[#All],2,0),VLOOKUP(Proc[[#This Row],[Author]],Table4[],2,0))</f>
        <v>MGF</v>
      </c>
      <c r="L2572" s="125" t="s">
        <v>4897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19</v>
      </c>
      <c r="R2572" s="110" t="s">
        <v>485</v>
      </c>
      <c r="S2572" s="94"/>
    </row>
    <row r="2573" spans="1:19" hidden="1">
      <c r="A2573" s="103" t="s">
        <v>4425</v>
      </c>
      <c r="B2573" s="94" t="str">
        <f>IFERROR(VLOOKUP(Proc[[#This Row],[App]],Table2[],3,0),"open")</f>
        <v>ok</v>
      </c>
      <c r="C2573" s="117" t="s">
        <v>369</v>
      </c>
      <c r="D2573" t="s">
        <v>4497</v>
      </c>
      <c r="E2573" t="s">
        <v>4741</v>
      </c>
      <c r="F2573" s="94" t="s">
        <v>4741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4787</v>
      </c>
      <c r="J2573" s="94" t="b">
        <f>Proc[[#This Row],[Requested]]=Proc[[#This Row],[CurrentParent]]</f>
        <v>1</v>
      </c>
      <c r="K2573" s="94" t="str">
        <f>IF(Proc[[#This Row],[Author]]="Marcela Urrego",VLOOKUP(LEFT(Proc[[#This Row],[Requested]],1),Table3[#All],2,0),VLOOKUP(Proc[[#This Row],[Author]],Table4[],2,0))</f>
        <v>MGF</v>
      </c>
      <c r="L2573" s="125" t="s">
        <v>4897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19</v>
      </c>
      <c r="R2573" s="110" t="s">
        <v>485</v>
      </c>
      <c r="S2573" s="94"/>
    </row>
    <row r="2574" spans="1:19" hidden="1">
      <c r="A2574" s="103" t="s">
        <v>4425</v>
      </c>
      <c r="B2574" s="94" t="str">
        <f>IFERROR(VLOOKUP(Proc[[#This Row],[App]],Table2[],3,0),"open")</f>
        <v>ok</v>
      </c>
      <c r="C2574" s="117" t="s">
        <v>369</v>
      </c>
      <c r="D2574" t="s">
        <v>4498</v>
      </c>
      <c r="E2574" t="s">
        <v>4741</v>
      </c>
      <c r="F2574" s="94" t="s">
        <v>4741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4787</v>
      </c>
      <c r="J2574" s="94" t="b">
        <f>Proc[[#This Row],[Requested]]=Proc[[#This Row],[CurrentParent]]</f>
        <v>1</v>
      </c>
      <c r="K2574" s="94" t="str">
        <f>IF(Proc[[#This Row],[Author]]="Marcela Urrego",VLOOKUP(LEFT(Proc[[#This Row],[Requested]],1),Table3[#All],2,0),VLOOKUP(Proc[[#This Row],[Author]],Table4[],2,0))</f>
        <v>MGF</v>
      </c>
      <c r="L2574" s="125" t="s">
        <v>4897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19</v>
      </c>
      <c r="R2574" s="110" t="s">
        <v>485</v>
      </c>
      <c r="S2574" s="94"/>
    </row>
    <row r="2575" spans="1:19" hidden="1">
      <c r="A2575" s="103" t="s">
        <v>4425</v>
      </c>
      <c r="B2575" s="94" t="str">
        <f>IFERROR(VLOOKUP(Proc[[#This Row],[App]],Table2[],3,0),"open")</f>
        <v>ok</v>
      </c>
      <c r="C2575" s="117" t="s">
        <v>369</v>
      </c>
      <c r="D2575" t="s">
        <v>4499</v>
      </c>
      <c r="E2575" t="s">
        <v>4741</v>
      </c>
      <c r="F2575" s="94" t="s">
        <v>4741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4787</v>
      </c>
      <c r="J2575" s="94" t="b">
        <f>Proc[[#This Row],[Requested]]=Proc[[#This Row],[CurrentParent]]</f>
        <v>1</v>
      </c>
      <c r="K2575" s="94" t="str">
        <f>IF(Proc[[#This Row],[Author]]="Marcela Urrego",VLOOKUP(LEFT(Proc[[#This Row],[Requested]],1),Table3[#All],2,0),VLOOKUP(Proc[[#This Row],[Author]],Table4[],2,0))</f>
        <v>MGF</v>
      </c>
      <c r="L2575" s="125" t="s">
        <v>4897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19</v>
      </c>
      <c r="R2575" s="110" t="s">
        <v>485</v>
      </c>
      <c r="S2575" s="94"/>
    </row>
    <row r="2576" spans="1:19" hidden="1">
      <c r="A2576" s="103" t="s">
        <v>4425</v>
      </c>
      <c r="B2576" s="94" t="str">
        <f>IFERROR(VLOOKUP(Proc[[#This Row],[App]],Table2[],3,0),"open")</f>
        <v>ok</v>
      </c>
      <c r="C2576" s="117" t="s">
        <v>369</v>
      </c>
      <c r="D2576" t="s">
        <v>4500</v>
      </c>
      <c r="E2576" t="s">
        <v>4741</v>
      </c>
      <c r="F2576" s="94" t="s">
        <v>4741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4787</v>
      </c>
      <c r="J2576" s="94" t="b">
        <f>Proc[[#This Row],[Requested]]=Proc[[#This Row],[CurrentParent]]</f>
        <v>1</v>
      </c>
      <c r="K2576" s="94" t="str">
        <f>IF(Proc[[#This Row],[Author]]="Marcela Urrego",VLOOKUP(LEFT(Proc[[#This Row],[Requested]],1),Table3[#All],2,0),VLOOKUP(Proc[[#This Row],[Author]],Table4[],2,0))</f>
        <v>MGF</v>
      </c>
      <c r="L2576" s="125" t="s">
        <v>4897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19</v>
      </c>
      <c r="R2576" s="110" t="s">
        <v>485</v>
      </c>
      <c r="S2576" s="94"/>
    </row>
    <row r="2577" spans="1:19" hidden="1">
      <c r="A2577" s="103" t="s">
        <v>4425</v>
      </c>
      <c r="B2577" s="94" t="str">
        <f>IFERROR(VLOOKUP(Proc[[#This Row],[App]],Table2[],3,0),"open")</f>
        <v>ok</v>
      </c>
      <c r="C2577" s="117" t="s">
        <v>369</v>
      </c>
      <c r="D2577" t="s">
        <v>4501</v>
      </c>
      <c r="E2577" t="s">
        <v>4741</v>
      </c>
      <c r="F2577" s="94" t="s">
        <v>4741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4787</v>
      </c>
      <c r="J2577" s="94" t="b">
        <f>Proc[[#This Row],[Requested]]=Proc[[#This Row],[CurrentParent]]</f>
        <v>1</v>
      </c>
      <c r="K2577" s="94" t="str">
        <f>IF(Proc[[#This Row],[Author]]="Marcela Urrego",VLOOKUP(LEFT(Proc[[#This Row],[Requested]],1),Table3[#All],2,0),VLOOKUP(Proc[[#This Row],[Author]],Table4[],2,0))</f>
        <v>MGF</v>
      </c>
      <c r="L2577" s="125" t="s">
        <v>4897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19</v>
      </c>
      <c r="R2577" s="110" t="s">
        <v>485</v>
      </c>
      <c r="S2577" s="94"/>
    </row>
    <row r="2578" spans="1:19" hidden="1">
      <c r="A2578" s="103" t="s">
        <v>4425</v>
      </c>
      <c r="B2578" s="94" t="str">
        <f>IFERROR(VLOOKUP(Proc[[#This Row],[App]],Table2[],3,0),"open")</f>
        <v>ok</v>
      </c>
      <c r="C2578" s="117" t="s">
        <v>369</v>
      </c>
      <c r="D2578" t="s">
        <v>4502</v>
      </c>
      <c r="E2578" t="s">
        <v>4743</v>
      </c>
      <c r="F2578" s="94" t="s">
        <v>4743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4787</v>
      </c>
      <c r="J2578" s="94" t="b">
        <f>Proc[[#This Row],[Requested]]=Proc[[#This Row],[CurrentParent]]</f>
        <v>1</v>
      </c>
      <c r="K2578" s="94" t="str">
        <f>IF(Proc[[#This Row],[Author]]="Marcela Urrego",VLOOKUP(LEFT(Proc[[#This Row],[Requested]],1),Table3[#All],2,0),VLOOKUP(Proc[[#This Row],[Author]],Table4[],2,0))</f>
        <v>MGF</v>
      </c>
      <c r="L2578" s="125" t="s">
        <v>4897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19</v>
      </c>
      <c r="R2578" s="110" t="s">
        <v>485</v>
      </c>
      <c r="S2578" s="94"/>
    </row>
    <row r="2579" spans="1:19" hidden="1">
      <c r="A2579" s="103" t="s">
        <v>4425</v>
      </c>
      <c r="B2579" s="94" t="str">
        <f>IFERROR(VLOOKUP(Proc[[#This Row],[App]],Table2[],3,0),"open")</f>
        <v>ok</v>
      </c>
      <c r="C2579" s="117" t="s">
        <v>369</v>
      </c>
      <c r="D2579" t="s">
        <v>4503</v>
      </c>
      <c r="E2579" t="s">
        <v>4744</v>
      </c>
      <c r="F2579" s="94" t="s">
        <v>4744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4787</v>
      </c>
      <c r="J2579" s="94" t="b">
        <f>Proc[[#This Row],[Requested]]=Proc[[#This Row],[CurrentParent]]</f>
        <v>1</v>
      </c>
      <c r="K2579" s="94" t="str">
        <f>IF(Proc[[#This Row],[Author]]="Marcela Urrego",VLOOKUP(LEFT(Proc[[#This Row],[Requested]],1),Table3[#All],2,0),VLOOKUP(Proc[[#This Row],[Author]],Table4[],2,0))</f>
        <v>MGF</v>
      </c>
      <c r="L2579" s="125" t="s">
        <v>4897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19</v>
      </c>
      <c r="R2579" s="110" t="s">
        <v>485</v>
      </c>
      <c r="S2579" s="94"/>
    </row>
    <row r="2580" spans="1:19" hidden="1">
      <c r="A2580" s="103" t="s">
        <v>4425</v>
      </c>
      <c r="B2580" s="94" t="str">
        <f>IFERROR(VLOOKUP(Proc[[#This Row],[App]],Table2[],3,0),"open")</f>
        <v>ok</v>
      </c>
      <c r="C2580" s="117" t="s">
        <v>369</v>
      </c>
      <c r="D2580" t="s">
        <v>4504</v>
      </c>
      <c r="E2580" t="s">
        <v>4743</v>
      </c>
      <c r="F2580" s="94" t="s">
        <v>4743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4787</v>
      </c>
      <c r="J2580" s="94" t="b">
        <f>Proc[[#This Row],[Requested]]=Proc[[#This Row],[CurrentParent]]</f>
        <v>1</v>
      </c>
      <c r="K2580" s="94" t="str">
        <f>IF(Proc[[#This Row],[Author]]="Marcela Urrego",VLOOKUP(LEFT(Proc[[#This Row],[Requested]],1),Table3[#All],2,0),VLOOKUP(Proc[[#This Row],[Author]],Table4[],2,0))</f>
        <v>MGF</v>
      </c>
      <c r="L2580" s="125" t="s">
        <v>4897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19</v>
      </c>
      <c r="R2580" s="110" t="s">
        <v>485</v>
      </c>
      <c r="S2580" s="94"/>
    </row>
    <row r="2581" spans="1:19" hidden="1">
      <c r="A2581" s="103" t="s">
        <v>4425</v>
      </c>
      <c r="B2581" s="94" t="str">
        <f>IFERROR(VLOOKUP(Proc[[#This Row],[App]],Table2[],3,0),"open")</f>
        <v>ok</v>
      </c>
      <c r="C2581" s="117" t="s">
        <v>369</v>
      </c>
      <c r="D2581" t="s">
        <v>4505</v>
      </c>
      <c r="E2581" t="s">
        <v>4745</v>
      </c>
      <c r="F2581" s="94" t="s">
        <v>4745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4787</v>
      </c>
      <c r="J2581" s="94" t="b">
        <f>Proc[[#This Row],[Requested]]=Proc[[#This Row],[CurrentParent]]</f>
        <v>1</v>
      </c>
      <c r="K2581" s="94" t="str">
        <f>IF(Proc[[#This Row],[Author]]="Marcela Urrego",VLOOKUP(LEFT(Proc[[#This Row],[Requested]],1),Table3[#All],2,0),VLOOKUP(Proc[[#This Row],[Author]],Table4[],2,0))</f>
        <v>MGF</v>
      </c>
      <c r="L2581" s="125" t="s">
        <v>4897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19</v>
      </c>
      <c r="R2581" s="110" t="s">
        <v>485</v>
      </c>
      <c r="S2581" s="94"/>
    </row>
    <row r="2582" spans="1:19" hidden="1">
      <c r="A2582" s="103" t="s">
        <v>4425</v>
      </c>
      <c r="B2582" s="94" t="str">
        <f>IFERROR(VLOOKUP(Proc[[#This Row],[App]],Table2[],3,0),"open")</f>
        <v>ok</v>
      </c>
      <c r="C2582" s="117" t="s">
        <v>369</v>
      </c>
      <c r="D2582" t="s">
        <v>4506</v>
      </c>
      <c r="E2582" t="s">
        <v>4743</v>
      </c>
      <c r="F2582" s="94" t="s">
        <v>4743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4787</v>
      </c>
      <c r="J2582" s="94" t="b">
        <f>Proc[[#This Row],[Requested]]=Proc[[#This Row],[CurrentParent]]</f>
        <v>1</v>
      </c>
      <c r="K2582" s="94" t="str">
        <f>IF(Proc[[#This Row],[Author]]="Marcela Urrego",VLOOKUP(LEFT(Proc[[#This Row],[Requested]],1),Table3[#All],2,0),VLOOKUP(Proc[[#This Row],[Author]],Table4[],2,0))</f>
        <v>MGF</v>
      </c>
      <c r="L2582" s="125" t="s">
        <v>4897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19</v>
      </c>
      <c r="R2582" s="110" t="s">
        <v>485</v>
      </c>
      <c r="S2582" s="94"/>
    </row>
    <row r="2583" spans="1:19" hidden="1">
      <c r="A2583" s="103" t="s">
        <v>4425</v>
      </c>
      <c r="B2583" s="94" t="str">
        <f>IFERROR(VLOOKUP(Proc[[#This Row],[App]],Table2[],3,0),"open")</f>
        <v>ok</v>
      </c>
      <c r="C2583" s="117" t="s">
        <v>369</v>
      </c>
      <c r="D2583" t="s">
        <v>4507</v>
      </c>
      <c r="E2583" t="s">
        <v>4743</v>
      </c>
      <c r="F2583" s="94" t="s">
        <v>4743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4787</v>
      </c>
      <c r="J2583" s="94" t="b">
        <f>Proc[[#This Row],[Requested]]=Proc[[#This Row],[CurrentParent]]</f>
        <v>1</v>
      </c>
      <c r="K2583" s="94" t="str">
        <f>IF(Proc[[#This Row],[Author]]="Marcela Urrego",VLOOKUP(LEFT(Proc[[#This Row],[Requested]],1),Table3[#All],2,0),VLOOKUP(Proc[[#This Row],[Author]],Table4[],2,0))</f>
        <v>MGF</v>
      </c>
      <c r="L2583" s="125" t="s">
        <v>4897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19</v>
      </c>
      <c r="R2583" s="110" t="s">
        <v>485</v>
      </c>
      <c r="S2583" s="94"/>
    </row>
    <row r="2584" spans="1:19" hidden="1">
      <c r="A2584" s="103" t="s">
        <v>4425</v>
      </c>
      <c r="B2584" s="94" t="str">
        <f>IFERROR(VLOOKUP(Proc[[#This Row],[App]],Table2[],3,0),"open")</f>
        <v>ok</v>
      </c>
      <c r="C2584" s="117" t="s">
        <v>369</v>
      </c>
      <c r="D2584" t="s">
        <v>4508</v>
      </c>
      <c r="E2584" t="s">
        <v>4743</v>
      </c>
      <c r="F2584" s="94" t="s">
        <v>4743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4787</v>
      </c>
      <c r="J2584" s="94" t="b">
        <f>Proc[[#This Row],[Requested]]=Proc[[#This Row],[CurrentParent]]</f>
        <v>1</v>
      </c>
      <c r="K2584" s="94" t="str">
        <f>IF(Proc[[#This Row],[Author]]="Marcela Urrego",VLOOKUP(LEFT(Proc[[#This Row],[Requested]],1),Table3[#All],2,0),VLOOKUP(Proc[[#This Row],[Author]],Table4[],2,0))</f>
        <v>MGF</v>
      </c>
      <c r="L2584" s="125" t="s">
        <v>4897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19</v>
      </c>
      <c r="R2584" s="110" t="s">
        <v>485</v>
      </c>
      <c r="S2584" s="94"/>
    </row>
    <row r="2585" spans="1:19" hidden="1">
      <c r="A2585" s="103" t="s">
        <v>4425</v>
      </c>
      <c r="B2585" s="94" t="str">
        <f>IFERROR(VLOOKUP(Proc[[#This Row],[App]],Table2[],3,0),"open")</f>
        <v>ok</v>
      </c>
      <c r="C2585" s="117" t="s">
        <v>369</v>
      </c>
      <c r="D2585" t="s">
        <v>4509</v>
      </c>
      <c r="E2585" t="s">
        <v>4745</v>
      </c>
      <c r="F2585" s="94" t="s">
        <v>4745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4787</v>
      </c>
      <c r="J2585" s="94" t="b">
        <f>Proc[[#This Row],[Requested]]=Proc[[#This Row],[CurrentParent]]</f>
        <v>1</v>
      </c>
      <c r="K2585" s="94" t="str">
        <f>IF(Proc[[#This Row],[Author]]="Marcela Urrego",VLOOKUP(LEFT(Proc[[#This Row],[Requested]],1),Table3[#All],2,0),VLOOKUP(Proc[[#This Row],[Author]],Table4[],2,0))</f>
        <v>MGF</v>
      </c>
      <c r="L2585" s="125" t="s">
        <v>4897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19</v>
      </c>
      <c r="R2585" s="110" t="s">
        <v>485</v>
      </c>
      <c r="S2585" s="94"/>
    </row>
    <row r="2586" spans="1:19" hidden="1">
      <c r="A2586" s="103" t="s">
        <v>4425</v>
      </c>
      <c r="B2586" s="94" t="str">
        <f>IFERROR(VLOOKUP(Proc[[#This Row],[App]],Table2[],3,0),"open")</f>
        <v>ok</v>
      </c>
      <c r="C2586" s="117" t="s">
        <v>369</v>
      </c>
      <c r="D2586" t="s">
        <v>4510</v>
      </c>
      <c r="E2586" t="s">
        <v>4744</v>
      </c>
      <c r="F2586" s="94" t="s">
        <v>4744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4787</v>
      </c>
      <c r="J2586" s="94" t="b">
        <f>Proc[[#This Row],[Requested]]=Proc[[#This Row],[CurrentParent]]</f>
        <v>1</v>
      </c>
      <c r="K2586" s="94" t="str">
        <f>IF(Proc[[#This Row],[Author]]="Marcela Urrego",VLOOKUP(LEFT(Proc[[#This Row],[Requested]],1),Table3[#All],2,0),VLOOKUP(Proc[[#This Row],[Author]],Table4[],2,0))</f>
        <v>MGF</v>
      </c>
      <c r="L2586" s="125" t="s">
        <v>4897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19</v>
      </c>
      <c r="R2586" s="110" t="s">
        <v>485</v>
      </c>
      <c r="S2586" s="94"/>
    </row>
    <row r="2587" spans="1:19" hidden="1">
      <c r="A2587" s="103" t="s">
        <v>4425</v>
      </c>
      <c r="B2587" s="94" t="str">
        <f>IFERROR(VLOOKUP(Proc[[#This Row],[App]],Table2[],3,0),"open")</f>
        <v>ok</v>
      </c>
      <c r="C2587" s="117" t="s">
        <v>369</v>
      </c>
      <c r="D2587" t="s">
        <v>4511</v>
      </c>
      <c r="E2587" t="s">
        <v>4743</v>
      </c>
      <c r="F2587" s="94" t="s">
        <v>4743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4787</v>
      </c>
      <c r="J2587" s="94" t="b">
        <f>Proc[[#This Row],[Requested]]=Proc[[#This Row],[CurrentParent]]</f>
        <v>1</v>
      </c>
      <c r="K2587" s="94" t="str">
        <f>IF(Proc[[#This Row],[Author]]="Marcela Urrego",VLOOKUP(LEFT(Proc[[#This Row],[Requested]],1),Table3[#All],2,0),VLOOKUP(Proc[[#This Row],[Author]],Table4[],2,0))</f>
        <v>MGF</v>
      </c>
      <c r="L2587" s="125" t="s">
        <v>4897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19</v>
      </c>
      <c r="R2587" s="110" t="s">
        <v>485</v>
      </c>
      <c r="S2587" s="94"/>
    </row>
    <row r="2588" spans="1:19" hidden="1">
      <c r="A2588" s="103" t="s">
        <v>4425</v>
      </c>
      <c r="B2588" s="94" t="str">
        <f>IFERROR(VLOOKUP(Proc[[#This Row],[App]],Table2[],3,0),"open")</f>
        <v>ok</v>
      </c>
      <c r="C2588" s="117" t="s">
        <v>369</v>
      </c>
      <c r="D2588" t="s">
        <v>4512</v>
      </c>
      <c r="E2588" t="s">
        <v>4743</v>
      </c>
      <c r="F2588" s="94" t="s">
        <v>4743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4787</v>
      </c>
      <c r="J2588" s="94" t="b">
        <f>Proc[[#This Row],[Requested]]=Proc[[#This Row],[CurrentParent]]</f>
        <v>1</v>
      </c>
      <c r="K2588" s="94" t="str">
        <f>IF(Proc[[#This Row],[Author]]="Marcela Urrego",VLOOKUP(LEFT(Proc[[#This Row],[Requested]],1),Table3[#All],2,0),VLOOKUP(Proc[[#This Row],[Author]],Table4[],2,0))</f>
        <v>MGF</v>
      </c>
      <c r="L2588" s="125" t="s">
        <v>4897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19</v>
      </c>
      <c r="R2588" s="110" t="s">
        <v>485</v>
      </c>
      <c r="S2588" s="94"/>
    </row>
    <row r="2589" spans="1:19" hidden="1">
      <c r="A2589" s="103" t="s">
        <v>4425</v>
      </c>
      <c r="B2589" s="94" t="str">
        <f>IFERROR(VLOOKUP(Proc[[#This Row],[App]],Table2[],3,0),"open")</f>
        <v>ok</v>
      </c>
      <c r="C2589" s="117" t="s">
        <v>369</v>
      </c>
      <c r="D2589" t="s">
        <v>4513</v>
      </c>
      <c r="E2589" t="s">
        <v>4743</v>
      </c>
      <c r="F2589" s="94" t="s">
        <v>4743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4787</v>
      </c>
      <c r="J2589" s="94" t="b">
        <f>Proc[[#This Row],[Requested]]=Proc[[#This Row],[CurrentParent]]</f>
        <v>1</v>
      </c>
      <c r="K2589" s="94" t="str">
        <f>IF(Proc[[#This Row],[Author]]="Marcela Urrego",VLOOKUP(LEFT(Proc[[#This Row],[Requested]],1),Table3[#All],2,0),VLOOKUP(Proc[[#This Row],[Author]],Table4[],2,0))</f>
        <v>MGF</v>
      </c>
      <c r="L2589" s="125" t="s">
        <v>4897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19</v>
      </c>
      <c r="R2589" s="110" t="s">
        <v>485</v>
      </c>
      <c r="S2589" s="94"/>
    </row>
    <row r="2590" spans="1:19" hidden="1">
      <c r="A2590" s="103" t="s">
        <v>4425</v>
      </c>
      <c r="B2590" s="94" t="str">
        <f>IFERROR(VLOOKUP(Proc[[#This Row],[App]],Table2[],3,0),"open")</f>
        <v>ok</v>
      </c>
      <c r="C2590" s="117" t="s">
        <v>369</v>
      </c>
      <c r="D2590" t="s">
        <v>4514</v>
      </c>
      <c r="E2590" t="s">
        <v>4743</v>
      </c>
      <c r="F2590" s="94" t="s">
        <v>4743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4787</v>
      </c>
      <c r="J2590" s="94" t="b">
        <f>Proc[[#This Row],[Requested]]=Proc[[#This Row],[CurrentParent]]</f>
        <v>1</v>
      </c>
      <c r="K2590" s="94" t="str">
        <f>IF(Proc[[#This Row],[Author]]="Marcela Urrego",VLOOKUP(LEFT(Proc[[#This Row],[Requested]],1),Table3[#All],2,0),VLOOKUP(Proc[[#This Row],[Author]],Table4[],2,0))</f>
        <v>MGF</v>
      </c>
      <c r="L2590" s="125" t="s">
        <v>4897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19</v>
      </c>
      <c r="R2590" s="110" t="s">
        <v>485</v>
      </c>
      <c r="S2590" s="94"/>
    </row>
    <row r="2591" spans="1:19" hidden="1">
      <c r="A2591" s="103" t="s">
        <v>4425</v>
      </c>
      <c r="B2591" s="94" t="str">
        <f>IFERROR(VLOOKUP(Proc[[#This Row],[App]],Table2[],3,0),"open")</f>
        <v>ok</v>
      </c>
      <c r="C2591" s="117" t="s">
        <v>369</v>
      </c>
      <c r="D2591" t="s">
        <v>4515</v>
      </c>
      <c r="E2591" t="s">
        <v>4743</v>
      </c>
      <c r="F2591" s="94" t="s">
        <v>4743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4787</v>
      </c>
      <c r="J2591" s="94" t="b">
        <f>Proc[[#This Row],[Requested]]=Proc[[#This Row],[CurrentParent]]</f>
        <v>1</v>
      </c>
      <c r="K2591" s="94" t="str">
        <f>IF(Proc[[#This Row],[Author]]="Marcela Urrego",VLOOKUP(LEFT(Proc[[#This Row],[Requested]],1),Table3[#All],2,0),VLOOKUP(Proc[[#This Row],[Author]],Table4[],2,0))</f>
        <v>MGF</v>
      </c>
      <c r="L2591" s="125" t="s">
        <v>4897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19</v>
      </c>
      <c r="R2591" s="110" t="s">
        <v>485</v>
      </c>
      <c r="S2591" s="94"/>
    </row>
    <row r="2592" spans="1:19" hidden="1">
      <c r="A2592" s="103" t="s">
        <v>4425</v>
      </c>
      <c r="B2592" s="94" t="str">
        <f>IFERROR(VLOOKUP(Proc[[#This Row],[App]],Table2[],3,0),"open")</f>
        <v>ok</v>
      </c>
      <c r="C2592" s="117" t="s">
        <v>369</v>
      </c>
      <c r="D2592" t="s">
        <v>4516</v>
      </c>
      <c r="E2592" t="s">
        <v>4743</v>
      </c>
      <c r="F2592" s="94" t="s">
        <v>4743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4787</v>
      </c>
      <c r="J2592" s="94" t="b">
        <f>Proc[[#This Row],[Requested]]=Proc[[#This Row],[CurrentParent]]</f>
        <v>1</v>
      </c>
      <c r="K2592" s="94" t="str">
        <f>IF(Proc[[#This Row],[Author]]="Marcela Urrego",VLOOKUP(LEFT(Proc[[#This Row],[Requested]],1),Table3[#All],2,0),VLOOKUP(Proc[[#This Row],[Author]],Table4[],2,0))</f>
        <v>MGF</v>
      </c>
      <c r="L2592" s="125" t="s">
        <v>4897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19</v>
      </c>
      <c r="R2592" s="110" t="s">
        <v>485</v>
      </c>
      <c r="S2592" s="94"/>
    </row>
    <row r="2593" spans="1:19" hidden="1">
      <c r="A2593" s="103" t="s">
        <v>4425</v>
      </c>
      <c r="B2593" s="94" t="str">
        <f>IFERROR(VLOOKUP(Proc[[#This Row],[App]],Table2[],3,0),"open")</f>
        <v>ok</v>
      </c>
      <c r="C2593" s="117" t="s">
        <v>369</v>
      </c>
      <c r="D2593" t="s">
        <v>4517</v>
      </c>
      <c r="E2593" t="s">
        <v>4743</v>
      </c>
      <c r="F2593" s="94" t="s">
        <v>4743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4787</v>
      </c>
      <c r="J2593" s="94" t="b">
        <f>Proc[[#This Row],[Requested]]=Proc[[#This Row],[CurrentParent]]</f>
        <v>1</v>
      </c>
      <c r="K2593" s="94" t="str">
        <f>IF(Proc[[#This Row],[Author]]="Marcela Urrego",VLOOKUP(LEFT(Proc[[#This Row],[Requested]],1),Table3[#All],2,0),VLOOKUP(Proc[[#This Row],[Author]],Table4[],2,0))</f>
        <v>MGF</v>
      </c>
      <c r="L2593" s="125" t="s">
        <v>4897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19</v>
      </c>
      <c r="R2593" s="110" t="s">
        <v>485</v>
      </c>
      <c r="S2593" s="94"/>
    </row>
    <row r="2594" spans="1:19" hidden="1">
      <c r="A2594" s="103" t="s">
        <v>4425</v>
      </c>
      <c r="B2594" s="94" t="str">
        <f>IFERROR(VLOOKUP(Proc[[#This Row],[App]],Table2[],3,0),"open")</f>
        <v>ok</v>
      </c>
      <c r="C2594" s="117" t="s">
        <v>369</v>
      </c>
      <c r="D2594" t="s">
        <v>4518</v>
      </c>
      <c r="E2594" t="s">
        <v>4743</v>
      </c>
      <c r="F2594" s="94" t="s">
        <v>4743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4787</v>
      </c>
      <c r="J2594" s="94" t="b">
        <f>Proc[[#This Row],[Requested]]=Proc[[#This Row],[CurrentParent]]</f>
        <v>1</v>
      </c>
      <c r="K2594" s="94" t="str">
        <f>IF(Proc[[#This Row],[Author]]="Marcela Urrego",VLOOKUP(LEFT(Proc[[#This Row],[Requested]],1),Table3[#All],2,0),VLOOKUP(Proc[[#This Row],[Author]],Table4[],2,0))</f>
        <v>MGF</v>
      </c>
      <c r="L2594" s="125" t="s">
        <v>4897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19</v>
      </c>
      <c r="R2594" s="110" t="s">
        <v>485</v>
      </c>
      <c r="S2594" s="94"/>
    </row>
    <row r="2595" spans="1:19" hidden="1">
      <c r="A2595" s="103" t="s">
        <v>4425</v>
      </c>
      <c r="B2595" s="94" t="str">
        <f>IFERROR(VLOOKUP(Proc[[#This Row],[App]],Table2[],3,0),"open")</f>
        <v>ok</v>
      </c>
      <c r="C2595" s="117" t="s">
        <v>369</v>
      </c>
      <c r="D2595" t="s">
        <v>4519</v>
      </c>
      <c r="E2595" t="s">
        <v>4743</v>
      </c>
      <c r="F2595" s="94" t="s">
        <v>4743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4787</v>
      </c>
      <c r="J2595" s="94" t="b">
        <f>Proc[[#This Row],[Requested]]=Proc[[#This Row],[CurrentParent]]</f>
        <v>1</v>
      </c>
      <c r="K2595" s="94" t="str">
        <f>IF(Proc[[#This Row],[Author]]="Marcela Urrego",VLOOKUP(LEFT(Proc[[#This Row],[Requested]],1),Table3[#All],2,0),VLOOKUP(Proc[[#This Row],[Author]],Table4[],2,0))</f>
        <v>MGF</v>
      </c>
      <c r="L2595" s="125" t="s">
        <v>4897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19</v>
      </c>
      <c r="R2595" s="110" t="s">
        <v>485</v>
      </c>
      <c r="S2595" s="94"/>
    </row>
    <row r="2596" spans="1:19" hidden="1">
      <c r="A2596" s="103" t="s">
        <v>4425</v>
      </c>
      <c r="B2596" s="94" t="str">
        <f>IFERROR(VLOOKUP(Proc[[#This Row],[App]],Table2[],3,0),"open")</f>
        <v>ok</v>
      </c>
      <c r="C2596" s="117" t="s">
        <v>369</v>
      </c>
      <c r="D2596" t="s">
        <v>4520</v>
      </c>
      <c r="E2596" t="s">
        <v>4743</v>
      </c>
      <c r="F2596" s="94" t="s">
        <v>4743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4787</v>
      </c>
      <c r="J2596" s="94" t="b">
        <f>Proc[[#This Row],[Requested]]=Proc[[#This Row],[CurrentParent]]</f>
        <v>1</v>
      </c>
      <c r="K2596" s="94" t="str">
        <f>IF(Proc[[#This Row],[Author]]="Marcela Urrego",VLOOKUP(LEFT(Proc[[#This Row],[Requested]],1),Table3[#All],2,0),VLOOKUP(Proc[[#This Row],[Author]],Table4[],2,0))</f>
        <v>MGF</v>
      </c>
      <c r="L2596" s="125" t="s">
        <v>4897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19</v>
      </c>
      <c r="R2596" s="110" t="s">
        <v>485</v>
      </c>
      <c r="S2596" s="94"/>
    </row>
    <row r="2597" spans="1:19" hidden="1">
      <c r="A2597" s="103" t="s">
        <v>4425</v>
      </c>
      <c r="B2597" s="94" t="str">
        <f>IFERROR(VLOOKUP(Proc[[#This Row],[App]],Table2[],3,0),"open")</f>
        <v>ok</v>
      </c>
      <c r="C2597" s="117" t="s">
        <v>369</v>
      </c>
      <c r="D2597" t="s">
        <v>4521</v>
      </c>
      <c r="E2597" t="s">
        <v>4743</v>
      </c>
      <c r="F2597" s="94" t="s">
        <v>4743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4787</v>
      </c>
      <c r="J2597" s="94" t="b">
        <f>Proc[[#This Row],[Requested]]=Proc[[#This Row],[CurrentParent]]</f>
        <v>1</v>
      </c>
      <c r="K2597" s="94" t="str">
        <f>IF(Proc[[#This Row],[Author]]="Marcela Urrego",VLOOKUP(LEFT(Proc[[#This Row],[Requested]],1),Table3[#All],2,0),VLOOKUP(Proc[[#This Row],[Author]],Table4[],2,0))</f>
        <v>MGF</v>
      </c>
      <c r="L2597" s="125" t="s">
        <v>4897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19</v>
      </c>
      <c r="R2597" s="110" t="s">
        <v>485</v>
      </c>
      <c r="S2597" s="94"/>
    </row>
    <row r="2598" spans="1:19" hidden="1">
      <c r="A2598" s="103" t="s">
        <v>4425</v>
      </c>
      <c r="B2598" s="94" t="str">
        <f>IFERROR(VLOOKUP(Proc[[#This Row],[App]],Table2[],3,0),"open")</f>
        <v>ok</v>
      </c>
      <c r="C2598" s="117" t="s">
        <v>369</v>
      </c>
      <c r="D2598" t="s">
        <v>4522</v>
      </c>
      <c r="E2598" t="s">
        <v>4743</v>
      </c>
      <c r="F2598" s="94" t="s">
        <v>4743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4787</v>
      </c>
      <c r="J2598" s="94" t="b">
        <f>Proc[[#This Row],[Requested]]=Proc[[#This Row],[CurrentParent]]</f>
        <v>1</v>
      </c>
      <c r="K2598" s="94" t="str">
        <f>IF(Proc[[#This Row],[Author]]="Marcela Urrego",VLOOKUP(LEFT(Proc[[#This Row],[Requested]],1),Table3[#All],2,0),VLOOKUP(Proc[[#This Row],[Author]],Table4[],2,0))</f>
        <v>MGF</v>
      </c>
      <c r="L2598" s="125" t="s">
        <v>4897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19</v>
      </c>
      <c r="R2598" s="110" t="s">
        <v>485</v>
      </c>
      <c r="S2598" s="94"/>
    </row>
    <row r="2599" spans="1:19" hidden="1">
      <c r="A2599" s="103" t="s">
        <v>4425</v>
      </c>
      <c r="B2599" s="94" t="str">
        <f>IFERROR(VLOOKUP(Proc[[#This Row],[App]],Table2[],3,0),"open")</f>
        <v>ok</v>
      </c>
      <c r="C2599" s="117" t="s">
        <v>369</v>
      </c>
      <c r="D2599" t="s">
        <v>4523</v>
      </c>
      <c r="E2599" t="s">
        <v>4743</v>
      </c>
      <c r="F2599" s="94" t="s">
        <v>4743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4787</v>
      </c>
      <c r="J2599" s="94" t="b">
        <f>Proc[[#This Row],[Requested]]=Proc[[#This Row],[CurrentParent]]</f>
        <v>1</v>
      </c>
      <c r="K2599" s="94" t="str">
        <f>IF(Proc[[#This Row],[Author]]="Marcela Urrego",VLOOKUP(LEFT(Proc[[#This Row],[Requested]],1),Table3[#All],2,0),VLOOKUP(Proc[[#This Row],[Author]],Table4[],2,0))</f>
        <v>MGF</v>
      </c>
      <c r="L2599" s="125" t="s">
        <v>4897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19</v>
      </c>
      <c r="R2599" s="110" t="s">
        <v>485</v>
      </c>
      <c r="S2599" s="94"/>
    </row>
    <row r="2600" spans="1:19" hidden="1">
      <c r="A2600" s="103" t="s">
        <v>4425</v>
      </c>
      <c r="B2600" s="94" t="str">
        <f>IFERROR(VLOOKUP(Proc[[#This Row],[App]],Table2[],3,0),"open")</f>
        <v>ok</v>
      </c>
      <c r="C2600" s="117" t="s">
        <v>369</v>
      </c>
      <c r="D2600" t="s">
        <v>4524</v>
      </c>
      <c r="E2600" t="s">
        <v>4743</v>
      </c>
      <c r="F2600" s="94" t="s">
        <v>4743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4787</v>
      </c>
      <c r="J2600" s="94" t="b">
        <f>Proc[[#This Row],[Requested]]=Proc[[#This Row],[CurrentParent]]</f>
        <v>1</v>
      </c>
      <c r="K2600" s="94" t="str">
        <f>IF(Proc[[#This Row],[Author]]="Marcela Urrego",VLOOKUP(LEFT(Proc[[#This Row],[Requested]],1),Table3[#All],2,0),VLOOKUP(Proc[[#This Row],[Author]],Table4[],2,0))</f>
        <v>MGF</v>
      </c>
      <c r="L2600" s="125" t="s">
        <v>4897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19</v>
      </c>
      <c r="R2600" s="110" t="s">
        <v>485</v>
      </c>
      <c r="S2600" s="94"/>
    </row>
    <row r="2601" spans="1:19" hidden="1">
      <c r="A2601" s="103" t="s">
        <v>4425</v>
      </c>
      <c r="B2601" s="94" t="str">
        <f>IFERROR(VLOOKUP(Proc[[#This Row],[App]],Table2[],3,0),"open")</f>
        <v>ok</v>
      </c>
      <c r="C2601" s="117" t="s">
        <v>369</v>
      </c>
      <c r="D2601" t="s">
        <v>4525</v>
      </c>
      <c r="E2601" t="s">
        <v>4743</v>
      </c>
      <c r="F2601" s="94" t="s">
        <v>4743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4787</v>
      </c>
      <c r="J2601" s="94" t="b">
        <f>Proc[[#This Row],[Requested]]=Proc[[#This Row],[CurrentParent]]</f>
        <v>1</v>
      </c>
      <c r="K2601" s="94" t="str">
        <f>IF(Proc[[#This Row],[Author]]="Marcela Urrego",VLOOKUP(LEFT(Proc[[#This Row],[Requested]],1),Table3[#All],2,0),VLOOKUP(Proc[[#This Row],[Author]],Table4[],2,0))</f>
        <v>MGF</v>
      </c>
      <c r="L2601" s="125" t="s">
        <v>4897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19</v>
      </c>
      <c r="R2601" s="110" t="s">
        <v>485</v>
      </c>
      <c r="S2601" s="94"/>
    </row>
    <row r="2602" spans="1:19" hidden="1">
      <c r="A2602" s="103" t="s">
        <v>4425</v>
      </c>
      <c r="B2602" s="94" t="str">
        <f>IFERROR(VLOOKUP(Proc[[#This Row],[App]],Table2[],3,0),"open")</f>
        <v>ok</v>
      </c>
      <c r="C2602" s="117" t="s">
        <v>369</v>
      </c>
      <c r="D2602" t="s">
        <v>4526</v>
      </c>
      <c r="E2602" t="s">
        <v>4743</v>
      </c>
      <c r="F2602" s="94" t="s">
        <v>4743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4788</v>
      </c>
      <c r="J2602" s="94" t="b">
        <f>Proc[[#This Row],[Requested]]=Proc[[#This Row],[CurrentParent]]</f>
        <v>1</v>
      </c>
      <c r="K2602" s="94" t="str">
        <f>IF(Proc[[#This Row],[Author]]="Marcela Urrego",VLOOKUP(LEFT(Proc[[#This Row],[Requested]],1),Table3[#All],2,0),VLOOKUP(Proc[[#This Row],[Author]],Table4[],2,0))</f>
        <v>MGF</v>
      </c>
      <c r="L2602" s="125" t="s">
        <v>4897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19</v>
      </c>
      <c r="R2602" s="110" t="s">
        <v>485</v>
      </c>
      <c r="S2602" s="94"/>
    </row>
    <row r="2603" spans="1:19" hidden="1">
      <c r="A2603" s="103" t="s">
        <v>4425</v>
      </c>
      <c r="B2603" s="94" t="str">
        <f>IFERROR(VLOOKUP(Proc[[#This Row],[App]],Table2[],3,0),"open")</f>
        <v>ok</v>
      </c>
      <c r="C2603" s="117" t="s">
        <v>369</v>
      </c>
      <c r="D2603" t="s">
        <v>4527</v>
      </c>
      <c r="E2603" t="s">
        <v>4744</v>
      </c>
      <c r="F2603" s="94" t="s">
        <v>4744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4788</v>
      </c>
      <c r="J2603" s="94" t="b">
        <f>Proc[[#This Row],[Requested]]=Proc[[#This Row],[CurrentParent]]</f>
        <v>1</v>
      </c>
      <c r="K2603" s="94" t="str">
        <f>IF(Proc[[#This Row],[Author]]="Marcela Urrego",VLOOKUP(LEFT(Proc[[#This Row],[Requested]],1),Table3[#All],2,0),VLOOKUP(Proc[[#This Row],[Author]],Table4[],2,0))</f>
        <v>MGF</v>
      </c>
      <c r="L2603" s="125" t="s">
        <v>4897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19</v>
      </c>
      <c r="R2603" s="110" t="s">
        <v>485</v>
      </c>
      <c r="S2603" s="94"/>
    </row>
    <row r="2604" spans="1:19" hidden="1">
      <c r="A2604" s="103" t="s">
        <v>4425</v>
      </c>
      <c r="B2604" s="94" t="str">
        <f>IFERROR(VLOOKUP(Proc[[#This Row],[App]],Table2[],3,0),"open")</f>
        <v>ok</v>
      </c>
      <c r="C2604" s="117" t="s">
        <v>369</v>
      </c>
      <c r="D2604" t="s">
        <v>4528</v>
      </c>
      <c r="E2604" t="s">
        <v>4744</v>
      </c>
      <c r="F2604" s="94" t="s">
        <v>4744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4788</v>
      </c>
      <c r="J2604" s="94" t="b">
        <f>Proc[[#This Row],[Requested]]=Proc[[#This Row],[CurrentParent]]</f>
        <v>1</v>
      </c>
      <c r="K2604" s="94" t="str">
        <f>IF(Proc[[#This Row],[Author]]="Marcela Urrego",VLOOKUP(LEFT(Proc[[#This Row],[Requested]],1),Table3[#All],2,0),VLOOKUP(Proc[[#This Row],[Author]],Table4[],2,0))</f>
        <v>MGF</v>
      </c>
      <c r="L2604" s="125" t="s">
        <v>4897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19</v>
      </c>
      <c r="R2604" s="110" t="s">
        <v>485</v>
      </c>
      <c r="S2604" s="94"/>
    </row>
    <row r="2605" spans="1:19" hidden="1">
      <c r="A2605" s="103" t="s">
        <v>4425</v>
      </c>
      <c r="B2605" s="94" t="str">
        <f>IFERROR(VLOOKUP(Proc[[#This Row],[App]],Table2[],3,0),"open")</f>
        <v>ok</v>
      </c>
      <c r="C2605" s="117" t="s">
        <v>369</v>
      </c>
      <c r="D2605" t="s">
        <v>4529</v>
      </c>
      <c r="E2605" t="s">
        <v>4743</v>
      </c>
      <c r="F2605" s="94" t="s">
        <v>4743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4788</v>
      </c>
      <c r="J2605" s="94" t="b">
        <f>Proc[[#This Row],[Requested]]=Proc[[#This Row],[CurrentParent]]</f>
        <v>1</v>
      </c>
      <c r="K2605" s="94" t="str">
        <f>IF(Proc[[#This Row],[Author]]="Marcela Urrego",VLOOKUP(LEFT(Proc[[#This Row],[Requested]],1),Table3[#All],2,0),VLOOKUP(Proc[[#This Row],[Author]],Table4[],2,0))</f>
        <v>MGF</v>
      </c>
      <c r="L2605" s="125" t="s">
        <v>4897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19</v>
      </c>
      <c r="R2605" s="110" t="s">
        <v>485</v>
      </c>
      <c r="S2605" s="94"/>
    </row>
    <row r="2606" spans="1:19" hidden="1">
      <c r="A2606" s="103" t="s">
        <v>4425</v>
      </c>
      <c r="B2606" s="94" t="str">
        <f>IFERROR(VLOOKUP(Proc[[#This Row],[App]],Table2[],3,0),"open")</f>
        <v>ok</v>
      </c>
      <c r="C2606" s="117" t="s">
        <v>369</v>
      </c>
      <c r="D2606" t="s">
        <v>4530</v>
      </c>
      <c r="E2606" t="s">
        <v>4744</v>
      </c>
      <c r="F2606" s="94" t="s">
        <v>4744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4788</v>
      </c>
      <c r="J2606" s="94" t="b">
        <f>Proc[[#This Row],[Requested]]=Proc[[#This Row],[CurrentParent]]</f>
        <v>1</v>
      </c>
      <c r="K2606" s="94" t="str">
        <f>IF(Proc[[#This Row],[Author]]="Marcela Urrego",VLOOKUP(LEFT(Proc[[#This Row],[Requested]],1),Table3[#All],2,0),VLOOKUP(Proc[[#This Row],[Author]],Table4[],2,0))</f>
        <v>MGF</v>
      </c>
      <c r="L2606" s="125" t="s">
        <v>4897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19</v>
      </c>
      <c r="R2606" s="110" t="s">
        <v>485</v>
      </c>
      <c r="S2606" s="94"/>
    </row>
    <row r="2607" spans="1:19" hidden="1">
      <c r="A2607" s="103" t="s">
        <v>4425</v>
      </c>
      <c r="B2607" s="94" t="str">
        <f>IFERROR(VLOOKUP(Proc[[#This Row],[App]],Table2[],3,0),"open")</f>
        <v>ok</v>
      </c>
      <c r="C2607" s="117" t="s">
        <v>369</v>
      </c>
      <c r="D2607" t="s">
        <v>4531</v>
      </c>
      <c r="E2607" t="s">
        <v>4743</v>
      </c>
      <c r="F2607" s="94" t="s">
        <v>4743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4788</v>
      </c>
      <c r="J2607" s="94" t="b">
        <f>Proc[[#This Row],[Requested]]=Proc[[#This Row],[CurrentParent]]</f>
        <v>1</v>
      </c>
      <c r="K2607" s="94" t="str">
        <f>IF(Proc[[#This Row],[Author]]="Marcela Urrego",VLOOKUP(LEFT(Proc[[#This Row],[Requested]],1),Table3[#All],2,0),VLOOKUP(Proc[[#This Row],[Author]],Table4[],2,0))</f>
        <v>MGF</v>
      </c>
      <c r="L2607" s="125" t="s">
        <v>4897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19</v>
      </c>
      <c r="R2607" s="110" t="s">
        <v>485</v>
      </c>
      <c r="S2607" s="94"/>
    </row>
    <row r="2608" spans="1:19" hidden="1">
      <c r="A2608" s="103" t="s">
        <v>4425</v>
      </c>
      <c r="B2608" s="94" t="str">
        <f>IFERROR(VLOOKUP(Proc[[#This Row],[App]],Table2[],3,0),"open")</f>
        <v>ok</v>
      </c>
      <c r="C2608" s="117" t="s">
        <v>369</v>
      </c>
      <c r="D2608" t="s">
        <v>4532</v>
      </c>
      <c r="E2608" t="s">
        <v>4744</v>
      </c>
      <c r="F2608" s="94" t="s">
        <v>4744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4788</v>
      </c>
      <c r="J2608" s="94" t="b">
        <f>Proc[[#This Row],[Requested]]=Proc[[#This Row],[CurrentParent]]</f>
        <v>1</v>
      </c>
      <c r="K2608" s="94" t="str">
        <f>IF(Proc[[#This Row],[Author]]="Marcela Urrego",VLOOKUP(LEFT(Proc[[#This Row],[Requested]],1),Table3[#All],2,0),VLOOKUP(Proc[[#This Row],[Author]],Table4[],2,0))</f>
        <v>MGF</v>
      </c>
      <c r="L2608" s="125" t="s">
        <v>4897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19</v>
      </c>
      <c r="R2608" s="110" t="s">
        <v>485</v>
      </c>
      <c r="S2608" s="94"/>
    </row>
    <row r="2609" spans="1:19" hidden="1">
      <c r="A2609" s="103" t="s">
        <v>4425</v>
      </c>
      <c r="B2609" s="94" t="str">
        <f>IFERROR(VLOOKUP(Proc[[#This Row],[App]],Table2[],3,0),"open")</f>
        <v>ok</v>
      </c>
      <c r="C2609" s="117" t="s">
        <v>369</v>
      </c>
      <c r="D2609" t="s">
        <v>4533</v>
      </c>
      <c r="E2609" t="s">
        <v>4743</v>
      </c>
      <c r="F2609" s="94" t="s">
        <v>4743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4788</v>
      </c>
      <c r="J2609" s="94" t="b">
        <f>Proc[[#This Row],[Requested]]=Proc[[#This Row],[CurrentParent]]</f>
        <v>1</v>
      </c>
      <c r="K2609" s="94" t="str">
        <f>IF(Proc[[#This Row],[Author]]="Marcela Urrego",VLOOKUP(LEFT(Proc[[#This Row],[Requested]],1),Table3[#All],2,0),VLOOKUP(Proc[[#This Row],[Author]],Table4[],2,0))</f>
        <v>MGF</v>
      </c>
      <c r="L2609" s="125" t="s">
        <v>4897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19</v>
      </c>
      <c r="R2609" s="110" t="s">
        <v>485</v>
      </c>
      <c r="S2609" s="94"/>
    </row>
    <row r="2610" spans="1:19" hidden="1">
      <c r="A2610" s="103" t="s">
        <v>4425</v>
      </c>
      <c r="B2610" s="94" t="str">
        <f>IFERROR(VLOOKUP(Proc[[#This Row],[App]],Table2[],3,0),"open")</f>
        <v>ok</v>
      </c>
      <c r="C2610" s="117" t="s">
        <v>369</v>
      </c>
      <c r="D2610" t="s">
        <v>4534</v>
      </c>
      <c r="E2610" t="s">
        <v>4744</v>
      </c>
      <c r="F2610" s="94" t="s">
        <v>4744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4788</v>
      </c>
      <c r="J2610" s="94" t="b">
        <f>Proc[[#This Row],[Requested]]=Proc[[#This Row],[CurrentParent]]</f>
        <v>1</v>
      </c>
      <c r="K2610" s="94" t="str">
        <f>IF(Proc[[#This Row],[Author]]="Marcela Urrego",VLOOKUP(LEFT(Proc[[#This Row],[Requested]],1),Table3[#All],2,0),VLOOKUP(Proc[[#This Row],[Author]],Table4[],2,0))</f>
        <v>MGF</v>
      </c>
      <c r="L2610" s="125" t="s">
        <v>4897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19</v>
      </c>
      <c r="R2610" s="110" t="s">
        <v>485</v>
      </c>
      <c r="S2610" s="94"/>
    </row>
    <row r="2611" spans="1:19" hidden="1">
      <c r="A2611" s="103" t="s">
        <v>4425</v>
      </c>
      <c r="B2611" s="94" t="str">
        <f>IFERROR(VLOOKUP(Proc[[#This Row],[App]],Table2[],3,0),"open")</f>
        <v>ok</v>
      </c>
      <c r="C2611" s="117" t="s">
        <v>369</v>
      </c>
      <c r="D2611" t="s">
        <v>4535</v>
      </c>
      <c r="E2611" t="s">
        <v>4746</v>
      </c>
      <c r="F2611" s="94" t="s">
        <v>4746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4788</v>
      </c>
      <c r="J2611" s="94" t="b">
        <f>Proc[[#This Row],[Requested]]=Proc[[#This Row],[CurrentParent]]</f>
        <v>1</v>
      </c>
      <c r="K2611" s="94" t="str">
        <f>IF(Proc[[#This Row],[Author]]="Marcela Urrego",VLOOKUP(LEFT(Proc[[#This Row],[Requested]],1),Table3[#All],2,0),VLOOKUP(Proc[[#This Row],[Author]],Table4[],2,0))</f>
        <v>MGF</v>
      </c>
      <c r="L2611" s="125" t="s">
        <v>4897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19</v>
      </c>
      <c r="R2611" s="110" t="s">
        <v>485</v>
      </c>
      <c r="S2611" s="94"/>
    </row>
    <row r="2612" spans="1:19" hidden="1">
      <c r="A2612" s="103" t="s">
        <v>4425</v>
      </c>
      <c r="B2612" s="94" t="str">
        <f>IFERROR(VLOOKUP(Proc[[#This Row],[App]],Table2[],3,0),"open")</f>
        <v>ok</v>
      </c>
      <c r="C2612" s="117" t="s">
        <v>369</v>
      </c>
      <c r="D2612" t="s">
        <v>4536</v>
      </c>
      <c r="E2612" t="s">
        <v>4744</v>
      </c>
      <c r="F2612" s="94" t="s">
        <v>4744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4788</v>
      </c>
      <c r="J2612" s="94" t="b">
        <f>Proc[[#This Row],[Requested]]=Proc[[#This Row],[CurrentParent]]</f>
        <v>1</v>
      </c>
      <c r="K2612" s="94" t="str">
        <f>IF(Proc[[#This Row],[Author]]="Marcela Urrego",VLOOKUP(LEFT(Proc[[#This Row],[Requested]],1),Table3[#All],2,0),VLOOKUP(Proc[[#This Row],[Author]],Table4[],2,0))</f>
        <v>MGF</v>
      </c>
      <c r="L2612" s="125" t="s">
        <v>4897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19</v>
      </c>
      <c r="R2612" s="110" t="s">
        <v>485</v>
      </c>
      <c r="S2612" s="94"/>
    </row>
    <row r="2613" spans="1:19" hidden="1">
      <c r="A2613" s="103" t="s">
        <v>4425</v>
      </c>
      <c r="B2613" s="94" t="str">
        <f>IFERROR(VLOOKUP(Proc[[#This Row],[App]],Table2[],3,0),"open")</f>
        <v>ok</v>
      </c>
      <c r="C2613" s="117" t="s">
        <v>369</v>
      </c>
      <c r="D2613" t="s">
        <v>4537</v>
      </c>
      <c r="E2613" t="s">
        <v>4744</v>
      </c>
      <c r="F2613" s="94" t="s">
        <v>4744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4788</v>
      </c>
      <c r="J2613" s="94" t="b">
        <f>Proc[[#This Row],[Requested]]=Proc[[#This Row],[CurrentParent]]</f>
        <v>1</v>
      </c>
      <c r="K2613" s="94" t="str">
        <f>IF(Proc[[#This Row],[Author]]="Marcela Urrego",VLOOKUP(LEFT(Proc[[#This Row],[Requested]],1),Table3[#All],2,0),VLOOKUP(Proc[[#This Row],[Author]],Table4[],2,0))</f>
        <v>MGF</v>
      </c>
      <c r="L2613" s="125" t="s">
        <v>4897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19</v>
      </c>
      <c r="R2613" s="110" t="s">
        <v>485</v>
      </c>
      <c r="S2613" s="94"/>
    </row>
    <row r="2614" spans="1:19" hidden="1">
      <c r="A2614" s="103" t="s">
        <v>4425</v>
      </c>
      <c r="B2614" s="94" t="str">
        <f>IFERROR(VLOOKUP(Proc[[#This Row],[App]],Table2[],3,0),"open")</f>
        <v>ok</v>
      </c>
      <c r="C2614" s="117" t="s">
        <v>369</v>
      </c>
      <c r="D2614" t="s">
        <v>4538</v>
      </c>
      <c r="E2614" t="s">
        <v>4744</v>
      </c>
      <c r="F2614" s="94" t="s">
        <v>4744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4788</v>
      </c>
      <c r="J2614" s="94" t="b">
        <f>Proc[[#This Row],[Requested]]=Proc[[#This Row],[CurrentParent]]</f>
        <v>1</v>
      </c>
      <c r="K2614" s="94" t="str">
        <f>IF(Proc[[#This Row],[Author]]="Marcela Urrego",VLOOKUP(LEFT(Proc[[#This Row],[Requested]],1),Table3[#All],2,0),VLOOKUP(Proc[[#This Row],[Author]],Table4[],2,0))</f>
        <v>MGF</v>
      </c>
      <c r="L2614" s="125" t="s">
        <v>4897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19</v>
      </c>
      <c r="R2614" s="110" t="s">
        <v>485</v>
      </c>
      <c r="S2614" s="94"/>
    </row>
    <row r="2615" spans="1:19" hidden="1">
      <c r="A2615" s="103" t="s">
        <v>4425</v>
      </c>
      <c r="B2615" s="94" t="str">
        <f>IFERROR(VLOOKUP(Proc[[#This Row],[App]],Table2[],3,0),"open")</f>
        <v>ok</v>
      </c>
      <c r="C2615" s="117" t="s">
        <v>369</v>
      </c>
      <c r="D2615" t="s">
        <v>4539</v>
      </c>
      <c r="E2615" t="s">
        <v>4744</v>
      </c>
      <c r="F2615" s="94" t="s">
        <v>4744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4788</v>
      </c>
      <c r="J2615" s="94" t="b">
        <f>Proc[[#This Row],[Requested]]=Proc[[#This Row],[CurrentParent]]</f>
        <v>1</v>
      </c>
      <c r="K2615" s="94" t="str">
        <f>IF(Proc[[#This Row],[Author]]="Marcela Urrego",VLOOKUP(LEFT(Proc[[#This Row],[Requested]],1),Table3[#All],2,0),VLOOKUP(Proc[[#This Row],[Author]],Table4[],2,0))</f>
        <v>MGF</v>
      </c>
      <c r="L2615" s="125" t="s">
        <v>4897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19</v>
      </c>
      <c r="R2615" s="110" t="s">
        <v>485</v>
      </c>
      <c r="S2615" s="94"/>
    </row>
    <row r="2616" spans="1:19" hidden="1">
      <c r="A2616" s="103" t="s">
        <v>4425</v>
      </c>
      <c r="B2616" s="94" t="str">
        <f>IFERROR(VLOOKUP(Proc[[#This Row],[App]],Table2[],3,0),"open")</f>
        <v>ok</v>
      </c>
      <c r="C2616" s="117" t="s">
        <v>369</v>
      </c>
      <c r="D2616" t="s">
        <v>4540</v>
      </c>
      <c r="E2616" t="s">
        <v>4744</v>
      </c>
      <c r="F2616" s="94" t="s">
        <v>4744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4788</v>
      </c>
      <c r="J2616" s="94" t="b">
        <f>Proc[[#This Row],[Requested]]=Proc[[#This Row],[CurrentParent]]</f>
        <v>1</v>
      </c>
      <c r="K2616" s="94" t="str">
        <f>IF(Proc[[#This Row],[Author]]="Marcela Urrego",VLOOKUP(LEFT(Proc[[#This Row],[Requested]],1),Table3[#All],2,0),VLOOKUP(Proc[[#This Row],[Author]],Table4[],2,0))</f>
        <v>MGF</v>
      </c>
      <c r="L2616" s="125" t="s">
        <v>4897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19</v>
      </c>
      <c r="R2616" s="110" t="s">
        <v>485</v>
      </c>
      <c r="S2616" s="94"/>
    </row>
    <row r="2617" spans="1:19" hidden="1">
      <c r="A2617" s="103" t="s">
        <v>4425</v>
      </c>
      <c r="B2617" s="94" t="str">
        <f>IFERROR(VLOOKUP(Proc[[#This Row],[App]],Table2[],3,0),"open")</f>
        <v>ok</v>
      </c>
      <c r="C2617" s="117" t="s">
        <v>369</v>
      </c>
      <c r="D2617" t="s">
        <v>4541</v>
      </c>
      <c r="E2617" t="s">
        <v>4747</v>
      </c>
      <c r="F2617" s="94" t="s">
        <v>4747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4788</v>
      </c>
      <c r="J2617" s="94" t="b">
        <f>Proc[[#This Row],[Requested]]=Proc[[#This Row],[CurrentParent]]</f>
        <v>1</v>
      </c>
      <c r="K2617" s="94" t="str">
        <f>IF(Proc[[#This Row],[Author]]="Marcela Urrego",VLOOKUP(LEFT(Proc[[#This Row],[Requested]],1),Table3[#All],2,0),VLOOKUP(Proc[[#This Row],[Author]],Table4[],2,0))</f>
        <v>MGF</v>
      </c>
      <c r="L2617" s="125" t="s">
        <v>4897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19</v>
      </c>
      <c r="R2617" s="110" t="s">
        <v>485</v>
      </c>
      <c r="S2617" s="94"/>
    </row>
    <row r="2618" spans="1:19" hidden="1">
      <c r="A2618" s="103" t="s">
        <v>4425</v>
      </c>
      <c r="B2618" s="94" t="str">
        <f>IFERROR(VLOOKUP(Proc[[#This Row],[App]],Table2[],3,0),"open")</f>
        <v>ok</v>
      </c>
      <c r="C2618" s="117" t="s">
        <v>369</v>
      </c>
      <c r="D2618" t="s">
        <v>4542</v>
      </c>
      <c r="E2618" t="s">
        <v>4744</v>
      </c>
      <c r="F2618" s="94" t="s">
        <v>4744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4788</v>
      </c>
      <c r="J2618" s="94" t="b">
        <f>Proc[[#This Row],[Requested]]=Proc[[#This Row],[CurrentParent]]</f>
        <v>1</v>
      </c>
      <c r="K2618" s="94" t="str">
        <f>IF(Proc[[#This Row],[Author]]="Marcela Urrego",VLOOKUP(LEFT(Proc[[#This Row],[Requested]],1),Table3[#All],2,0),VLOOKUP(Proc[[#This Row],[Author]],Table4[],2,0))</f>
        <v>MGF</v>
      </c>
      <c r="L2618" s="125" t="s">
        <v>4897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19</v>
      </c>
      <c r="R2618" s="110" t="s">
        <v>485</v>
      </c>
      <c r="S2618" s="94"/>
    </row>
    <row r="2619" spans="1:19" hidden="1">
      <c r="A2619" s="103" t="s">
        <v>4425</v>
      </c>
      <c r="B2619" s="94" t="str">
        <f>IFERROR(VLOOKUP(Proc[[#This Row],[App]],Table2[],3,0),"open")</f>
        <v>ok</v>
      </c>
      <c r="C2619" s="117" t="s">
        <v>369</v>
      </c>
      <c r="D2619" t="s">
        <v>4543</v>
      </c>
      <c r="E2619" t="s">
        <v>4744</v>
      </c>
      <c r="F2619" s="94" t="s">
        <v>4744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4788</v>
      </c>
      <c r="J2619" s="94" t="b">
        <f>Proc[[#This Row],[Requested]]=Proc[[#This Row],[CurrentParent]]</f>
        <v>1</v>
      </c>
      <c r="K2619" s="94" t="str">
        <f>IF(Proc[[#This Row],[Author]]="Marcela Urrego",VLOOKUP(LEFT(Proc[[#This Row],[Requested]],1),Table3[#All],2,0),VLOOKUP(Proc[[#This Row],[Author]],Table4[],2,0))</f>
        <v>MGF</v>
      </c>
      <c r="L2619" s="125" t="s">
        <v>4897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19</v>
      </c>
      <c r="R2619" s="110" t="s">
        <v>485</v>
      </c>
      <c r="S2619" s="94"/>
    </row>
    <row r="2620" spans="1:19" hidden="1">
      <c r="A2620" s="103" t="s">
        <v>4425</v>
      </c>
      <c r="B2620" s="94" t="str">
        <f>IFERROR(VLOOKUP(Proc[[#This Row],[App]],Table2[],3,0),"open")</f>
        <v>ok</v>
      </c>
      <c r="C2620" s="117" t="s">
        <v>369</v>
      </c>
      <c r="D2620" t="s">
        <v>4544</v>
      </c>
      <c r="E2620" t="s">
        <v>4744</v>
      </c>
      <c r="F2620" s="94" t="s">
        <v>4744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4788</v>
      </c>
      <c r="J2620" s="94" t="b">
        <f>Proc[[#This Row],[Requested]]=Proc[[#This Row],[CurrentParent]]</f>
        <v>1</v>
      </c>
      <c r="K2620" s="94" t="str">
        <f>IF(Proc[[#This Row],[Author]]="Marcela Urrego",VLOOKUP(LEFT(Proc[[#This Row],[Requested]],1),Table3[#All],2,0),VLOOKUP(Proc[[#This Row],[Author]],Table4[],2,0))</f>
        <v>MGF</v>
      </c>
      <c r="L2620" s="125" t="s">
        <v>4897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19</v>
      </c>
      <c r="R2620" s="110" t="s">
        <v>485</v>
      </c>
      <c r="S2620" s="94"/>
    </row>
    <row r="2621" spans="1:19" hidden="1">
      <c r="A2621" s="103" t="s">
        <v>4425</v>
      </c>
      <c r="B2621" s="94" t="str">
        <f>IFERROR(VLOOKUP(Proc[[#This Row],[App]],Table2[],3,0),"open")</f>
        <v>ok</v>
      </c>
      <c r="C2621" s="117" t="s">
        <v>369</v>
      </c>
      <c r="D2621" t="s">
        <v>4545</v>
      </c>
      <c r="E2621" t="s">
        <v>4744</v>
      </c>
      <c r="F2621" s="94" t="s">
        <v>4744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4788</v>
      </c>
      <c r="J2621" s="94" t="b">
        <f>Proc[[#This Row],[Requested]]=Proc[[#This Row],[CurrentParent]]</f>
        <v>1</v>
      </c>
      <c r="K2621" s="94" t="str">
        <f>IF(Proc[[#This Row],[Author]]="Marcela Urrego",VLOOKUP(LEFT(Proc[[#This Row],[Requested]],1),Table3[#All],2,0),VLOOKUP(Proc[[#This Row],[Author]],Table4[],2,0))</f>
        <v>MGF</v>
      </c>
      <c r="L2621" s="125" t="s">
        <v>4897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19</v>
      </c>
      <c r="R2621" s="110" t="s">
        <v>485</v>
      </c>
      <c r="S2621" s="94"/>
    </row>
    <row r="2622" spans="1:19" hidden="1">
      <c r="A2622" s="103" t="s">
        <v>4425</v>
      </c>
      <c r="B2622" s="94" t="str">
        <f>IFERROR(VLOOKUP(Proc[[#This Row],[App]],Table2[],3,0),"open")</f>
        <v>ok</v>
      </c>
      <c r="C2622" s="117" t="s">
        <v>369</v>
      </c>
      <c r="D2622" t="s">
        <v>4546</v>
      </c>
      <c r="E2622" t="s">
        <v>4747</v>
      </c>
      <c r="F2622" s="94" t="s">
        <v>4747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4788</v>
      </c>
      <c r="J2622" s="94" t="b">
        <f>Proc[[#This Row],[Requested]]=Proc[[#This Row],[CurrentParent]]</f>
        <v>1</v>
      </c>
      <c r="K2622" s="94" t="str">
        <f>IF(Proc[[#This Row],[Author]]="Marcela Urrego",VLOOKUP(LEFT(Proc[[#This Row],[Requested]],1),Table3[#All],2,0),VLOOKUP(Proc[[#This Row],[Author]],Table4[],2,0))</f>
        <v>MGF</v>
      </c>
      <c r="L2622" s="125" t="s">
        <v>4897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19</v>
      </c>
      <c r="R2622" s="110" t="s">
        <v>485</v>
      </c>
      <c r="S2622" s="94"/>
    </row>
    <row r="2623" spans="1:19" hidden="1">
      <c r="A2623" s="103" t="s">
        <v>4425</v>
      </c>
      <c r="B2623" s="94" t="str">
        <f>IFERROR(VLOOKUP(Proc[[#This Row],[App]],Table2[],3,0),"open")</f>
        <v>ok</v>
      </c>
      <c r="C2623" s="117" t="s">
        <v>369</v>
      </c>
      <c r="D2623" t="s">
        <v>4547</v>
      </c>
      <c r="E2623" t="s">
        <v>4744</v>
      </c>
      <c r="F2623" s="94" t="s">
        <v>4744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4788</v>
      </c>
      <c r="J2623" s="94" t="b">
        <f>Proc[[#This Row],[Requested]]=Proc[[#This Row],[CurrentParent]]</f>
        <v>1</v>
      </c>
      <c r="K2623" s="94" t="str">
        <f>IF(Proc[[#This Row],[Author]]="Marcela Urrego",VLOOKUP(LEFT(Proc[[#This Row],[Requested]],1),Table3[#All],2,0),VLOOKUP(Proc[[#This Row],[Author]],Table4[],2,0))</f>
        <v>MGF</v>
      </c>
      <c r="L2623" s="125" t="s">
        <v>4897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19</v>
      </c>
      <c r="R2623" s="110" t="s">
        <v>485</v>
      </c>
      <c r="S2623" s="94"/>
    </row>
    <row r="2624" spans="1:19" hidden="1">
      <c r="A2624" s="103" t="s">
        <v>4425</v>
      </c>
      <c r="B2624" s="94" t="str">
        <f>IFERROR(VLOOKUP(Proc[[#This Row],[App]],Table2[],3,0),"open")</f>
        <v>ok</v>
      </c>
      <c r="C2624" s="117" t="s">
        <v>369</v>
      </c>
      <c r="D2624" t="s">
        <v>4548</v>
      </c>
      <c r="E2624" t="s">
        <v>4744</v>
      </c>
      <c r="F2624" s="94" t="s">
        <v>4744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4788</v>
      </c>
      <c r="J2624" s="94" t="b">
        <f>Proc[[#This Row],[Requested]]=Proc[[#This Row],[CurrentParent]]</f>
        <v>1</v>
      </c>
      <c r="K2624" s="94" t="str">
        <f>IF(Proc[[#This Row],[Author]]="Marcela Urrego",VLOOKUP(LEFT(Proc[[#This Row],[Requested]],1),Table3[#All],2,0),VLOOKUP(Proc[[#This Row],[Author]],Table4[],2,0))</f>
        <v>MGF</v>
      </c>
      <c r="L2624" s="125" t="s">
        <v>4897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19</v>
      </c>
      <c r="R2624" s="110" t="s">
        <v>485</v>
      </c>
      <c r="S2624" s="94"/>
    </row>
    <row r="2625" spans="1:19" hidden="1">
      <c r="A2625" s="103" t="s">
        <v>4425</v>
      </c>
      <c r="B2625" s="94" t="str">
        <f>IFERROR(VLOOKUP(Proc[[#This Row],[App]],Table2[],3,0),"open")</f>
        <v>ok</v>
      </c>
      <c r="C2625" s="117" t="s">
        <v>369</v>
      </c>
      <c r="D2625" t="s">
        <v>4549</v>
      </c>
      <c r="E2625" t="s">
        <v>4743</v>
      </c>
      <c r="F2625" s="94" t="s">
        <v>4743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4788</v>
      </c>
      <c r="J2625" s="94" t="b">
        <f>Proc[[#This Row],[Requested]]=Proc[[#This Row],[CurrentParent]]</f>
        <v>1</v>
      </c>
      <c r="K2625" s="94" t="str">
        <f>IF(Proc[[#This Row],[Author]]="Marcela Urrego",VLOOKUP(LEFT(Proc[[#This Row],[Requested]],1),Table3[#All],2,0),VLOOKUP(Proc[[#This Row],[Author]],Table4[],2,0))</f>
        <v>MGF</v>
      </c>
      <c r="L2625" s="125" t="s">
        <v>4897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19</v>
      </c>
      <c r="R2625" s="110" t="s">
        <v>485</v>
      </c>
      <c r="S2625" s="94"/>
    </row>
    <row r="2626" spans="1:19" hidden="1">
      <c r="A2626" s="103" t="s">
        <v>4425</v>
      </c>
      <c r="B2626" s="94" t="str">
        <f>IFERROR(VLOOKUP(Proc[[#This Row],[App]],Table2[],3,0),"open")</f>
        <v>ok</v>
      </c>
      <c r="C2626" s="117" t="s">
        <v>369</v>
      </c>
      <c r="D2626" t="s">
        <v>4550</v>
      </c>
      <c r="E2626" t="s">
        <v>4744</v>
      </c>
      <c r="F2626" s="94" t="s">
        <v>4744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4788</v>
      </c>
      <c r="J2626" s="94" t="b">
        <f>Proc[[#This Row],[Requested]]=Proc[[#This Row],[CurrentParent]]</f>
        <v>1</v>
      </c>
      <c r="K2626" s="94" t="str">
        <f>IF(Proc[[#This Row],[Author]]="Marcela Urrego",VLOOKUP(LEFT(Proc[[#This Row],[Requested]],1),Table3[#All],2,0),VLOOKUP(Proc[[#This Row],[Author]],Table4[],2,0))</f>
        <v>MGF</v>
      </c>
      <c r="L2626" s="125" t="s">
        <v>4897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19</v>
      </c>
      <c r="R2626" s="110" t="s">
        <v>485</v>
      </c>
      <c r="S2626" s="94"/>
    </row>
    <row r="2627" spans="1:19" hidden="1">
      <c r="A2627" s="103" t="s">
        <v>4425</v>
      </c>
      <c r="B2627" s="94" t="str">
        <f>IFERROR(VLOOKUP(Proc[[#This Row],[App]],Table2[],3,0),"open")</f>
        <v>ok</v>
      </c>
      <c r="C2627" s="117" t="s">
        <v>369</v>
      </c>
      <c r="D2627" t="s">
        <v>4551</v>
      </c>
      <c r="E2627" t="s">
        <v>4744</v>
      </c>
      <c r="F2627" s="94" t="s">
        <v>4744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4788</v>
      </c>
      <c r="J2627" s="94" t="b">
        <f>Proc[[#This Row],[Requested]]=Proc[[#This Row],[CurrentParent]]</f>
        <v>1</v>
      </c>
      <c r="K2627" s="94" t="str">
        <f>IF(Proc[[#This Row],[Author]]="Marcela Urrego",VLOOKUP(LEFT(Proc[[#This Row],[Requested]],1),Table3[#All],2,0),VLOOKUP(Proc[[#This Row],[Author]],Table4[],2,0))</f>
        <v>MGF</v>
      </c>
      <c r="L2627" s="125" t="s">
        <v>4897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19</v>
      </c>
      <c r="R2627" s="110" t="s">
        <v>485</v>
      </c>
      <c r="S2627" s="94"/>
    </row>
    <row r="2628" spans="1:19" hidden="1">
      <c r="A2628" s="103" t="s">
        <v>4425</v>
      </c>
      <c r="B2628" s="94" t="str">
        <f>IFERROR(VLOOKUP(Proc[[#This Row],[App]],Table2[],3,0),"open")</f>
        <v>ok</v>
      </c>
      <c r="C2628" s="117" t="s">
        <v>369</v>
      </c>
      <c r="D2628" t="s">
        <v>4552</v>
      </c>
      <c r="E2628" t="s">
        <v>4746</v>
      </c>
      <c r="F2628" s="94" t="s">
        <v>4746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4788</v>
      </c>
      <c r="J2628" s="94" t="b">
        <f>Proc[[#This Row],[Requested]]=Proc[[#This Row],[CurrentParent]]</f>
        <v>1</v>
      </c>
      <c r="K2628" s="94" t="str">
        <f>IF(Proc[[#This Row],[Author]]="Marcela Urrego",VLOOKUP(LEFT(Proc[[#This Row],[Requested]],1),Table3[#All],2,0),VLOOKUP(Proc[[#This Row],[Author]],Table4[],2,0))</f>
        <v>MGF</v>
      </c>
      <c r="L2628" s="125" t="s">
        <v>4897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19</v>
      </c>
      <c r="R2628" s="110" t="s">
        <v>485</v>
      </c>
      <c r="S2628" s="94"/>
    </row>
    <row r="2629" spans="1:19" hidden="1">
      <c r="A2629" s="103" t="s">
        <v>4425</v>
      </c>
      <c r="B2629" s="94" t="str">
        <f>IFERROR(VLOOKUP(Proc[[#This Row],[App]],Table2[],3,0),"open")</f>
        <v>ok</v>
      </c>
      <c r="C2629" s="117" t="s">
        <v>369</v>
      </c>
      <c r="D2629" t="s">
        <v>4553</v>
      </c>
      <c r="E2629" t="s">
        <v>4744</v>
      </c>
      <c r="F2629" s="94" t="s">
        <v>4744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4788</v>
      </c>
      <c r="J2629" s="94" t="b">
        <f>Proc[[#This Row],[Requested]]=Proc[[#This Row],[CurrentParent]]</f>
        <v>1</v>
      </c>
      <c r="K2629" s="94" t="str">
        <f>IF(Proc[[#This Row],[Author]]="Marcela Urrego",VLOOKUP(LEFT(Proc[[#This Row],[Requested]],1),Table3[#All],2,0),VLOOKUP(Proc[[#This Row],[Author]],Table4[],2,0))</f>
        <v>MGF</v>
      </c>
      <c r="L2629" s="125" t="s">
        <v>4897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19</v>
      </c>
      <c r="R2629" s="110" t="s">
        <v>485</v>
      </c>
      <c r="S2629" s="94"/>
    </row>
    <row r="2630" spans="1:19" hidden="1">
      <c r="A2630" s="103" t="s">
        <v>4425</v>
      </c>
      <c r="B2630" s="94" t="str">
        <f>IFERROR(VLOOKUP(Proc[[#This Row],[App]],Table2[],3,0),"open")</f>
        <v>ok</v>
      </c>
      <c r="C2630" s="117" t="s">
        <v>369</v>
      </c>
      <c r="D2630" t="s">
        <v>4554</v>
      </c>
      <c r="E2630" t="s">
        <v>4744</v>
      </c>
      <c r="F2630" s="94" t="s">
        <v>4744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4788</v>
      </c>
      <c r="J2630" s="94" t="b">
        <f>Proc[[#This Row],[Requested]]=Proc[[#This Row],[CurrentParent]]</f>
        <v>1</v>
      </c>
      <c r="K2630" s="94" t="str">
        <f>IF(Proc[[#This Row],[Author]]="Marcela Urrego",VLOOKUP(LEFT(Proc[[#This Row],[Requested]],1),Table3[#All],2,0),VLOOKUP(Proc[[#This Row],[Author]],Table4[],2,0))</f>
        <v>MGF</v>
      </c>
      <c r="L2630" s="125" t="s">
        <v>4897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19</v>
      </c>
      <c r="R2630" s="110" t="s">
        <v>485</v>
      </c>
      <c r="S2630" s="94"/>
    </row>
    <row r="2631" spans="1:19" hidden="1">
      <c r="A2631" s="103" t="s">
        <v>4425</v>
      </c>
      <c r="B2631" s="94" t="str">
        <f>IFERROR(VLOOKUP(Proc[[#This Row],[App]],Table2[],3,0),"open")</f>
        <v>ok</v>
      </c>
      <c r="C2631" s="117" t="s">
        <v>369</v>
      </c>
      <c r="D2631" t="s">
        <v>4555</v>
      </c>
      <c r="E2631" t="s">
        <v>4744</v>
      </c>
      <c r="F2631" s="94" t="s">
        <v>4744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4788</v>
      </c>
      <c r="J2631" s="94" t="b">
        <f>Proc[[#This Row],[Requested]]=Proc[[#This Row],[CurrentParent]]</f>
        <v>1</v>
      </c>
      <c r="K2631" s="94" t="str">
        <f>IF(Proc[[#This Row],[Author]]="Marcela Urrego",VLOOKUP(LEFT(Proc[[#This Row],[Requested]],1),Table3[#All],2,0),VLOOKUP(Proc[[#This Row],[Author]],Table4[],2,0))</f>
        <v>MGF</v>
      </c>
      <c r="L2631" s="125" t="s">
        <v>4897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19</v>
      </c>
      <c r="R2631" s="110" t="s">
        <v>485</v>
      </c>
      <c r="S2631" s="94"/>
    </row>
    <row r="2632" spans="1:19" hidden="1">
      <c r="A2632" s="103" t="s">
        <v>4425</v>
      </c>
      <c r="B2632" s="94" t="str">
        <f>IFERROR(VLOOKUP(Proc[[#This Row],[App]],Table2[],3,0),"open")</f>
        <v>ok</v>
      </c>
      <c r="C2632" s="117" t="s">
        <v>369</v>
      </c>
      <c r="D2632" t="s">
        <v>4556</v>
      </c>
      <c r="E2632" t="s">
        <v>4746</v>
      </c>
      <c r="F2632" s="94" t="s">
        <v>4746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4788</v>
      </c>
      <c r="J2632" s="94" t="b">
        <f>Proc[[#This Row],[Requested]]=Proc[[#This Row],[CurrentParent]]</f>
        <v>1</v>
      </c>
      <c r="K2632" s="94" t="str">
        <f>IF(Proc[[#This Row],[Author]]="Marcela Urrego",VLOOKUP(LEFT(Proc[[#This Row],[Requested]],1),Table3[#All],2,0),VLOOKUP(Proc[[#This Row],[Author]],Table4[],2,0))</f>
        <v>MGF</v>
      </c>
      <c r="L2632" s="125" t="s">
        <v>4897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19</v>
      </c>
      <c r="R2632" s="110" t="s">
        <v>485</v>
      </c>
      <c r="S2632" s="94"/>
    </row>
    <row r="2633" spans="1:19" hidden="1">
      <c r="A2633" s="103" t="s">
        <v>4425</v>
      </c>
      <c r="B2633" s="94" t="str">
        <f>IFERROR(VLOOKUP(Proc[[#This Row],[App]],Table2[],3,0),"open")</f>
        <v>ok</v>
      </c>
      <c r="C2633" s="117" t="s">
        <v>369</v>
      </c>
      <c r="D2633" t="s">
        <v>4557</v>
      </c>
      <c r="E2633" t="s">
        <v>4746</v>
      </c>
      <c r="F2633" s="94" t="s">
        <v>4746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4788</v>
      </c>
      <c r="J2633" s="94" t="b">
        <f>Proc[[#This Row],[Requested]]=Proc[[#This Row],[CurrentParent]]</f>
        <v>1</v>
      </c>
      <c r="K2633" s="94" t="str">
        <f>IF(Proc[[#This Row],[Author]]="Marcela Urrego",VLOOKUP(LEFT(Proc[[#This Row],[Requested]],1),Table3[#All],2,0),VLOOKUP(Proc[[#This Row],[Author]],Table4[],2,0))</f>
        <v>MGF</v>
      </c>
      <c r="L2633" s="125" t="s">
        <v>4897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19</v>
      </c>
      <c r="R2633" s="110" t="s">
        <v>485</v>
      </c>
      <c r="S2633" s="94"/>
    </row>
    <row r="2634" spans="1:19" hidden="1">
      <c r="A2634" s="103" t="s">
        <v>4425</v>
      </c>
      <c r="B2634" s="94" t="str">
        <f>IFERROR(VLOOKUP(Proc[[#This Row],[App]],Table2[],3,0),"open")</f>
        <v>ok</v>
      </c>
      <c r="C2634" s="117" t="s">
        <v>369</v>
      </c>
      <c r="D2634" t="s">
        <v>4558</v>
      </c>
      <c r="E2634" t="s">
        <v>4747</v>
      </c>
      <c r="F2634" s="94" t="s">
        <v>4747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4788</v>
      </c>
      <c r="J2634" s="94" t="b">
        <f>Proc[[#This Row],[Requested]]=Proc[[#This Row],[CurrentParent]]</f>
        <v>1</v>
      </c>
      <c r="K2634" s="94" t="str">
        <f>IF(Proc[[#This Row],[Author]]="Marcela Urrego",VLOOKUP(LEFT(Proc[[#This Row],[Requested]],1),Table3[#All],2,0),VLOOKUP(Proc[[#This Row],[Author]],Table4[],2,0))</f>
        <v>MGF</v>
      </c>
      <c r="L2634" s="125" t="s">
        <v>4897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19</v>
      </c>
      <c r="R2634" s="110" t="s">
        <v>485</v>
      </c>
      <c r="S2634" s="94"/>
    </row>
    <row r="2635" spans="1:19" hidden="1">
      <c r="A2635" s="103" t="s">
        <v>4425</v>
      </c>
      <c r="B2635" s="94" t="str">
        <f>IFERROR(VLOOKUP(Proc[[#This Row],[App]],Table2[],3,0),"open")</f>
        <v>ok</v>
      </c>
      <c r="C2635" s="117" t="s">
        <v>369</v>
      </c>
      <c r="D2635" t="s">
        <v>4559</v>
      </c>
      <c r="E2635" t="s">
        <v>4747</v>
      </c>
      <c r="F2635" s="94" t="s">
        <v>4747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4788</v>
      </c>
      <c r="J2635" s="94" t="b">
        <f>Proc[[#This Row],[Requested]]=Proc[[#This Row],[CurrentParent]]</f>
        <v>1</v>
      </c>
      <c r="K2635" s="94" t="str">
        <f>IF(Proc[[#This Row],[Author]]="Marcela Urrego",VLOOKUP(LEFT(Proc[[#This Row],[Requested]],1),Table3[#All],2,0),VLOOKUP(Proc[[#This Row],[Author]],Table4[],2,0))</f>
        <v>MGF</v>
      </c>
      <c r="L2635" s="125" t="s">
        <v>4897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19</v>
      </c>
      <c r="R2635" s="110" t="s">
        <v>485</v>
      </c>
      <c r="S2635" s="94"/>
    </row>
    <row r="2636" spans="1:19" hidden="1">
      <c r="A2636" s="103" t="s">
        <v>4425</v>
      </c>
      <c r="B2636" s="94" t="str">
        <f>IFERROR(VLOOKUP(Proc[[#This Row],[App]],Table2[],3,0),"open")</f>
        <v>ok</v>
      </c>
      <c r="C2636" s="117" t="s">
        <v>369</v>
      </c>
      <c r="D2636" t="s">
        <v>4560</v>
      </c>
      <c r="E2636" t="s">
        <v>4747</v>
      </c>
      <c r="F2636" s="94" t="s">
        <v>4747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4788</v>
      </c>
      <c r="J2636" s="94" t="b">
        <f>Proc[[#This Row],[Requested]]=Proc[[#This Row],[CurrentParent]]</f>
        <v>1</v>
      </c>
      <c r="K2636" s="94" t="str">
        <f>IF(Proc[[#This Row],[Author]]="Marcela Urrego",VLOOKUP(LEFT(Proc[[#This Row],[Requested]],1),Table3[#All],2,0),VLOOKUP(Proc[[#This Row],[Author]],Table4[],2,0))</f>
        <v>MGF</v>
      </c>
      <c r="L2636" s="125" t="s">
        <v>4897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19</v>
      </c>
      <c r="R2636" s="110" t="s">
        <v>485</v>
      </c>
      <c r="S2636" s="94"/>
    </row>
    <row r="2637" spans="1:19" hidden="1">
      <c r="A2637" s="103" t="s">
        <v>4425</v>
      </c>
      <c r="B2637" s="94" t="str">
        <f>IFERROR(VLOOKUP(Proc[[#This Row],[App]],Table2[],3,0),"open")</f>
        <v>ok</v>
      </c>
      <c r="C2637" s="117" t="s">
        <v>369</v>
      </c>
      <c r="D2637" t="s">
        <v>4561</v>
      </c>
      <c r="E2637" t="s">
        <v>4744</v>
      </c>
      <c r="F2637" s="94" t="s">
        <v>4744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4788</v>
      </c>
      <c r="J2637" s="94" t="b">
        <f>Proc[[#This Row],[Requested]]=Proc[[#This Row],[CurrentParent]]</f>
        <v>1</v>
      </c>
      <c r="K2637" s="94" t="str">
        <f>IF(Proc[[#This Row],[Author]]="Marcela Urrego",VLOOKUP(LEFT(Proc[[#This Row],[Requested]],1),Table3[#All],2,0),VLOOKUP(Proc[[#This Row],[Author]],Table4[],2,0))</f>
        <v>MGF</v>
      </c>
      <c r="L2637" s="125" t="s">
        <v>4897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19</v>
      </c>
      <c r="R2637" s="110" t="s">
        <v>485</v>
      </c>
      <c r="S2637" s="94"/>
    </row>
    <row r="2638" spans="1:19" hidden="1">
      <c r="A2638" s="103" t="s">
        <v>4425</v>
      </c>
      <c r="B2638" s="94" t="str">
        <f>IFERROR(VLOOKUP(Proc[[#This Row],[App]],Table2[],3,0),"open")</f>
        <v>ok</v>
      </c>
      <c r="C2638" s="117" t="s">
        <v>369</v>
      </c>
      <c r="D2638" t="s">
        <v>4562</v>
      </c>
      <c r="E2638" t="s">
        <v>4744</v>
      </c>
      <c r="F2638" s="94" t="s">
        <v>4744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4788</v>
      </c>
      <c r="J2638" s="94" t="b">
        <f>Proc[[#This Row],[Requested]]=Proc[[#This Row],[CurrentParent]]</f>
        <v>1</v>
      </c>
      <c r="K2638" s="94" t="str">
        <f>IF(Proc[[#This Row],[Author]]="Marcela Urrego",VLOOKUP(LEFT(Proc[[#This Row],[Requested]],1),Table3[#All],2,0),VLOOKUP(Proc[[#This Row],[Author]],Table4[],2,0))</f>
        <v>MGF</v>
      </c>
      <c r="L2638" s="125" t="s">
        <v>4897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19</v>
      </c>
      <c r="R2638" s="110" t="s">
        <v>485</v>
      </c>
      <c r="S2638" s="94"/>
    </row>
    <row r="2639" spans="1:19" hidden="1">
      <c r="A2639" s="103" t="s">
        <v>4425</v>
      </c>
      <c r="B2639" s="94" t="str">
        <f>IFERROR(VLOOKUP(Proc[[#This Row],[App]],Table2[],3,0),"open")</f>
        <v>ok</v>
      </c>
      <c r="C2639" s="117" t="s">
        <v>369</v>
      </c>
      <c r="D2639" t="s">
        <v>4563</v>
      </c>
      <c r="E2639" t="s">
        <v>4746</v>
      </c>
      <c r="F2639" s="94" t="s">
        <v>4746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4788</v>
      </c>
      <c r="J2639" s="94" t="b">
        <f>Proc[[#This Row],[Requested]]=Proc[[#This Row],[CurrentParent]]</f>
        <v>1</v>
      </c>
      <c r="K2639" s="94" t="str">
        <f>IF(Proc[[#This Row],[Author]]="Marcela Urrego",VLOOKUP(LEFT(Proc[[#This Row],[Requested]],1),Table3[#All],2,0),VLOOKUP(Proc[[#This Row],[Author]],Table4[],2,0))</f>
        <v>MGF</v>
      </c>
      <c r="L2639" s="125" t="s">
        <v>4897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19</v>
      </c>
      <c r="R2639" s="110" t="s">
        <v>485</v>
      </c>
      <c r="S2639" s="94"/>
    </row>
    <row r="2640" spans="1:19" hidden="1">
      <c r="A2640" s="103" t="s">
        <v>4425</v>
      </c>
      <c r="B2640" s="94" t="str">
        <f>IFERROR(VLOOKUP(Proc[[#This Row],[App]],Table2[],3,0),"open")</f>
        <v>ok</v>
      </c>
      <c r="C2640" s="117" t="s">
        <v>369</v>
      </c>
      <c r="D2640" t="s">
        <v>4564</v>
      </c>
      <c r="E2640" t="s">
        <v>4746</v>
      </c>
      <c r="F2640" s="94" t="s">
        <v>4746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4788</v>
      </c>
      <c r="J2640" s="94" t="b">
        <f>Proc[[#This Row],[Requested]]=Proc[[#This Row],[CurrentParent]]</f>
        <v>1</v>
      </c>
      <c r="K2640" s="94" t="str">
        <f>IF(Proc[[#This Row],[Author]]="Marcela Urrego",VLOOKUP(LEFT(Proc[[#This Row],[Requested]],1),Table3[#All],2,0),VLOOKUP(Proc[[#This Row],[Author]],Table4[],2,0))</f>
        <v>MGF</v>
      </c>
      <c r="L2640" s="125" t="s">
        <v>4897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19</v>
      </c>
      <c r="R2640" s="110" t="s">
        <v>485</v>
      </c>
      <c r="S2640" s="94"/>
    </row>
    <row r="2641" spans="1:19" hidden="1">
      <c r="A2641" s="103" t="s">
        <v>4425</v>
      </c>
      <c r="B2641" s="94" t="str">
        <f>IFERROR(VLOOKUP(Proc[[#This Row],[App]],Table2[],3,0),"open")</f>
        <v>ok</v>
      </c>
      <c r="C2641" s="117" t="s">
        <v>369</v>
      </c>
      <c r="D2641" t="s">
        <v>4565</v>
      </c>
      <c r="E2641" t="s">
        <v>4746</v>
      </c>
      <c r="F2641" s="94" t="s">
        <v>4746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4788</v>
      </c>
      <c r="J2641" s="94" t="b">
        <f>Proc[[#This Row],[Requested]]=Proc[[#This Row],[CurrentParent]]</f>
        <v>1</v>
      </c>
      <c r="K2641" s="94" t="str">
        <f>IF(Proc[[#This Row],[Author]]="Marcela Urrego",VLOOKUP(LEFT(Proc[[#This Row],[Requested]],1),Table3[#All],2,0),VLOOKUP(Proc[[#This Row],[Author]],Table4[],2,0))</f>
        <v>MGF</v>
      </c>
      <c r="L2641" s="125" t="s">
        <v>4897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19</v>
      </c>
      <c r="R2641" s="110" t="s">
        <v>485</v>
      </c>
      <c r="S2641" s="94"/>
    </row>
    <row r="2642" spans="1:19" hidden="1">
      <c r="A2642" s="103" t="s">
        <v>4425</v>
      </c>
      <c r="B2642" s="94" t="str">
        <f>IFERROR(VLOOKUP(Proc[[#This Row],[App]],Table2[],3,0),"open")</f>
        <v>ok</v>
      </c>
      <c r="C2642" s="117" t="s">
        <v>369</v>
      </c>
      <c r="D2642" t="s">
        <v>4566</v>
      </c>
      <c r="E2642" t="s">
        <v>4746</v>
      </c>
      <c r="F2642" s="94" t="s">
        <v>4746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4788</v>
      </c>
      <c r="J2642" s="94" t="b">
        <f>Proc[[#This Row],[Requested]]=Proc[[#This Row],[CurrentParent]]</f>
        <v>1</v>
      </c>
      <c r="K2642" s="94" t="str">
        <f>IF(Proc[[#This Row],[Author]]="Marcela Urrego",VLOOKUP(LEFT(Proc[[#This Row],[Requested]],1),Table3[#All],2,0),VLOOKUP(Proc[[#This Row],[Author]],Table4[],2,0))</f>
        <v>MGF</v>
      </c>
      <c r="L2642" s="125" t="s">
        <v>4897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19</v>
      </c>
      <c r="R2642" s="110" t="s">
        <v>485</v>
      </c>
      <c r="S2642" s="94"/>
    </row>
    <row r="2643" spans="1:19" hidden="1">
      <c r="A2643" s="103" t="s">
        <v>4425</v>
      </c>
      <c r="B2643" s="94" t="str">
        <f>IFERROR(VLOOKUP(Proc[[#This Row],[App]],Table2[],3,0),"open")</f>
        <v>ok</v>
      </c>
      <c r="C2643" s="117" t="s">
        <v>369</v>
      </c>
      <c r="D2643" t="s">
        <v>4567</v>
      </c>
      <c r="E2643" t="s">
        <v>4744</v>
      </c>
      <c r="F2643" s="94" t="s">
        <v>4744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4788</v>
      </c>
      <c r="J2643" s="94" t="b">
        <f>Proc[[#This Row],[Requested]]=Proc[[#This Row],[CurrentParent]]</f>
        <v>1</v>
      </c>
      <c r="K2643" s="94" t="str">
        <f>IF(Proc[[#This Row],[Author]]="Marcela Urrego",VLOOKUP(LEFT(Proc[[#This Row],[Requested]],1),Table3[#All],2,0),VLOOKUP(Proc[[#This Row],[Author]],Table4[],2,0))</f>
        <v>MGF</v>
      </c>
      <c r="L2643" s="125" t="s">
        <v>4897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19</v>
      </c>
      <c r="R2643" s="110" t="s">
        <v>485</v>
      </c>
      <c r="S2643" s="94"/>
    </row>
    <row r="2644" spans="1:19" hidden="1">
      <c r="A2644" s="103" t="s">
        <v>4425</v>
      </c>
      <c r="B2644" s="94" t="str">
        <f>IFERROR(VLOOKUP(Proc[[#This Row],[App]],Table2[],3,0),"open")</f>
        <v>ok</v>
      </c>
      <c r="C2644" s="117" t="s">
        <v>369</v>
      </c>
      <c r="D2644" t="s">
        <v>4568</v>
      </c>
      <c r="E2644" t="s">
        <v>4744</v>
      </c>
      <c r="F2644" s="94" t="s">
        <v>4744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4788</v>
      </c>
      <c r="J2644" s="94" t="b">
        <f>Proc[[#This Row],[Requested]]=Proc[[#This Row],[CurrentParent]]</f>
        <v>1</v>
      </c>
      <c r="K2644" s="94" t="str">
        <f>IF(Proc[[#This Row],[Author]]="Marcela Urrego",VLOOKUP(LEFT(Proc[[#This Row],[Requested]],1),Table3[#All],2,0),VLOOKUP(Proc[[#This Row],[Author]],Table4[],2,0))</f>
        <v>MGF</v>
      </c>
      <c r="L2644" s="125" t="s">
        <v>4897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19</v>
      </c>
      <c r="R2644" s="110" t="s">
        <v>485</v>
      </c>
      <c r="S2644" s="94"/>
    </row>
    <row r="2645" spans="1:19" hidden="1">
      <c r="A2645" s="103" t="s">
        <v>4425</v>
      </c>
      <c r="B2645" s="94" t="str">
        <f>IFERROR(VLOOKUP(Proc[[#This Row],[App]],Table2[],3,0),"open")</f>
        <v>ok</v>
      </c>
      <c r="C2645" s="117" t="s">
        <v>369</v>
      </c>
      <c r="D2645" t="s">
        <v>4569</v>
      </c>
      <c r="E2645" t="s">
        <v>4744</v>
      </c>
      <c r="F2645" s="94" t="s">
        <v>4744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4788</v>
      </c>
      <c r="J2645" s="94" t="b">
        <f>Proc[[#This Row],[Requested]]=Proc[[#This Row],[CurrentParent]]</f>
        <v>1</v>
      </c>
      <c r="K2645" s="94" t="str">
        <f>IF(Proc[[#This Row],[Author]]="Marcela Urrego",VLOOKUP(LEFT(Proc[[#This Row],[Requested]],1),Table3[#All],2,0),VLOOKUP(Proc[[#This Row],[Author]],Table4[],2,0))</f>
        <v>MGF</v>
      </c>
      <c r="L2645" s="125" t="s">
        <v>4897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19</v>
      </c>
      <c r="R2645" s="110" t="s">
        <v>485</v>
      </c>
      <c r="S2645" s="94"/>
    </row>
    <row r="2646" spans="1:19" hidden="1">
      <c r="A2646" s="103" t="s">
        <v>4425</v>
      </c>
      <c r="B2646" s="94" t="str">
        <f>IFERROR(VLOOKUP(Proc[[#This Row],[App]],Table2[],3,0),"open")</f>
        <v>ok</v>
      </c>
      <c r="C2646" s="117" t="s">
        <v>369</v>
      </c>
      <c r="D2646" t="s">
        <v>4570</v>
      </c>
      <c r="E2646" t="s">
        <v>4744</v>
      </c>
      <c r="F2646" s="94" t="s">
        <v>4744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4788</v>
      </c>
      <c r="J2646" s="94" t="b">
        <f>Proc[[#This Row],[Requested]]=Proc[[#This Row],[CurrentParent]]</f>
        <v>1</v>
      </c>
      <c r="K2646" s="94" t="str">
        <f>IF(Proc[[#This Row],[Author]]="Marcela Urrego",VLOOKUP(LEFT(Proc[[#This Row],[Requested]],1),Table3[#All],2,0),VLOOKUP(Proc[[#This Row],[Author]],Table4[],2,0))</f>
        <v>MGF</v>
      </c>
      <c r="L2646" s="125" t="s">
        <v>4897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19</v>
      </c>
      <c r="R2646" s="110" t="s">
        <v>485</v>
      </c>
      <c r="S2646" s="94"/>
    </row>
    <row r="2647" spans="1:19" hidden="1">
      <c r="A2647" s="103" t="s">
        <v>4425</v>
      </c>
      <c r="B2647" s="94" t="str">
        <f>IFERROR(VLOOKUP(Proc[[#This Row],[App]],Table2[],3,0),"open")</f>
        <v>ok</v>
      </c>
      <c r="C2647" s="117" t="s">
        <v>369</v>
      </c>
      <c r="D2647" t="s">
        <v>4571</v>
      </c>
      <c r="E2647" t="s">
        <v>4746</v>
      </c>
      <c r="F2647" s="94" t="s">
        <v>4746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4788</v>
      </c>
      <c r="J2647" s="94" t="b">
        <f>Proc[[#This Row],[Requested]]=Proc[[#This Row],[CurrentParent]]</f>
        <v>1</v>
      </c>
      <c r="K2647" s="94" t="str">
        <f>IF(Proc[[#This Row],[Author]]="Marcela Urrego",VLOOKUP(LEFT(Proc[[#This Row],[Requested]],1),Table3[#All],2,0),VLOOKUP(Proc[[#This Row],[Author]],Table4[],2,0))</f>
        <v>MGF</v>
      </c>
      <c r="L2647" s="125" t="s">
        <v>4897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19</v>
      </c>
      <c r="R2647" s="110" t="s">
        <v>485</v>
      </c>
      <c r="S2647" s="94"/>
    </row>
    <row r="2648" spans="1:19" hidden="1">
      <c r="A2648" s="103" t="s">
        <v>4425</v>
      </c>
      <c r="B2648" s="94" t="str">
        <f>IFERROR(VLOOKUP(Proc[[#This Row],[App]],Table2[],3,0),"open")</f>
        <v>ok</v>
      </c>
      <c r="C2648" s="117" t="s">
        <v>369</v>
      </c>
      <c r="D2648" t="s">
        <v>4572</v>
      </c>
      <c r="E2648" t="s">
        <v>4747</v>
      </c>
      <c r="F2648" s="94" t="s">
        <v>4747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4788</v>
      </c>
      <c r="J2648" s="94" t="b">
        <f>Proc[[#This Row],[Requested]]=Proc[[#This Row],[CurrentParent]]</f>
        <v>1</v>
      </c>
      <c r="K2648" s="94" t="str">
        <f>IF(Proc[[#This Row],[Author]]="Marcela Urrego",VLOOKUP(LEFT(Proc[[#This Row],[Requested]],1),Table3[#All],2,0),VLOOKUP(Proc[[#This Row],[Author]],Table4[],2,0))</f>
        <v>MGF</v>
      </c>
      <c r="L2648" s="125" t="s">
        <v>4897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19</v>
      </c>
      <c r="R2648" s="110" t="s">
        <v>485</v>
      </c>
      <c r="S2648" s="94"/>
    </row>
    <row r="2649" spans="1:19" hidden="1">
      <c r="A2649" s="103" t="s">
        <v>4425</v>
      </c>
      <c r="B2649" s="94" t="str">
        <f>IFERROR(VLOOKUP(Proc[[#This Row],[App]],Table2[],3,0),"open")</f>
        <v>ok</v>
      </c>
      <c r="C2649" s="117" t="s">
        <v>369</v>
      </c>
      <c r="D2649" t="s">
        <v>4573</v>
      </c>
      <c r="E2649" t="s">
        <v>4747</v>
      </c>
      <c r="F2649" s="94" t="s">
        <v>4747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4788</v>
      </c>
      <c r="J2649" s="94" t="b">
        <f>Proc[[#This Row],[Requested]]=Proc[[#This Row],[CurrentParent]]</f>
        <v>1</v>
      </c>
      <c r="K2649" s="94" t="str">
        <f>IF(Proc[[#This Row],[Author]]="Marcela Urrego",VLOOKUP(LEFT(Proc[[#This Row],[Requested]],1),Table3[#All],2,0),VLOOKUP(Proc[[#This Row],[Author]],Table4[],2,0))</f>
        <v>MGF</v>
      </c>
      <c r="L2649" s="125" t="s">
        <v>4897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19</v>
      </c>
      <c r="R2649" s="110" t="s">
        <v>485</v>
      </c>
      <c r="S2649" s="94"/>
    </row>
    <row r="2650" spans="1:19" hidden="1">
      <c r="A2650" s="103" t="s">
        <v>4425</v>
      </c>
      <c r="B2650" s="94" t="str">
        <f>IFERROR(VLOOKUP(Proc[[#This Row],[App]],Table2[],3,0),"open")</f>
        <v>ok</v>
      </c>
      <c r="C2650" s="117" t="s">
        <v>369</v>
      </c>
      <c r="D2650" t="s">
        <v>4574</v>
      </c>
      <c r="E2650" t="s">
        <v>4747</v>
      </c>
      <c r="F2650" s="94" t="s">
        <v>4747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4788</v>
      </c>
      <c r="J2650" s="94" t="b">
        <f>Proc[[#This Row],[Requested]]=Proc[[#This Row],[CurrentParent]]</f>
        <v>1</v>
      </c>
      <c r="K2650" s="94" t="str">
        <f>IF(Proc[[#This Row],[Author]]="Marcela Urrego",VLOOKUP(LEFT(Proc[[#This Row],[Requested]],1),Table3[#All],2,0),VLOOKUP(Proc[[#This Row],[Author]],Table4[],2,0))</f>
        <v>MGF</v>
      </c>
      <c r="L2650" s="125" t="s">
        <v>4897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19</v>
      </c>
      <c r="R2650" s="110" t="s">
        <v>485</v>
      </c>
      <c r="S2650" s="94"/>
    </row>
    <row r="2651" spans="1:19" hidden="1">
      <c r="A2651" s="103" t="s">
        <v>4425</v>
      </c>
      <c r="B2651" s="94" t="str">
        <f>IFERROR(VLOOKUP(Proc[[#This Row],[App]],Table2[],3,0),"open")</f>
        <v>ok</v>
      </c>
      <c r="C2651" s="117" t="s">
        <v>369</v>
      </c>
      <c r="D2651" t="s">
        <v>4575</v>
      </c>
      <c r="E2651" t="s">
        <v>4747</v>
      </c>
      <c r="F2651" s="94" t="s">
        <v>4747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4788</v>
      </c>
      <c r="J2651" s="94" t="b">
        <f>Proc[[#This Row],[Requested]]=Proc[[#This Row],[CurrentParent]]</f>
        <v>1</v>
      </c>
      <c r="K2651" s="94" t="str">
        <f>IF(Proc[[#This Row],[Author]]="Marcela Urrego",VLOOKUP(LEFT(Proc[[#This Row],[Requested]],1),Table3[#All],2,0),VLOOKUP(Proc[[#This Row],[Author]],Table4[],2,0))</f>
        <v>MGF</v>
      </c>
      <c r="L2651" s="125" t="s">
        <v>4897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19</v>
      </c>
      <c r="R2651" s="110" t="s">
        <v>485</v>
      </c>
      <c r="S2651" s="94"/>
    </row>
    <row r="2652" spans="1:19" hidden="1">
      <c r="A2652" s="103" t="s">
        <v>4425</v>
      </c>
      <c r="B2652" s="94" t="str">
        <f>IFERROR(VLOOKUP(Proc[[#This Row],[App]],Table2[],3,0),"open")</f>
        <v>ok</v>
      </c>
      <c r="C2652" s="117" t="s">
        <v>369</v>
      </c>
      <c r="D2652" t="s">
        <v>4576</v>
      </c>
      <c r="E2652" t="s">
        <v>4744</v>
      </c>
      <c r="F2652" s="94" t="s">
        <v>4744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4788</v>
      </c>
      <c r="J2652" s="94" t="b">
        <f>Proc[[#This Row],[Requested]]=Proc[[#This Row],[CurrentParent]]</f>
        <v>1</v>
      </c>
      <c r="K2652" s="94" t="str">
        <f>IF(Proc[[#This Row],[Author]]="Marcela Urrego",VLOOKUP(LEFT(Proc[[#This Row],[Requested]],1),Table3[#All],2,0),VLOOKUP(Proc[[#This Row],[Author]],Table4[],2,0))</f>
        <v>MGF</v>
      </c>
      <c r="L2652" s="125" t="s">
        <v>4897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19</v>
      </c>
      <c r="R2652" s="110" t="s">
        <v>485</v>
      </c>
      <c r="S2652" s="94"/>
    </row>
    <row r="2653" spans="1:19" hidden="1">
      <c r="A2653" s="103" t="s">
        <v>4425</v>
      </c>
      <c r="B2653" s="94" t="str">
        <f>IFERROR(VLOOKUP(Proc[[#This Row],[App]],Table2[],3,0),"open")</f>
        <v>ok</v>
      </c>
      <c r="C2653" s="117" t="s">
        <v>369</v>
      </c>
      <c r="D2653" t="s">
        <v>4577</v>
      </c>
      <c r="E2653" t="s">
        <v>4743</v>
      </c>
      <c r="F2653" s="94" t="s">
        <v>4743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4788</v>
      </c>
      <c r="J2653" s="94" t="b">
        <f>Proc[[#This Row],[Requested]]=Proc[[#This Row],[CurrentParent]]</f>
        <v>1</v>
      </c>
      <c r="K2653" s="94" t="str">
        <f>IF(Proc[[#This Row],[Author]]="Marcela Urrego",VLOOKUP(LEFT(Proc[[#This Row],[Requested]],1),Table3[#All],2,0),VLOOKUP(Proc[[#This Row],[Author]],Table4[],2,0))</f>
        <v>MGF</v>
      </c>
      <c r="L2653" s="125" t="s">
        <v>4897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19</v>
      </c>
      <c r="R2653" s="110" t="s">
        <v>485</v>
      </c>
      <c r="S2653" s="94"/>
    </row>
    <row r="2654" spans="1:19" hidden="1">
      <c r="A2654" s="103" t="s">
        <v>4425</v>
      </c>
      <c r="B2654" s="94" t="str">
        <f>IFERROR(VLOOKUP(Proc[[#This Row],[App]],Table2[],3,0),"open")</f>
        <v>ok</v>
      </c>
      <c r="C2654" s="117" t="s">
        <v>369</v>
      </c>
      <c r="D2654" t="s">
        <v>4578</v>
      </c>
      <c r="E2654" t="s">
        <v>4743</v>
      </c>
      <c r="F2654" s="94" t="s">
        <v>4743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4788</v>
      </c>
      <c r="J2654" s="94" t="b">
        <f>Proc[[#This Row],[Requested]]=Proc[[#This Row],[CurrentParent]]</f>
        <v>1</v>
      </c>
      <c r="K2654" s="94" t="str">
        <f>IF(Proc[[#This Row],[Author]]="Marcela Urrego",VLOOKUP(LEFT(Proc[[#This Row],[Requested]],1),Table3[#All],2,0),VLOOKUP(Proc[[#This Row],[Author]],Table4[],2,0))</f>
        <v>MGF</v>
      </c>
      <c r="L2654" s="125" t="s">
        <v>4897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19</v>
      </c>
      <c r="R2654" s="110" t="s">
        <v>485</v>
      </c>
      <c r="S2654" s="94"/>
    </row>
    <row r="2655" spans="1:19" hidden="1">
      <c r="A2655" s="103" t="s">
        <v>4425</v>
      </c>
      <c r="B2655" s="94" t="str">
        <f>IFERROR(VLOOKUP(Proc[[#This Row],[App]],Table2[],3,0),"open")</f>
        <v>ok</v>
      </c>
      <c r="C2655" s="117" t="s">
        <v>369</v>
      </c>
      <c r="D2655" t="s">
        <v>4579</v>
      </c>
      <c r="E2655" t="s">
        <v>4747</v>
      </c>
      <c r="F2655" s="94" t="s">
        <v>4747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4788</v>
      </c>
      <c r="J2655" s="94" t="b">
        <f>Proc[[#This Row],[Requested]]=Proc[[#This Row],[CurrentParent]]</f>
        <v>1</v>
      </c>
      <c r="K2655" s="94" t="str">
        <f>IF(Proc[[#This Row],[Author]]="Marcela Urrego",VLOOKUP(LEFT(Proc[[#This Row],[Requested]],1),Table3[#All],2,0),VLOOKUP(Proc[[#This Row],[Author]],Table4[],2,0))</f>
        <v>MGF</v>
      </c>
      <c r="L2655" s="125" t="s">
        <v>4897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19</v>
      </c>
      <c r="R2655" s="110" t="s">
        <v>485</v>
      </c>
      <c r="S2655" s="94"/>
    </row>
    <row r="2656" spans="1:19" hidden="1">
      <c r="A2656" s="103" t="s">
        <v>4425</v>
      </c>
      <c r="B2656" s="94" t="str">
        <f>IFERROR(VLOOKUP(Proc[[#This Row],[App]],Table2[],3,0),"open")</f>
        <v>ok</v>
      </c>
      <c r="C2656" s="117" t="s">
        <v>369</v>
      </c>
      <c r="D2656" t="s">
        <v>4580</v>
      </c>
      <c r="E2656" t="s">
        <v>4743</v>
      </c>
      <c r="F2656" s="94" t="s">
        <v>4743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4788</v>
      </c>
      <c r="J2656" s="94" t="b">
        <f>Proc[[#This Row],[Requested]]=Proc[[#This Row],[CurrentParent]]</f>
        <v>1</v>
      </c>
      <c r="K2656" s="94" t="str">
        <f>IF(Proc[[#This Row],[Author]]="Marcela Urrego",VLOOKUP(LEFT(Proc[[#This Row],[Requested]],1),Table3[#All],2,0),VLOOKUP(Proc[[#This Row],[Author]],Table4[],2,0))</f>
        <v>MGF</v>
      </c>
      <c r="L2656" s="125" t="s">
        <v>4897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19</v>
      </c>
      <c r="R2656" s="110" t="s">
        <v>485</v>
      </c>
      <c r="S2656" s="94"/>
    </row>
    <row r="2657" spans="1:19" hidden="1">
      <c r="A2657" s="103" t="s">
        <v>4425</v>
      </c>
      <c r="B2657" s="94" t="str">
        <f>IFERROR(VLOOKUP(Proc[[#This Row],[App]],Table2[],3,0),"open")</f>
        <v>ok</v>
      </c>
      <c r="C2657" s="117" t="s">
        <v>369</v>
      </c>
      <c r="D2657" t="s">
        <v>4581</v>
      </c>
      <c r="E2657" t="s">
        <v>4748</v>
      </c>
      <c r="F2657" s="94" t="s">
        <v>4748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4788</v>
      </c>
      <c r="J2657" s="94" t="b">
        <f>Proc[[#This Row],[Requested]]=Proc[[#This Row],[CurrentParent]]</f>
        <v>1</v>
      </c>
      <c r="K2657" s="94" t="str">
        <f>IF(Proc[[#This Row],[Author]]="Marcela Urrego",VLOOKUP(LEFT(Proc[[#This Row],[Requested]],1),Table3[#All],2,0),VLOOKUP(Proc[[#This Row],[Author]],Table4[],2,0))</f>
        <v>MGF</v>
      </c>
      <c r="L2657" s="125" t="s">
        <v>4897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19</v>
      </c>
      <c r="R2657" s="110" t="s">
        <v>485</v>
      </c>
      <c r="S2657" s="94"/>
    </row>
    <row r="2658" spans="1:19" hidden="1">
      <c r="A2658" s="103" t="s">
        <v>4425</v>
      </c>
      <c r="B2658" s="94" t="str">
        <f>IFERROR(VLOOKUP(Proc[[#This Row],[App]],Table2[],3,0),"open")</f>
        <v>ok</v>
      </c>
      <c r="C2658" s="117" t="s">
        <v>369</v>
      </c>
      <c r="D2658" t="s">
        <v>4582</v>
      </c>
      <c r="E2658" t="s">
        <v>4748</v>
      </c>
      <c r="F2658" s="94" t="s">
        <v>4748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4788</v>
      </c>
      <c r="J2658" s="94" t="b">
        <f>Proc[[#This Row],[Requested]]=Proc[[#This Row],[CurrentParent]]</f>
        <v>1</v>
      </c>
      <c r="K2658" s="94" t="str">
        <f>IF(Proc[[#This Row],[Author]]="Marcela Urrego",VLOOKUP(LEFT(Proc[[#This Row],[Requested]],1),Table3[#All],2,0),VLOOKUP(Proc[[#This Row],[Author]],Table4[],2,0))</f>
        <v>MGF</v>
      </c>
      <c r="L2658" s="125" t="s">
        <v>4897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19</v>
      </c>
      <c r="R2658" s="110" t="s">
        <v>485</v>
      </c>
      <c r="S2658" s="94"/>
    </row>
    <row r="2659" spans="1:19" hidden="1">
      <c r="A2659" s="103" t="s">
        <v>4425</v>
      </c>
      <c r="B2659" s="94" t="str">
        <f>IFERROR(VLOOKUP(Proc[[#This Row],[App]],Table2[],3,0),"open")</f>
        <v>ok</v>
      </c>
      <c r="C2659" s="117" t="s">
        <v>369</v>
      </c>
      <c r="D2659" t="s">
        <v>4583</v>
      </c>
      <c r="E2659" t="s">
        <v>4748</v>
      </c>
      <c r="F2659" s="94" t="s">
        <v>4748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4788</v>
      </c>
      <c r="J2659" s="94" t="b">
        <f>Proc[[#This Row],[Requested]]=Proc[[#This Row],[CurrentParent]]</f>
        <v>1</v>
      </c>
      <c r="K2659" s="94" t="str">
        <f>IF(Proc[[#This Row],[Author]]="Marcela Urrego",VLOOKUP(LEFT(Proc[[#This Row],[Requested]],1),Table3[#All],2,0),VLOOKUP(Proc[[#This Row],[Author]],Table4[],2,0))</f>
        <v>MGF</v>
      </c>
      <c r="L2659" s="125" t="s">
        <v>4897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19</v>
      </c>
      <c r="R2659" s="110" t="s">
        <v>485</v>
      </c>
      <c r="S2659" s="94"/>
    </row>
    <row r="2660" spans="1:19" hidden="1">
      <c r="A2660" s="103" t="s">
        <v>4425</v>
      </c>
      <c r="B2660" s="94" t="str">
        <f>IFERROR(VLOOKUP(Proc[[#This Row],[App]],Table2[],3,0),"open")</f>
        <v>ok</v>
      </c>
      <c r="C2660" s="117" t="s">
        <v>369</v>
      </c>
      <c r="D2660" t="s">
        <v>4584</v>
      </c>
      <c r="E2660" t="s">
        <v>4748</v>
      </c>
      <c r="F2660" s="94" t="s">
        <v>4748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4788</v>
      </c>
      <c r="J2660" s="94" t="b">
        <f>Proc[[#This Row],[Requested]]=Proc[[#This Row],[CurrentParent]]</f>
        <v>1</v>
      </c>
      <c r="K2660" s="94" t="str">
        <f>IF(Proc[[#This Row],[Author]]="Marcela Urrego",VLOOKUP(LEFT(Proc[[#This Row],[Requested]],1),Table3[#All],2,0),VLOOKUP(Proc[[#This Row],[Author]],Table4[],2,0))</f>
        <v>MGF</v>
      </c>
      <c r="L2660" s="125" t="s">
        <v>4897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19</v>
      </c>
      <c r="R2660" s="110" t="s">
        <v>485</v>
      </c>
      <c r="S2660" s="94"/>
    </row>
    <row r="2661" spans="1:19" hidden="1">
      <c r="A2661" s="103" t="s">
        <v>4425</v>
      </c>
      <c r="B2661" s="94" t="str">
        <f>IFERROR(VLOOKUP(Proc[[#This Row],[App]],Table2[],3,0),"open")</f>
        <v>ok</v>
      </c>
      <c r="C2661" s="117" t="s">
        <v>369</v>
      </c>
      <c r="D2661" t="s">
        <v>4585</v>
      </c>
      <c r="E2661" t="s">
        <v>4748</v>
      </c>
      <c r="F2661" s="94" t="s">
        <v>4748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4788</v>
      </c>
      <c r="J2661" s="94" t="b">
        <f>Proc[[#This Row],[Requested]]=Proc[[#This Row],[CurrentParent]]</f>
        <v>1</v>
      </c>
      <c r="K2661" s="94" t="str">
        <f>IF(Proc[[#This Row],[Author]]="Marcela Urrego",VLOOKUP(LEFT(Proc[[#This Row],[Requested]],1),Table3[#All],2,0),VLOOKUP(Proc[[#This Row],[Author]],Table4[],2,0))</f>
        <v>MGF</v>
      </c>
      <c r="L2661" s="125" t="s">
        <v>4897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19</v>
      </c>
      <c r="R2661" s="110" t="s">
        <v>485</v>
      </c>
      <c r="S2661" s="94"/>
    </row>
    <row r="2662" spans="1:19" hidden="1">
      <c r="A2662" s="103" t="s">
        <v>4425</v>
      </c>
      <c r="B2662" s="94" t="str">
        <f>IFERROR(VLOOKUP(Proc[[#This Row],[App]],Table2[],3,0),"open")</f>
        <v>ok</v>
      </c>
      <c r="C2662" s="117" t="s">
        <v>369</v>
      </c>
      <c r="D2662" t="s">
        <v>4586</v>
      </c>
      <c r="E2662" t="s">
        <v>4748</v>
      </c>
      <c r="F2662" s="94" t="s">
        <v>4748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4788</v>
      </c>
      <c r="J2662" s="94" t="b">
        <f>Proc[[#This Row],[Requested]]=Proc[[#This Row],[CurrentParent]]</f>
        <v>1</v>
      </c>
      <c r="K2662" s="94" t="str">
        <f>IF(Proc[[#This Row],[Author]]="Marcela Urrego",VLOOKUP(LEFT(Proc[[#This Row],[Requested]],1),Table3[#All],2,0),VLOOKUP(Proc[[#This Row],[Author]],Table4[],2,0))</f>
        <v>MGF</v>
      </c>
      <c r="L2662" s="125" t="s">
        <v>4897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19</v>
      </c>
      <c r="R2662" s="110" t="s">
        <v>485</v>
      </c>
      <c r="S2662" s="94"/>
    </row>
    <row r="2663" spans="1:19" hidden="1">
      <c r="A2663" s="103" t="s">
        <v>4425</v>
      </c>
      <c r="B2663" s="94" t="str">
        <f>IFERROR(VLOOKUP(Proc[[#This Row],[App]],Table2[],3,0),"open")</f>
        <v>ok</v>
      </c>
      <c r="C2663" s="117" t="s">
        <v>369</v>
      </c>
      <c r="D2663" t="s">
        <v>4587</v>
      </c>
      <c r="E2663" t="s">
        <v>4749</v>
      </c>
      <c r="F2663" s="94" t="s">
        <v>4749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4788</v>
      </c>
      <c r="J2663" s="94" t="b">
        <f>Proc[[#This Row],[Requested]]=Proc[[#This Row],[CurrentParent]]</f>
        <v>1</v>
      </c>
      <c r="K2663" s="94" t="str">
        <f>IF(Proc[[#This Row],[Author]]="Marcela Urrego",VLOOKUP(LEFT(Proc[[#This Row],[Requested]],1),Table3[#All],2,0),VLOOKUP(Proc[[#This Row],[Author]],Table4[],2,0))</f>
        <v>MGF</v>
      </c>
      <c r="L2663" s="125" t="s">
        <v>4897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19</v>
      </c>
      <c r="R2663" s="110" t="s">
        <v>485</v>
      </c>
      <c r="S2663" s="94"/>
    </row>
    <row r="2664" spans="1:19" hidden="1">
      <c r="A2664" s="103" t="s">
        <v>4425</v>
      </c>
      <c r="B2664" s="94" t="str">
        <f>IFERROR(VLOOKUP(Proc[[#This Row],[App]],Table2[],3,0),"open")</f>
        <v>ok</v>
      </c>
      <c r="C2664" s="117" t="s">
        <v>369</v>
      </c>
      <c r="D2664" t="s">
        <v>4588</v>
      </c>
      <c r="E2664" t="s">
        <v>4749</v>
      </c>
      <c r="F2664" s="94" t="s">
        <v>4749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4788</v>
      </c>
      <c r="J2664" s="94" t="b">
        <f>Proc[[#This Row],[Requested]]=Proc[[#This Row],[CurrentParent]]</f>
        <v>1</v>
      </c>
      <c r="K2664" s="94" t="str">
        <f>IF(Proc[[#This Row],[Author]]="Marcela Urrego",VLOOKUP(LEFT(Proc[[#This Row],[Requested]],1),Table3[#All],2,0),VLOOKUP(Proc[[#This Row],[Author]],Table4[],2,0))</f>
        <v>MGF</v>
      </c>
      <c r="L2664" s="125" t="s">
        <v>4897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19</v>
      </c>
      <c r="R2664" s="110" t="s">
        <v>485</v>
      </c>
      <c r="S2664" s="94"/>
    </row>
    <row r="2665" spans="1:19" hidden="1">
      <c r="A2665" s="103" t="s">
        <v>4425</v>
      </c>
      <c r="B2665" s="94" t="str">
        <f>IFERROR(VLOOKUP(Proc[[#This Row],[App]],Table2[],3,0),"open")</f>
        <v>ok</v>
      </c>
      <c r="C2665" s="117" t="s">
        <v>369</v>
      </c>
      <c r="D2665" t="s">
        <v>4589</v>
      </c>
      <c r="E2665" t="s">
        <v>4749</v>
      </c>
      <c r="F2665" s="94" t="s">
        <v>4749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4788</v>
      </c>
      <c r="J2665" s="94" t="b">
        <f>Proc[[#This Row],[Requested]]=Proc[[#This Row],[CurrentParent]]</f>
        <v>1</v>
      </c>
      <c r="K2665" s="94" t="str">
        <f>IF(Proc[[#This Row],[Author]]="Marcela Urrego",VLOOKUP(LEFT(Proc[[#This Row],[Requested]],1),Table3[#All],2,0),VLOOKUP(Proc[[#This Row],[Author]],Table4[],2,0))</f>
        <v>MGF</v>
      </c>
      <c r="L2665" s="125" t="s">
        <v>4897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19</v>
      </c>
      <c r="R2665" s="110" t="s">
        <v>485</v>
      </c>
      <c r="S2665" s="94"/>
    </row>
    <row r="2666" spans="1:19" hidden="1">
      <c r="A2666" s="103" t="s">
        <v>4425</v>
      </c>
      <c r="B2666" s="94" t="str">
        <f>IFERROR(VLOOKUP(Proc[[#This Row],[App]],Table2[],3,0),"open")</f>
        <v>ok</v>
      </c>
      <c r="C2666" s="117" t="s">
        <v>369</v>
      </c>
      <c r="D2666" t="s">
        <v>4590</v>
      </c>
      <c r="E2666" t="s">
        <v>4749</v>
      </c>
      <c r="F2666" s="94" t="s">
        <v>4749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4788</v>
      </c>
      <c r="J2666" s="94" t="b">
        <f>Proc[[#This Row],[Requested]]=Proc[[#This Row],[CurrentParent]]</f>
        <v>1</v>
      </c>
      <c r="K2666" s="94" t="str">
        <f>IF(Proc[[#This Row],[Author]]="Marcela Urrego",VLOOKUP(LEFT(Proc[[#This Row],[Requested]],1),Table3[#All],2,0),VLOOKUP(Proc[[#This Row],[Author]],Table4[],2,0))</f>
        <v>MGF</v>
      </c>
      <c r="L2666" s="125" t="s">
        <v>4897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19</v>
      </c>
      <c r="R2666" s="110" t="s">
        <v>485</v>
      </c>
      <c r="S2666" s="94"/>
    </row>
    <row r="2667" spans="1:19" hidden="1">
      <c r="A2667" s="103" t="s">
        <v>4425</v>
      </c>
      <c r="B2667" s="94" t="str">
        <f>IFERROR(VLOOKUP(Proc[[#This Row],[App]],Table2[],3,0),"open")</f>
        <v>ok</v>
      </c>
      <c r="C2667" s="117" t="s">
        <v>369</v>
      </c>
      <c r="D2667" t="s">
        <v>4591</v>
      </c>
      <c r="E2667" t="s">
        <v>4749</v>
      </c>
      <c r="F2667" s="94" t="s">
        <v>4749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4788</v>
      </c>
      <c r="J2667" s="94" t="b">
        <f>Proc[[#This Row],[Requested]]=Proc[[#This Row],[CurrentParent]]</f>
        <v>1</v>
      </c>
      <c r="K2667" s="94" t="str">
        <f>IF(Proc[[#This Row],[Author]]="Marcela Urrego",VLOOKUP(LEFT(Proc[[#This Row],[Requested]],1),Table3[#All],2,0),VLOOKUP(Proc[[#This Row],[Author]],Table4[],2,0))</f>
        <v>MGF</v>
      </c>
      <c r="L2667" s="125" t="s">
        <v>4897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19</v>
      </c>
      <c r="R2667" s="110" t="s">
        <v>485</v>
      </c>
      <c r="S2667" s="94"/>
    </row>
    <row r="2668" spans="1:19" hidden="1">
      <c r="A2668" s="103" t="s">
        <v>4425</v>
      </c>
      <c r="B2668" s="94" t="str">
        <f>IFERROR(VLOOKUP(Proc[[#This Row],[App]],Table2[],3,0),"open")</f>
        <v>ok</v>
      </c>
      <c r="C2668" s="117" t="s">
        <v>369</v>
      </c>
      <c r="D2668" t="s">
        <v>4592</v>
      </c>
      <c r="E2668" t="s">
        <v>4749</v>
      </c>
      <c r="F2668" s="94" t="s">
        <v>4749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4788</v>
      </c>
      <c r="J2668" s="94" t="b">
        <f>Proc[[#This Row],[Requested]]=Proc[[#This Row],[CurrentParent]]</f>
        <v>1</v>
      </c>
      <c r="K2668" s="94" t="str">
        <f>IF(Proc[[#This Row],[Author]]="Marcela Urrego",VLOOKUP(LEFT(Proc[[#This Row],[Requested]],1),Table3[#All],2,0),VLOOKUP(Proc[[#This Row],[Author]],Table4[],2,0))</f>
        <v>MGF</v>
      </c>
      <c r="L2668" s="125" t="s">
        <v>4897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19</v>
      </c>
      <c r="R2668" s="110" t="s">
        <v>485</v>
      </c>
      <c r="S2668" s="94"/>
    </row>
    <row r="2669" spans="1:19" hidden="1">
      <c r="A2669" s="103" t="s">
        <v>4425</v>
      </c>
      <c r="B2669" s="94" t="str">
        <f>IFERROR(VLOOKUP(Proc[[#This Row],[App]],Table2[],3,0),"open")</f>
        <v>ok</v>
      </c>
      <c r="C2669" s="117" t="s">
        <v>369</v>
      </c>
      <c r="D2669" t="s">
        <v>4593</v>
      </c>
      <c r="E2669" t="s">
        <v>4749</v>
      </c>
      <c r="F2669" s="94" t="s">
        <v>4749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4788</v>
      </c>
      <c r="J2669" s="94" t="b">
        <f>Proc[[#This Row],[Requested]]=Proc[[#This Row],[CurrentParent]]</f>
        <v>1</v>
      </c>
      <c r="K2669" s="94" t="str">
        <f>IF(Proc[[#This Row],[Author]]="Marcela Urrego",VLOOKUP(LEFT(Proc[[#This Row],[Requested]],1),Table3[#All],2,0),VLOOKUP(Proc[[#This Row],[Author]],Table4[],2,0))</f>
        <v>MGF</v>
      </c>
      <c r="L2669" s="125" t="s">
        <v>4897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19</v>
      </c>
      <c r="R2669" s="110" t="s">
        <v>485</v>
      </c>
      <c r="S2669" s="94"/>
    </row>
    <row r="2670" spans="1:19" hidden="1">
      <c r="A2670" s="103" t="s">
        <v>4425</v>
      </c>
      <c r="B2670" s="94" t="str">
        <f>IFERROR(VLOOKUP(Proc[[#This Row],[App]],Table2[],3,0),"open")</f>
        <v>ok</v>
      </c>
      <c r="C2670" s="117" t="s">
        <v>369</v>
      </c>
      <c r="D2670" t="s">
        <v>4594</v>
      </c>
      <c r="E2670" t="s">
        <v>4750</v>
      </c>
      <c r="F2670" s="94" t="s">
        <v>4750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4788</v>
      </c>
      <c r="J2670" s="94" t="b">
        <f>Proc[[#This Row],[Requested]]=Proc[[#This Row],[CurrentParent]]</f>
        <v>1</v>
      </c>
      <c r="K2670" s="94" t="str">
        <f>IF(Proc[[#This Row],[Author]]="Marcela Urrego",VLOOKUP(LEFT(Proc[[#This Row],[Requested]],1),Table3[#All],2,0),VLOOKUP(Proc[[#This Row],[Author]],Table4[],2,0))</f>
        <v>MGF</v>
      </c>
      <c r="L2670" s="125" t="s">
        <v>4897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19</v>
      </c>
      <c r="R2670" s="110" t="s">
        <v>485</v>
      </c>
      <c r="S2670" s="94"/>
    </row>
    <row r="2671" spans="1:19" hidden="1">
      <c r="A2671" s="103" t="s">
        <v>4425</v>
      </c>
      <c r="B2671" s="94" t="str">
        <f>IFERROR(VLOOKUP(Proc[[#This Row],[App]],Table2[],3,0),"open")</f>
        <v>ok</v>
      </c>
      <c r="C2671" s="117" t="s">
        <v>369</v>
      </c>
      <c r="D2671" t="s">
        <v>4595</v>
      </c>
      <c r="E2671" t="s">
        <v>4750</v>
      </c>
      <c r="F2671" s="94" t="s">
        <v>4750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4788</v>
      </c>
      <c r="J2671" s="94" t="b">
        <f>Proc[[#This Row],[Requested]]=Proc[[#This Row],[CurrentParent]]</f>
        <v>1</v>
      </c>
      <c r="K2671" s="94" t="str">
        <f>IF(Proc[[#This Row],[Author]]="Marcela Urrego",VLOOKUP(LEFT(Proc[[#This Row],[Requested]],1),Table3[#All],2,0),VLOOKUP(Proc[[#This Row],[Author]],Table4[],2,0))</f>
        <v>MGF</v>
      </c>
      <c r="L2671" s="125" t="s">
        <v>4897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19</v>
      </c>
      <c r="R2671" s="110" t="s">
        <v>485</v>
      </c>
      <c r="S2671" s="94"/>
    </row>
    <row r="2672" spans="1:19" hidden="1">
      <c r="A2672" s="103" t="s">
        <v>4425</v>
      </c>
      <c r="B2672" s="94" t="str">
        <f>IFERROR(VLOOKUP(Proc[[#This Row],[App]],Table2[],3,0),"open")</f>
        <v>ok</v>
      </c>
      <c r="C2672" s="117" t="s">
        <v>369</v>
      </c>
      <c r="D2672" t="s">
        <v>4596</v>
      </c>
      <c r="E2672" t="s">
        <v>4750</v>
      </c>
      <c r="F2672" s="94" t="s">
        <v>4750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4788</v>
      </c>
      <c r="J2672" s="94" t="b">
        <f>Proc[[#This Row],[Requested]]=Proc[[#This Row],[CurrentParent]]</f>
        <v>1</v>
      </c>
      <c r="K2672" s="94" t="str">
        <f>IF(Proc[[#This Row],[Author]]="Marcela Urrego",VLOOKUP(LEFT(Proc[[#This Row],[Requested]],1),Table3[#All],2,0),VLOOKUP(Proc[[#This Row],[Author]],Table4[],2,0))</f>
        <v>MGF</v>
      </c>
      <c r="L2672" s="125" t="s">
        <v>4897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19</v>
      </c>
      <c r="R2672" s="110" t="s">
        <v>485</v>
      </c>
      <c r="S2672" s="94"/>
    </row>
    <row r="2673" spans="1:19" hidden="1">
      <c r="A2673" s="103" t="s">
        <v>4425</v>
      </c>
      <c r="B2673" s="94" t="str">
        <f>IFERROR(VLOOKUP(Proc[[#This Row],[App]],Table2[],3,0),"open")</f>
        <v>ok</v>
      </c>
      <c r="C2673" s="117" t="s">
        <v>369</v>
      </c>
      <c r="D2673" t="s">
        <v>4597</v>
      </c>
      <c r="E2673" t="s">
        <v>4751</v>
      </c>
      <c r="F2673" s="94" t="s">
        <v>4751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4788</v>
      </c>
      <c r="J2673" s="94" t="b">
        <f>Proc[[#This Row],[Requested]]=Proc[[#This Row],[CurrentParent]]</f>
        <v>1</v>
      </c>
      <c r="K2673" s="94" t="str">
        <f>IF(Proc[[#This Row],[Author]]="Marcela Urrego",VLOOKUP(LEFT(Proc[[#This Row],[Requested]],1),Table3[#All],2,0),VLOOKUP(Proc[[#This Row],[Author]],Table4[],2,0))</f>
        <v>MGF</v>
      </c>
      <c r="L2673" s="125" t="s">
        <v>4897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19</v>
      </c>
      <c r="R2673" s="110" t="s">
        <v>485</v>
      </c>
      <c r="S2673" s="94"/>
    </row>
    <row r="2674" spans="1:19" hidden="1">
      <c r="A2674" s="103" t="s">
        <v>4425</v>
      </c>
      <c r="B2674" s="94" t="str">
        <f>IFERROR(VLOOKUP(Proc[[#This Row],[App]],Table2[],3,0),"open")</f>
        <v>ok</v>
      </c>
      <c r="C2674" s="117" t="s">
        <v>369</v>
      </c>
      <c r="D2674" t="s">
        <v>4598</v>
      </c>
      <c r="E2674" t="s">
        <v>4750</v>
      </c>
      <c r="F2674" s="94" t="s">
        <v>4750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4788</v>
      </c>
      <c r="J2674" s="94" t="b">
        <f>Proc[[#This Row],[Requested]]=Proc[[#This Row],[CurrentParent]]</f>
        <v>1</v>
      </c>
      <c r="K2674" s="94" t="str">
        <f>IF(Proc[[#This Row],[Author]]="Marcela Urrego",VLOOKUP(LEFT(Proc[[#This Row],[Requested]],1),Table3[#All],2,0),VLOOKUP(Proc[[#This Row],[Author]],Table4[],2,0))</f>
        <v>MGF</v>
      </c>
      <c r="L2674" s="125" t="s">
        <v>4897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19</v>
      </c>
      <c r="R2674" s="110" t="s">
        <v>485</v>
      </c>
      <c r="S2674" s="94"/>
    </row>
    <row r="2675" spans="1:19" hidden="1">
      <c r="A2675" s="103" t="s">
        <v>4425</v>
      </c>
      <c r="B2675" s="94" t="str">
        <f>IFERROR(VLOOKUP(Proc[[#This Row],[App]],Table2[],3,0),"open")</f>
        <v>ok</v>
      </c>
      <c r="C2675" s="117" t="s">
        <v>369</v>
      </c>
      <c r="D2675" t="s">
        <v>4599</v>
      </c>
      <c r="E2675" t="s">
        <v>4751</v>
      </c>
      <c r="F2675" s="94" t="s">
        <v>4751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4788</v>
      </c>
      <c r="J2675" s="94" t="b">
        <f>Proc[[#This Row],[Requested]]=Proc[[#This Row],[CurrentParent]]</f>
        <v>1</v>
      </c>
      <c r="K2675" s="94" t="str">
        <f>IF(Proc[[#This Row],[Author]]="Marcela Urrego",VLOOKUP(LEFT(Proc[[#This Row],[Requested]],1),Table3[#All],2,0),VLOOKUP(Proc[[#This Row],[Author]],Table4[],2,0))</f>
        <v>MGF</v>
      </c>
      <c r="L2675" s="125" t="s">
        <v>4897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19</v>
      </c>
      <c r="R2675" s="110" t="s">
        <v>485</v>
      </c>
      <c r="S2675" s="94"/>
    </row>
    <row r="2676" spans="1:19" hidden="1">
      <c r="A2676" s="103" t="s">
        <v>4425</v>
      </c>
      <c r="B2676" s="94" t="str">
        <f>IFERROR(VLOOKUP(Proc[[#This Row],[App]],Table2[],3,0),"open")</f>
        <v>ok</v>
      </c>
      <c r="C2676" s="117" t="s">
        <v>369</v>
      </c>
      <c r="D2676" t="s">
        <v>4600</v>
      </c>
      <c r="E2676" t="s">
        <v>4752</v>
      </c>
      <c r="F2676" s="94" t="s">
        <v>4752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4788</v>
      </c>
      <c r="J2676" s="94" t="b">
        <f>Proc[[#This Row],[Requested]]=Proc[[#This Row],[CurrentParent]]</f>
        <v>1</v>
      </c>
      <c r="K2676" s="94" t="str">
        <f>IF(Proc[[#This Row],[Author]]="Marcela Urrego",VLOOKUP(LEFT(Proc[[#This Row],[Requested]],1),Table3[#All],2,0),VLOOKUP(Proc[[#This Row],[Author]],Table4[],2,0))</f>
        <v>MGF</v>
      </c>
      <c r="L2676" s="125" t="s">
        <v>4897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19</v>
      </c>
      <c r="R2676" s="110" t="s">
        <v>485</v>
      </c>
      <c r="S2676" s="94"/>
    </row>
    <row r="2677" spans="1:19" hidden="1">
      <c r="A2677" s="103" t="s">
        <v>4425</v>
      </c>
      <c r="B2677" s="94" t="str">
        <f>IFERROR(VLOOKUP(Proc[[#This Row],[App]],Table2[],3,0),"open")</f>
        <v>ok</v>
      </c>
      <c r="C2677" s="117" t="s">
        <v>369</v>
      </c>
      <c r="D2677" t="s">
        <v>4601</v>
      </c>
      <c r="E2677" t="s">
        <v>4751</v>
      </c>
      <c r="F2677" s="94" t="s">
        <v>4751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4788</v>
      </c>
      <c r="J2677" s="94" t="b">
        <f>Proc[[#This Row],[Requested]]=Proc[[#This Row],[CurrentParent]]</f>
        <v>1</v>
      </c>
      <c r="K2677" s="94" t="str">
        <f>IF(Proc[[#This Row],[Author]]="Marcela Urrego",VLOOKUP(LEFT(Proc[[#This Row],[Requested]],1),Table3[#All],2,0),VLOOKUP(Proc[[#This Row],[Author]],Table4[],2,0))</f>
        <v>MGF</v>
      </c>
      <c r="L2677" s="125" t="s">
        <v>4897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19</v>
      </c>
      <c r="R2677" s="110" t="s">
        <v>485</v>
      </c>
      <c r="S2677" s="94"/>
    </row>
    <row r="2678" spans="1:19" hidden="1">
      <c r="A2678" s="103" t="s">
        <v>4425</v>
      </c>
      <c r="B2678" s="94" t="str">
        <f>IFERROR(VLOOKUP(Proc[[#This Row],[App]],Table2[],3,0),"open")</f>
        <v>ok</v>
      </c>
      <c r="C2678" s="117" t="s">
        <v>369</v>
      </c>
      <c r="D2678" t="s">
        <v>4602</v>
      </c>
      <c r="E2678" t="s">
        <v>4751</v>
      </c>
      <c r="F2678" s="94" t="s">
        <v>4751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4788</v>
      </c>
      <c r="J2678" s="94" t="b">
        <f>Proc[[#This Row],[Requested]]=Proc[[#This Row],[CurrentParent]]</f>
        <v>1</v>
      </c>
      <c r="K2678" s="94" t="str">
        <f>IF(Proc[[#This Row],[Author]]="Marcela Urrego",VLOOKUP(LEFT(Proc[[#This Row],[Requested]],1),Table3[#All],2,0),VLOOKUP(Proc[[#This Row],[Author]],Table4[],2,0))</f>
        <v>MGF</v>
      </c>
      <c r="L2678" s="125" t="s">
        <v>4897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19</v>
      </c>
      <c r="R2678" s="110" t="s">
        <v>485</v>
      </c>
      <c r="S2678" s="94"/>
    </row>
    <row r="2679" spans="1:19" hidden="1">
      <c r="A2679" s="103" t="s">
        <v>4425</v>
      </c>
      <c r="B2679" s="94" t="str">
        <f>IFERROR(VLOOKUP(Proc[[#This Row],[App]],Table2[],3,0),"open")</f>
        <v>ok</v>
      </c>
      <c r="C2679" s="117" t="s">
        <v>369</v>
      </c>
      <c r="D2679" t="s">
        <v>4603</v>
      </c>
      <c r="E2679" t="s">
        <v>4750</v>
      </c>
      <c r="F2679" s="94" t="s">
        <v>4750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4788</v>
      </c>
      <c r="J2679" s="94" t="b">
        <f>Proc[[#This Row],[Requested]]=Proc[[#This Row],[CurrentParent]]</f>
        <v>1</v>
      </c>
      <c r="K2679" s="94" t="str">
        <f>IF(Proc[[#This Row],[Author]]="Marcela Urrego",VLOOKUP(LEFT(Proc[[#This Row],[Requested]],1),Table3[#All],2,0),VLOOKUP(Proc[[#This Row],[Author]],Table4[],2,0))</f>
        <v>MGF</v>
      </c>
      <c r="L2679" s="125" t="s">
        <v>4897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19</v>
      </c>
      <c r="R2679" s="110" t="s">
        <v>485</v>
      </c>
      <c r="S2679" s="94"/>
    </row>
    <row r="2680" spans="1:19" hidden="1">
      <c r="A2680" s="103" t="s">
        <v>4425</v>
      </c>
      <c r="B2680" s="94" t="str">
        <f>IFERROR(VLOOKUP(Proc[[#This Row],[App]],Table2[],3,0),"open")</f>
        <v>ok</v>
      </c>
      <c r="C2680" s="117" t="s">
        <v>369</v>
      </c>
      <c r="D2680" t="s">
        <v>4604</v>
      </c>
      <c r="E2680" t="s">
        <v>4750</v>
      </c>
      <c r="F2680" s="94" t="s">
        <v>4750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4788</v>
      </c>
      <c r="J2680" s="94" t="b">
        <f>Proc[[#This Row],[Requested]]=Proc[[#This Row],[CurrentParent]]</f>
        <v>1</v>
      </c>
      <c r="K2680" s="94" t="str">
        <f>IF(Proc[[#This Row],[Author]]="Marcela Urrego",VLOOKUP(LEFT(Proc[[#This Row],[Requested]],1),Table3[#All],2,0),VLOOKUP(Proc[[#This Row],[Author]],Table4[],2,0))</f>
        <v>MGF</v>
      </c>
      <c r="L2680" s="125" t="s">
        <v>4897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19</v>
      </c>
      <c r="R2680" s="110" t="s">
        <v>485</v>
      </c>
      <c r="S2680" s="94"/>
    </row>
    <row r="2681" spans="1:19" hidden="1">
      <c r="A2681" s="103" t="s">
        <v>4425</v>
      </c>
      <c r="B2681" s="94" t="str">
        <f>IFERROR(VLOOKUP(Proc[[#This Row],[App]],Table2[],3,0),"open")</f>
        <v>ok</v>
      </c>
      <c r="C2681" s="117" t="s">
        <v>369</v>
      </c>
      <c r="D2681" t="s">
        <v>4605</v>
      </c>
      <c r="E2681" t="s">
        <v>4750</v>
      </c>
      <c r="F2681" s="94" t="s">
        <v>4750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4788</v>
      </c>
      <c r="J2681" s="94" t="b">
        <f>Proc[[#This Row],[Requested]]=Proc[[#This Row],[CurrentParent]]</f>
        <v>1</v>
      </c>
      <c r="K2681" s="94" t="str">
        <f>IF(Proc[[#This Row],[Author]]="Marcela Urrego",VLOOKUP(LEFT(Proc[[#This Row],[Requested]],1),Table3[#All],2,0),VLOOKUP(Proc[[#This Row],[Author]],Table4[],2,0))</f>
        <v>MGF</v>
      </c>
      <c r="L2681" s="125" t="s">
        <v>4897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19</v>
      </c>
      <c r="R2681" s="110" t="s">
        <v>485</v>
      </c>
      <c r="S2681" s="94"/>
    </row>
    <row r="2682" spans="1:19" hidden="1">
      <c r="A2682" s="103" t="s">
        <v>4425</v>
      </c>
      <c r="B2682" s="94" t="str">
        <f>IFERROR(VLOOKUP(Proc[[#This Row],[App]],Table2[],3,0),"open")</f>
        <v>ok</v>
      </c>
      <c r="C2682" s="117" t="s">
        <v>369</v>
      </c>
      <c r="D2682" t="s">
        <v>4606</v>
      </c>
      <c r="E2682" t="s">
        <v>4750</v>
      </c>
      <c r="F2682" s="94" t="s">
        <v>4750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4788</v>
      </c>
      <c r="J2682" s="94" t="b">
        <f>Proc[[#This Row],[Requested]]=Proc[[#This Row],[CurrentParent]]</f>
        <v>1</v>
      </c>
      <c r="K2682" s="94" t="str">
        <f>IF(Proc[[#This Row],[Author]]="Marcela Urrego",VLOOKUP(LEFT(Proc[[#This Row],[Requested]],1),Table3[#All],2,0),VLOOKUP(Proc[[#This Row],[Author]],Table4[],2,0))</f>
        <v>MGF</v>
      </c>
      <c r="L2682" s="125" t="s">
        <v>4897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19</v>
      </c>
      <c r="R2682" s="110" t="s">
        <v>485</v>
      </c>
      <c r="S2682" s="94"/>
    </row>
    <row r="2683" spans="1:19" hidden="1">
      <c r="A2683" s="103" t="s">
        <v>4425</v>
      </c>
      <c r="B2683" s="94" t="str">
        <f>IFERROR(VLOOKUP(Proc[[#This Row],[App]],Table2[],3,0),"open")</f>
        <v>ok</v>
      </c>
      <c r="C2683" s="117" t="s">
        <v>369</v>
      </c>
      <c r="D2683" t="s">
        <v>4607</v>
      </c>
      <c r="E2683" t="s">
        <v>4750</v>
      </c>
      <c r="F2683" s="94" t="s">
        <v>4750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4788</v>
      </c>
      <c r="J2683" s="94" t="b">
        <f>Proc[[#This Row],[Requested]]=Proc[[#This Row],[CurrentParent]]</f>
        <v>1</v>
      </c>
      <c r="K2683" s="94" t="str">
        <f>IF(Proc[[#This Row],[Author]]="Marcela Urrego",VLOOKUP(LEFT(Proc[[#This Row],[Requested]],1),Table3[#All],2,0),VLOOKUP(Proc[[#This Row],[Author]],Table4[],2,0))</f>
        <v>MGF</v>
      </c>
      <c r="L2683" s="125" t="s">
        <v>4897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19</v>
      </c>
      <c r="R2683" s="110" t="s">
        <v>485</v>
      </c>
      <c r="S2683" s="94"/>
    </row>
    <row r="2684" spans="1:19" hidden="1">
      <c r="A2684" s="103" t="s">
        <v>4425</v>
      </c>
      <c r="B2684" s="94" t="str">
        <f>IFERROR(VLOOKUP(Proc[[#This Row],[App]],Table2[],3,0),"open")</f>
        <v>ok</v>
      </c>
      <c r="C2684" s="117" t="s">
        <v>369</v>
      </c>
      <c r="D2684" t="s">
        <v>4608</v>
      </c>
      <c r="E2684" t="s">
        <v>4752</v>
      </c>
      <c r="F2684" s="94" t="s">
        <v>4752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4788</v>
      </c>
      <c r="J2684" s="94" t="b">
        <f>Proc[[#This Row],[Requested]]=Proc[[#This Row],[CurrentParent]]</f>
        <v>1</v>
      </c>
      <c r="K2684" s="94" t="str">
        <f>IF(Proc[[#This Row],[Author]]="Marcela Urrego",VLOOKUP(LEFT(Proc[[#This Row],[Requested]],1),Table3[#All],2,0),VLOOKUP(Proc[[#This Row],[Author]],Table4[],2,0))</f>
        <v>MGF</v>
      </c>
      <c r="L2684" s="125" t="s">
        <v>4897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19</v>
      </c>
      <c r="R2684" s="110" t="s">
        <v>485</v>
      </c>
      <c r="S2684" s="94"/>
    </row>
    <row r="2685" spans="1:19" hidden="1">
      <c r="A2685" s="103" t="s">
        <v>4425</v>
      </c>
      <c r="B2685" s="94" t="str">
        <f>IFERROR(VLOOKUP(Proc[[#This Row],[App]],Table2[],3,0),"open")</f>
        <v>ok</v>
      </c>
      <c r="C2685" s="117" t="s">
        <v>369</v>
      </c>
      <c r="D2685" t="s">
        <v>4609</v>
      </c>
      <c r="E2685" t="s">
        <v>4750</v>
      </c>
      <c r="F2685" s="94" t="s">
        <v>4750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4788</v>
      </c>
      <c r="J2685" s="94" t="b">
        <f>Proc[[#This Row],[Requested]]=Proc[[#This Row],[CurrentParent]]</f>
        <v>1</v>
      </c>
      <c r="K2685" s="94" t="str">
        <f>IF(Proc[[#This Row],[Author]]="Marcela Urrego",VLOOKUP(LEFT(Proc[[#This Row],[Requested]],1),Table3[#All],2,0),VLOOKUP(Proc[[#This Row],[Author]],Table4[],2,0))</f>
        <v>MGF</v>
      </c>
      <c r="L2685" s="125" t="s">
        <v>4897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19</v>
      </c>
      <c r="R2685" s="110" t="s">
        <v>485</v>
      </c>
      <c r="S2685" s="94"/>
    </row>
    <row r="2686" spans="1:19" hidden="1">
      <c r="A2686" s="103" t="s">
        <v>4425</v>
      </c>
      <c r="B2686" s="94" t="str">
        <f>IFERROR(VLOOKUP(Proc[[#This Row],[App]],Table2[],3,0),"open")</f>
        <v>ok</v>
      </c>
      <c r="C2686" s="117" t="s">
        <v>369</v>
      </c>
      <c r="D2686" t="s">
        <v>4610</v>
      </c>
      <c r="E2686" t="s">
        <v>4750</v>
      </c>
      <c r="F2686" s="94" t="s">
        <v>4750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4788</v>
      </c>
      <c r="J2686" s="94" t="b">
        <f>Proc[[#This Row],[Requested]]=Proc[[#This Row],[CurrentParent]]</f>
        <v>1</v>
      </c>
      <c r="K2686" s="94" t="str">
        <f>IF(Proc[[#This Row],[Author]]="Marcela Urrego",VLOOKUP(LEFT(Proc[[#This Row],[Requested]],1),Table3[#All],2,0),VLOOKUP(Proc[[#This Row],[Author]],Table4[],2,0))</f>
        <v>MGF</v>
      </c>
      <c r="L2686" s="125" t="s">
        <v>4897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19</v>
      </c>
      <c r="R2686" s="110" t="s">
        <v>485</v>
      </c>
      <c r="S2686" s="94"/>
    </row>
    <row r="2687" spans="1:19" hidden="1">
      <c r="A2687" s="103" t="s">
        <v>4425</v>
      </c>
      <c r="B2687" s="94" t="str">
        <f>IFERROR(VLOOKUP(Proc[[#This Row],[App]],Table2[],3,0),"open")</f>
        <v>ok</v>
      </c>
      <c r="C2687" s="117" t="s">
        <v>369</v>
      </c>
      <c r="D2687" t="s">
        <v>4611</v>
      </c>
      <c r="E2687" t="s">
        <v>4750</v>
      </c>
      <c r="F2687" s="94" t="s">
        <v>4750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4788</v>
      </c>
      <c r="J2687" s="94" t="b">
        <f>Proc[[#This Row],[Requested]]=Proc[[#This Row],[CurrentParent]]</f>
        <v>1</v>
      </c>
      <c r="K2687" s="94" t="str">
        <f>IF(Proc[[#This Row],[Author]]="Marcela Urrego",VLOOKUP(LEFT(Proc[[#This Row],[Requested]],1),Table3[#All],2,0),VLOOKUP(Proc[[#This Row],[Author]],Table4[],2,0))</f>
        <v>MGF</v>
      </c>
      <c r="L2687" s="125" t="s">
        <v>4897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19</v>
      </c>
      <c r="R2687" s="110" t="s">
        <v>485</v>
      </c>
      <c r="S2687" s="94"/>
    </row>
    <row r="2688" spans="1:19" hidden="1">
      <c r="A2688" s="103" t="s">
        <v>4425</v>
      </c>
      <c r="B2688" s="94" t="str">
        <f>IFERROR(VLOOKUP(Proc[[#This Row],[App]],Table2[],3,0),"open")</f>
        <v>ok</v>
      </c>
      <c r="C2688" s="117" t="s">
        <v>369</v>
      </c>
      <c r="D2688" t="s">
        <v>4612</v>
      </c>
      <c r="E2688" t="s">
        <v>4752</v>
      </c>
      <c r="F2688" s="94" t="s">
        <v>4752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4788</v>
      </c>
      <c r="J2688" s="94" t="b">
        <f>Proc[[#This Row],[Requested]]=Proc[[#This Row],[CurrentParent]]</f>
        <v>1</v>
      </c>
      <c r="K2688" s="94" t="str">
        <f>IF(Proc[[#This Row],[Author]]="Marcela Urrego",VLOOKUP(LEFT(Proc[[#This Row],[Requested]],1),Table3[#All],2,0),VLOOKUP(Proc[[#This Row],[Author]],Table4[],2,0))</f>
        <v>MGF</v>
      </c>
      <c r="L2688" s="125" t="s">
        <v>4897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19</v>
      </c>
      <c r="R2688" s="110" t="s">
        <v>485</v>
      </c>
      <c r="S2688" s="94"/>
    </row>
    <row r="2689" spans="1:19" hidden="1">
      <c r="A2689" s="103" t="s">
        <v>4425</v>
      </c>
      <c r="B2689" s="94" t="str">
        <f>IFERROR(VLOOKUP(Proc[[#This Row],[App]],Table2[],3,0),"open")</f>
        <v>ok</v>
      </c>
      <c r="C2689" s="117" t="s">
        <v>369</v>
      </c>
      <c r="D2689" t="s">
        <v>4613</v>
      </c>
      <c r="E2689" t="s">
        <v>4750</v>
      </c>
      <c r="F2689" s="94" t="s">
        <v>4750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4788</v>
      </c>
      <c r="J2689" s="94" t="b">
        <f>Proc[[#This Row],[Requested]]=Proc[[#This Row],[CurrentParent]]</f>
        <v>1</v>
      </c>
      <c r="K2689" s="94" t="str">
        <f>IF(Proc[[#This Row],[Author]]="Marcela Urrego",VLOOKUP(LEFT(Proc[[#This Row],[Requested]],1),Table3[#All],2,0),VLOOKUP(Proc[[#This Row],[Author]],Table4[],2,0))</f>
        <v>MGF</v>
      </c>
      <c r="L2689" s="125" t="s">
        <v>4897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19</v>
      </c>
      <c r="R2689" s="110" t="s">
        <v>485</v>
      </c>
      <c r="S2689" s="94"/>
    </row>
    <row r="2690" spans="1:19" hidden="1">
      <c r="A2690" s="103" t="s">
        <v>4425</v>
      </c>
      <c r="B2690" s="94" t="str">
        <f>IFERROR(VLOOKUP(Proc[[#This Row],[App]],Table2[],3,0),"open")</f>
        <v>ok</v>
      </c>
      <c r="C2690" s="117" t="s">
        <v>369</v>
      </c>
      <c r="D2690" t="s">
        <v>4614</v>
      </c>
      <c r="E2690" t="s">
        <v>4750</v>
      </c>
      <c r="F2690" s="94" t="s">
        <v>4750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4788</v>
      </c>
      <c r="J2690" s="94" t="b">
        <f>Proc[[#This Row],[Requested]]=Proc[[#This Row],[CurrentParent]]</f>
        <v>1</v>
      </c>
      <c r="K2690" s="94" t="str">
        <f>IF(Proc[[#This Row],[Author]]="Marcela Urrego",VLOOKUP(LEFT(Proc[[#This Row],[Requested]],1),Table3[#All],2,0),VLOOKUP(Proc[[#This Row],[Author]],Table4[],2,0))</f>
        <v>MGF</v>
      </c>
      <c r="L2690" s="125" t="s">
        <v>4897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19</v>
      </c>
      <c r="R2690" s="110" t="s">
        <v>485</v>
      </c>
      <c r="S2690" s="94"/>
    </row>
    <row r="2691" spans="1:19" hidden="1">
      <c r="A2691" s="103" t="s">
        <v>4425</v>
      </c>
      <c r="B2691" s="94" t="str">
        <f>IFERROR(VLOOKUP(Proc[[#This Row],[App]],Table2[],3,0),"open")</f>
        <v>ok</v>
      </c>
      <c r="C2691" s="117" t="s">
        <v>369</v>
      </c>
      <c r="D2691" t="s">
        <v>4615</v>
      </c>
      <c r="E2691" t="s">
        <v>4750</v>
      </c>
      <c r="F2691" s="94" t="s">
        <v>4750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4788</v>
      </c>
      <c r="J2691" s="94" t="b">
        <f>Proc[[#This Row],[Requested]]=Proc[[#This Row],[CurrentParent]]</f>
        <v>1</v>
      </c>
      <c r="K2691" s="94" t="str">
        <f>IF(Proc[[#This Row],[Author]]="Marcela Urrego",VLOOKUP(LEFT(Proc[[#This Row],[Requested]],1),Table3[#All],2,0),VLOOKUP(Proc[[#This Row],[Author]],Table4[],2,0))</f>
        <v>MGF</v>
      </c>
      <c r="L2691" s="125" t="s">
        <v>4897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19</v>
      </c>
      <c r="R2691" s="110" t="s">
        <v>485</v>
      </c>
      <c r="S2691" s="94"/>
    </row>
    <row r="2692" spans="1:19" hidden="1">
      <c r="A2692" s="103" t="s">
        <v>4425</v>
      </c>
      <c r="B2692" s="94" t="str">
        <f>IFERROR(VLOOKUP(Proc[[#This Row],[App]],Table2[],3,0),"open")</f>
        <v>ok</v>
      </c>
      <c r="C2692" s="117" t="s">
        <v>369</v>
      </c>
      <c r="D2692" t="s">
        <v>4616</v>
      </c>
      <c r="E2692" t="s">
        <v>4751</v>
      </c>
      <c r="F2692" s="94" t="s">
        <v>4751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4788</v>
      </c>
      <c r="J2692" s="94" t="b">
        <f>Proc[[#This Row],[Requested]]=Proc[[#This Row],[CurrentParent]]</f>
        <v>1</v>
      </c>
      <c r="K2692" s="94" t="str">
        <f>IF(Proc[[#This Row],[Author]]="Marcela Urrego",VLOOKUP(LEFT(Proc[[#This Row],[Requested]],1),Table3[#All],2,0),VLOOKUP(Proc[[#This Row],[Author]],Table4[],2,0))</f>
        <v>MGF</v>
      </c>
      <c r="L2692" s="125" t="s">
        <v>4897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19</v>
      </c>
      <c r="R2692" s="110" t="s">
        <v>485</v>
      </c>
      <c r="S2692" s="94"/>
    </row>
    <row r="2693" spans="1:19" hidden="1">
      <c r="A2693" s="103" t="s">
        <v>4425</v>
      </c>
      <c r="B2693" s="94" t="str">
        <f>IFERROR(VLOOKUP(Proc[[#This Row],[App]],Table2[],3,0),"open")</f>
        <v>ok</v>
      </c>
      <c r="C2693" s="117" t="s">
        <v>369</v>
      </c>
      <c r="D2693" t="s">
        <v>4617</v>
      </c>
      <c r="E2693" t="s">
        <v>4750</v>
      </c>
      <c r="F2693" s="94" t="s">
        <v>4750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4788</v>
      </c>
      <c r="J2693" s="94" t="b">
        <f>Proc[[#This Row],[Requested]]=Proc[[#This Row],[CurrentParent]]</f>
        <v>1</v>
      </c>
      <c r="K2693" s="94" t="str">
        <f>IF(Proc[[#This Row],[Author]]="Marcela Urrego",VLOOKUP(LEFT(Proc[[#This Row],[Requested]],1),Table3[#All],2,0),VLOOKUP(Proc[[#This Row],[Author]],Table4[],2,0))</f>
        <v>MGF</v>
      </c>
      <c r="L2693" s="125" t="s">
        <v>4897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19</v>
      </c>
      <c r="R2693" s="110" t="s">
        <v>485</v>
      </c>
      <c r="S2693" s="94"/>
    </row>
    <row r="2694" spans="1:19" hidden="1">
      <c r="A2694" s="103" t="s">
        <v>4425</v>
      </c>
      <c r="B2694" s="94" t="str">
        <f>IFERROR(VLOOKUP(Proc[[#This Row],[App]],Table2[],3,0),"open")</f>
        <v>ok</v>
      </c>
      <c r="C2694" s="117" t="s">
        <v>369</v>
      </c>
      <c r="D2694" t="s">
        <v>4618</v>
      </c>
      <c r="E2694" t="s">
        <v>4752</v>
      </c>
      <c r="F2694" s="94" t="s">
        <v>4752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4788</v>
      </c>
      <c r="J2694" s="94" t="b">
        <f>Proc[[#This Row],[Requested]]=Proc[[#This Row],[CurrentParent]]</f>
        <v>1</v>
      </c>
      <c r="K2694" s="94" t="str">
        <f>IF(Proc[[#This Row],[Author]]="Marcela Urrego",VLOOKUP(LEFT(Proc[[#This Row],[Requested]],1),Table3[#All],2,0),VLOOKUP(Proc[[#This Row],[Author]],Table4[],2,0))</f>
        <v>MGF</v>
      </c>
      <c r="L2694" s="125" t="s">
        <v>4897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19</v>
      </c>
      <c r="R2694" s="110" t="s">
        <v>485</v>
      </c>
      <c r="S2694" s="94"/>
    </row>
    <row r="2695" spans="1:19" hidden="1">
      <c r="A2695" s="103" t="s">
        <v>4425</v>
      </c>
      <c r="B2695" s="94" t="str">
        <f>IFERROR(VLOOKUP(Proc[[#This Row],[App]],Table2[],3,0),"open")</f>
        <v>ok</v>
      </c>
      <c r="C2695" s="117" t="s">
        <v>369</v>
      </c>
      <c r="D2695" t="s">
        <v>4619</v>
      </c>
      <c r="E2695" t="s">
        <v>4752</v>
      </c>
      <c r="F2695" s="94" t="s">
        <v>4752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4788</v>
      </c>
      <c r="J2695" s="94" t="b">
        <f>Proc[[#This Row],[Requested]]=Proc[[#This Row],[CurrentParent]]</f>
        <v>1</v>
      </c>
      <c r="K2695" s="94" t="str">
        <f>IF(Proc[[#This Row],[Author]]="Marcela Urrego",VLOOKUP(LEFT(Proc[[#This Row],[Requested]],1),Table3[#All],2,0),VLOOKUP(Proc[[#This Row],[Author]],Table4[],2,0))</f>
        <v>MGF</v>
      </c>
      <c r="L2695" s="125" t="s">
        <v>4897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19</v>
      </c>
      <c r="R2695" s="110" t="s">
        <v>485</v>
      </c>
      <c r="S2695" s="94"/>
    </row>
    <row r="2696" spans="1:19" hidden="1">
      <c r="A2696" s="103" t="s">
        <v>4425</v>
      </c>
      <c r="B2696" s="94" t="str">
        <f>IFERROR(VLOOKUP(Proc[[#This Row],[App]],Table2[],3,0),"open")</f>
        <v>ok</v>
      </c>
      <c r="C2696" s="117" t="s">
        <v>369</v>
      </c>
      <c r="D2696" t="s">
        <v>4620</v>
      </c>
      <c r="E2696" t="s">
        <v>4750</v>
      </c>
      <c r="F2696" s="94" t="s">
        <v>4750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4788</v>
      </c>
      <c r="J2696" s="94" t="b">
        <f>Proc[[#This Row],[Requested]]=Proc[[#This Row],[CurrentParent]]</f>
        <v>1</v>
      </c>
      <c r="K2696" s="94" t="str">
        <f>IF(Proc[[#This Row],[Author]]="Marcela Urrego",VLOOKUP(LEFT(Proc[[#This Row],[Requested]],1),Table3[#All],2,0),VLOOKUP(Proc[[#This Row],[Author]],Table4[],2,0))</f>
        <v>MGF</v>
      </c>
      <c r="L2696" s="125" t="s">
        <v>4897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19</v>
      </c>
      <c r="R2696" s="110" t="s">
        <v>485</v>
      </c>
      <c r="S2696" s="94"/>
    </row>
    <row r="2697" spans="1:19" hidden="1">
      <c r="A2697" s="103" t="s">
        <v>4425</v>
      </c>
      <c r="B2697" s="94" t="str">
        <f>IFERROR(VLOOKUP(Proc[[#This Row],[App]],Table2[],3,0),"open")</f>
        <v>ok</v>
      </c>
      <c r="C2697" s="117" t="s">
        <v>369</v>
      </c>
      <c r="D2697" t="s">
        <v>4621</v>
      </c>
      <c r="E2697" t="s">
        <v>4750</v>
      </c>
      <c r="F2697" s="94" t="s">
        <v>4750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4788</v>
      </c>
      <c r="J2697" s="94" t="b">
        <f>Proc[[#This Row],[Requested]]=Proc[[#This Row],[CurrentParent]]</f>
        <v>1</v>
      </c>
      <c r="K2697" s="94" t="str">
        <f>IF(Proc[[#This Row],[Author]]="Marcela Urrego",VLOOKUP(LEFT(Proc[[#This Row],[Requested]],1),Table3[#All],2,0),VLOOKUP(Proc[[#This Row],[Author]],Table4[],2,0))</f>
        <v>MGF</v>
      </c>
      <c r="L2697" s="125" t="s">
        <v>4897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19</v>
      </c>
      <c r="R2697" s="110" t="s">
        <v>485</v>
      </c>
      <c r="S2697" s="94"/>
    </row>
    <row r="2698" spans="1:19" hidden="1">
      <c r="A2698" s="103" t="s">
        <v>4425</v>
      </c>
      <c r="B2698" s="94" t="str">
        <f>IFERROR(VLOOKUP(Proc[[#This Row],[App]],Table2[],3,0),"open")</f>
        <v>ok</v>
      </c>
      <c r="C2698" s="117" t="s">
        <v>369</v>
      </c>
      <c r="D2698" t="s">
        <v>4622</v>
      </c>
      <c r="E2698" t="s">
        <v>4750</v>
      </c>
      <c r="F2698" s="94" t="s">
        <v>4750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4788</v>
      </c>
      <c r="J2698" s="94" t="b">
        <f>Proc[[#This Row],[Requested]]=Proc[[#This Row],[CurrentParent]]</f>
        <v>1</v>
      </c>
      <c r="K2698" s="94" t="str">
        <f>IF(Proc[[#This Row],[Author]]="Marcela Urrego",VLOOKUP(LEFT(Proc[[#This Row],[Requested]],1),Table3[#All],2,0),VLOOKUP(Proc[[#This Row],[Author]],Table4[],2,0))</f>
        <v>MGF</v>
      </c>
      <c r="L2698" s="125" t="s">
        <v>4897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19</v>
      </c>
      <c r="R2698" s="110" t="s">
        <v>485</v>
      </c>
      <c r="S2698" s="94"/>
    </row>
    <row r="2699" spans="1:19" hidden="1">
      <c r="A2699" s="103" t="s">
        <v>4425</v>
      </c>
      <c r="B2699" s="94" t="str">
        <f>IFERROR(VLOOKUP(Proc[[#This Row],[App]],Table2[],3,0),"open")</f>
        <v>ok</v>
      </c>
      <c r="C2699" s="117" t="s">
        <v>369</v>
      </c>
      <c r="D2699" t="s">
        <v>4623</v>
      </c>
      <c r="E2699" t="s">
        <v>4751</v>
      </c>
      <c r="F2699" s="94" t="s">
        <v>4751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4788</v>
      </c>
      <c r="J2699" s="94" t="b">
        <f>Proc[[#This Row],[Requested]]=Proc[[#This Row],[CurrentParent]]</f>
        <v>1</v>
      </c>
      <c r="K2699" s="94" t="str">
        <f>IF(Proc[[#This Row],[Author]]="Marcela Urrego",VLOOKUP(LEFT(Proc[[#This Row],[Requested]],1),Table3[#All],2,0),VLOOKUP(Proc[[#This Row],[Author]],Table4[],2,0))</f>
        <v>MGF</v>
      </c>
      <c r="L2699" s="125" t="s">
        <v>4897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19</v>
      </c>
      <c r="R2699" s="110" t="s">
        <v>485</v>
      </c>
      <c r="S2699" s="94"/>
    </row>
    <row r="2700" spans="1:19" hidden="1">
      <c r="A2700" s="103" t="s">
        <v>4425</v>
      </c>
      <c r="B2700" s="94" t="str">
        <f>IFERROR(VLOOKUP(Proc[[#This Row],[App]],Table2[],3,0),"open")</f>
        <v>ok</v>
      </c>
      <c r="C2700" s="117" t="s">
        <v>369</v>
      </c>
      <c r="D2700" t="s">
        <v>4624</v>
      </c>
      <c r="E2700" t="s">
        <v>4751</v>
      </c>
      <c r="F2700" s="94" t="s">
        <v>4751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4788</v>
      </c>
      <c r="J2700" s="94" t="b">
        <f>Proc[[#This Row],[Requested]]=Proc[[#This Row],[CurrentParent]]</f>
        <v>1</v>
      </c>
      <c r="K2700" s="94" t="str">
        <f>IF(Proc[[#This Row],[Author]]="Marcela Urrego",VLOOKUP(LEFT(Proc[[#This Row],[Requested]],1),Table3[#All],2,0),VLOOKUP(Proc[[#This Row],[Author]],Table4[],2,0))</f>
        <v>MGF</v>
      </c>
      <c r="L2700" s="125" t="s">
        <v>4897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19</v>
      </c>
      <c r="R2700" s="110" t="s">
        <v>485</v>
      </c>
      <c r="S2700" s="94"/>
    </row>
    <row r="2701" spans="1:19" hidden="1">
      <c r="A2701" s="103" t="s">
        <v>4425</v>
      </c>
      <c r="B2701" s="94" t="str">
        <f>IFERROR(VLOOKUP(Proc[[#This Row],[App]],Table2[],3,0),"open")</f>
        <v>ok</v>
      </c>
      <c r="C2701" s="117" t="s">
        <v>369</v>
      </c>
      <c r="D2701" t="s">
        <v>4625</v>
      </c>
      <c r="E2701" t="s">
        <v>4751</v>
      </c>
      <c r="F2701" s="94" t="s">
        <v>4751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4788</v>
      </c>
      <c r="J2701" s="94" t="b">
        <f>Proc[[#This Row],[Requested]]=Proc[[#This Row],[CurrentParent]]</f>
        <v>1</v>
      </c>
      <c r="K2701" s="94" t="str">
        <f>IF(Proc[[#This Row],[Author]]="Marcela Urrego",VLOOKUP(LEFT(Proc[[#This Row],[Requested]],1),Table3[#All],2,0),VLOOKUP(Proc[[#This Row],[Author]],Table4[],2,0))</f>
        <v>MGF</v>
      </c>
      <c r="L2701" s="125" t="s">
        <v>4897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19</v>
      </c>
      <c r="R2701" s="110" t="s">
        <v>485</v>
      </c>
      <c r="S2701" s="94"/>
    </row>
    <row r="2702" spans="1:19" hidden="1">
      <c r="A2702" s="103" t="s">
        <v>4425</v>
      </c>
      <c r="B2702" s="94" t="str">
        <f>IFERROR(VLOOKUP(Proc[[#This Row],[App]],Table2[],3,0),"open")</f>
        <v>ok</v>
      </c>
      <c r="C2702" s="117" t="s">
        <v>369</v>
      </c>
      <c r="D2702" t="s">
        <v>4626</v>
      </c>
      <c r="E2702" t="s">
        <v>4751</v>
      </c>
      <c r="F2702" s="94" t="s">
        <v>4751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4788</v>
      </c>
      <c r="J2702" s="94" t="b">
        <f>Proc[[#This Row],[Requested]]=Proc[[#This Row],[CurrentParent]]</f>
        <v>1</v>
      </c>
      <c r="K2702" s="94" t="str">
        <f>IF(Proc[[#This Row],[Author]]="Marcela Urrego",VLOOKUP(LEFT(Proc[[#This Row],[Requested]],1),Table3[#All],2,0),VLOOKUP(Proc[[#This Row],[Author]],Table4[],2,0))</f>
        <v>MGF</v>
      </c>
      <c r="L2702" s="125" t="s">
        <v>4897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19</v>
      </c>
      <c r="R2702" s="110" t="s">
        <v>485</v>
      </c>
      <c r="S2702" s="94"/>
    </row>
    <row r="2703" spans="1:19" hidden="1">
      <c r="A2703" s="103" t="s">
        <v>4425</v>
      </c>
      <c r="B2703" s="94" t="str">
        <f>IFERROR(VLOOKUP(Proc[[#This Row],[App]],Table2[],3,0),"open")</f>
        <v>ok</v>
      </c>
      <c r="C2703" s="117" t="s">
        <v>369</v>
      </c>
      <c r="D2703" t="s">
        <v>4627</v>
      </c>
      <c r="E2703" t="s">
        <v>4751</v>
      </c>
      <c r="F2703" s="94" t="s">
        <v>4751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4788</v>
      </c>
      <c r="J2703" s="94" t="b">
        <f>Proc[[#This Row],[Requested]]=Proc[[#This Row],[CurrentParent]]</f>
        <v>1</v>
      </c>
      <c r="K2703" s="94" t="str">
        <f>IF(Proc[[#This Row],[Author]]="Marcela Urrego",VLOOKUP(LEFT(Proc[[#This Row],[Requested]],1),Table3[#All],2,0),VLOOKUP(Proc[[#This Row],[Author]],Table4[],2,0))</f>
        <v>MGF</v>
      </c>
      <c r="L2703" s="125" t="s">
        <v>4897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19</v>
      </c>
      <c r="R2703" s="110" t="s">
        <v>485</v>
      </c>
      <c r="S2703" s="94"/>
    </row>
    <row r="2704" spans="1:19" hidden="1">
      <c r="A2704" s="103" t="s">
        <v>4425</v>
      </c>
      <c r="B2704" s="94" t="str">
        <f>IFERROR(VLOOKUP(Proc[[#This Row],[App]],Table2[],3,0),"open")</f>
        <v>ok</v>
      </c>
      <c r="C2704" s="117" t="s">
        <v>369</v>
      </c>
      <c r="D2704" t="s">
        <v>4628</v>
      </c>
      <c r="E2704" t="s">
        <v>4751</v>
      </c>
      <c r="F2704" s="94" t="s">
        <v>4751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4788</v>
      </c>
      <c r="J2704" s="94" t="b">
        <f>Proc[[#This Row],[Requested]]=Proc[[#This Row],[CurrentParent]]</f>
        <v>1</v>
      </c>
      <c r="K2704" s="94" t="str">
        <f>IF(Proc[[#This Row],[Author]]="Marcela Urrego",VLOOKUP(LEFT(Proc[[#This Row],[Requested]],1),Table3[#All],2,0),VLOOKUP(Proc[[#This Row],[Author]],Table4[],2,0))</f>
        <v>MGF</v>
      </c>
      <c r="L2704" s="125" t="s">
        <v>4897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19</v>
      </c>
      <c r="R2704" s="110" t="s">
        <v>485</v>
      </c>
      <c r="S2704" s="94"/>
    </row>
    <row r="2705" spans="1:19" hidden="1">
      <c r="A2705" s="103" t="s">
        <v>4425</v>
      </c>
      <c r="B2705" s="94" t="str">
        <f>IFERROR(VLOOKUP(Proc[[#This Row],[App]],Table2[],3,0),"open")</f>
        <v>ok</v>
      </c>
      <c r="C2705" s="117" t="s">
        <v>369</v>
      </c>
      <c r="D2705" t="s">
        <v>4629</v>
      </c>
      <c r="E2705" t="s">
        <v>4751</v>
      </c>
      <c r="F2705" s="94" t="s">
        <v>4751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4788</v>
      </c>
      <c r="J2705" s="94" t="b">
        <f>Proc[[#This Row],[Requested]]=Proc[[#This Row],[CurrentParent]]</f>
        <v>1</v>
      </c>
      <c r="K2705" s="94" t="str">
        <f>IF(Proc[[#This Row],[Author]]="Marcela Urrego",VLOOKUP(LEFT(Proc[[#This Row],[Requested]],1),Table3[#All],2,0),VLOOKUP(Proc[[#This Row],[Author]],Table4[],2,0))</f>
        <v>MGF</v>
      </c>
      <c r="L2705" s="125" t="s">
        <v>4897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19</v>
      </c>
      <c r="R2705" s="110" t="s">
        <v>485</v>
      </c>
      <c r="S2705" s="94"/>
    </row>
    <row r="2706" spans="1:19" hidden="1">
      <c r="A2706" s="103" t="s">
        <v>4425</v>
      </c>
      <c r="B2706" s="94" t="str">
        <f>IFERROR(VLOOKUP(Proc[[#This Row],[App]],Table2[],3,0),"open")</f>
        <v>ok</v>
      </c>
      <c r="C2706" s="117" t="s">
        <v>369</v>
      </c>
      <c r="D2706" t="s">
        <v>4630</v>
      </c>
      <c r="E2706" t="s">
        <v>4751</v>
      </c>
      <c r="F2706" s="94" t="s">
        <v>4751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4788</v>
      </c>
      <c r="J2706" s="94" t="b">
        <f>Proc[[#This Row],[Requested]]=Proc[[#This Row],[CurrentParent]]</f>
        <v>1</v>
      </c>
      <c r="K2706" s="94" t="str">
        <f>IF(Proc[[#This Row],[Author]]="Marcela Urrego",VLOOKUP(LEFT(Proc[[#This Row],[Requested]],1),Table3[#All],2,0),VLOOKUP(Proc[[#This Row],[Author]],Table4[],2,0))</f>
        <v>MGF</v>
      </c>
      <c r="L2706" s="125" t="s">
        <v>4897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19</v>
      </c>
      <c r="R2706" s="110" t="s">
        <v>485</v>
      </c>
      <c r="S2706" s="94"/>
    </row>
    <row r="2707" spans="1:19" hidden="1">
      <c r="A2707" s="103" t="s">
        <v>4425</v>
      </c>
      <c r="B2707" s="94" t="str">
        <f>IFERROR(VLOOKUP(Proc[[#This Row],[App]],Table2[],3,0),"open")</f>
        <v>ok</v>
      </c>
      <c r="C2707" s="117" t="s">
        <v>369</v>
      </c>
      <c r="D2707" t="s">
        <v>4631</v>
      </c>
      <c r="E2707" t="s">
        <v>4751</v>
      </c>
      <c r="F2707" s="94" t="s">
        <v>4751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4788</v>
      </c>
      <c r="J2707" s="94" t="b">
        <f>Proc[[#This Row],[Requested]]=Proc[[#This Row],[CurrentParent]]</f>
        <v>1</v>
      </c>
      <c r="K2707" s="94" t="str">
        <f>IF(Proc[[#This Row],[Author]]="Marcela Urrego",VLOOKUP(LEFT(Proc[[#This Row],[Requested]],1),Table3[#All],2,0),VLOOKUP(Proc[[#This Row],[Author]],Table4[],2,0))</f>
        <v>MGF</v>
      </c>
      <c r="L2707" s="125" t="s">
        <v>4897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19</v>
      </c>
      <c r="R2707" s="110" t="s">
        <v>485</v>
      </c>
      <c r="S2707" s="94"/>
    </row>
    <row r="2708" spans="1:19" hidden="1">
      <c r="A2708" s="103" t="s">
        <v>4425</v>
      </c>
      <c r="B2708" s="94" t="str">
        <f>IFERROR(VLOOKUP(Proc[[#This Row],[App]],Table2[],3,0),"open")</f>
        <v>ok</v>
      </c>
      <c r="C2708" s="117" t="s">
        <v>369</v>
      </c>
      <c r="D2708" t="s">
        <v>4632</v>
      </c>
      <c r="E2708" t="s">
        <v>4751</v>
      </c>
      <c r="F2708" s="94" t="s">
        <v>4751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4788</v>
      </c>
      <c r="J2708" s="94" t="b">
        <f>Proc[[#This Row],[Requested]]=Proc[[#This Row],[CurrentParent]]</f>
        <v>1</v>
      </c>
      <c r="K2708" s="94" t="str">
        <f>IF(Proc[[#This Row],[Author]]="Marcela Urrego",VLOOKUP(LEFT(Proc[[#This Row],[Requested]],1),Table3[#All],2,0),VLOOKUP(Proc[[#This Row],[Author]],Table4[],2,0))</f>
        <v>MGF</v>
      </c>
      <c r="L2708" s="125" t="s">
        <v>4897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19</v>
      </c>
      <c r="R2708" s="110" t="s">
        <v>485</v>
      </c>
      <c r="S2708" s="94"/>
    </row>
    <row r="2709" spans="1:19" hidden="1">
      <c r="A2709" s="103" t="s">
        <v>4425</v>
      </c>
      <c r="B2709" s="94" t="str">
        <f>IFERROR(VLOOKUP(Proc[[#This Row],[App]],Table2[],3,0),"open")</f>
        <v>ok</v>
      </c>
      <c r="C2709" s="117" t="s">
        <v>369</v>
      </c>
      <c r="D2709" t="s">
        <v>4633</v>
      </c>
      <c r="E2709" t="s">
        <v>4751</v>
      </c>
      <c r="F2709" s="94" t="s">
        <v>4751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4788</v>
      </c>
      <c r="J2709" s="94" t="b">
        <f>Proc[[#This Row],[Requested]]=Proc[[#This Row],[CurrentParent]]</f>
        <v>1</v>
      </c>
      <c r="K2709" s="94" t="str">
        <f>IF(Proc[[#This Row],[Author]]="Marcela Urrego",VLOOKUP(LEFT(Proc[[#This Row],[Requested]],1),Table3[#All],2,0),VLOOKUP(Proc[[#This Row],[Author]],Table4[],2,0))</f>
        <v>MGF</v>
      </c>
      <c r="L2709" s="125" t="s">
        <v>4897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19</v>
      </c>
      <c r="R2709" s="110" t="s">
        <v>485</v>
      </c>
      <c r="S2709" s="94"/>
    </row>
    <row r="2710" spans="1:19" hidden="1">
      <c r="A2710" s="103" t="s">
        <v>4425</v>
      </c>
      <c r="B2710" s="94" t="str">
        <f>IFERROR(VLOOKUP(Proc[[#This Row],[App]],Table2[],3,0),"open")</f>
        <v>ok</v>
      </c>
      <c r="C2710" s="117" t="s">
        <v>369</v>
      </c>
      <c r="D2710" t="s">
        <v>4634</v>
      </c>
      <c r="E2710" t="s">
        <v>4751</v>
      </c>
      <c r="F2710" s="94" t="s">
        <v>4751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4788</v>
      </c>
      <c r="J2710" s="94" t="b">
        <f>Proc[[#This Row],[Requested]]=Proc[[#This Row],[CurrentParent]]</f>
        <v>1</v>
      </c>
      <c r="K2710" s="94" t="str">
        <f>IF(Proc[[#This Row],[Author]]="Marcela Urrego",VLOOKUP(LEFT(Proc[[#This Row],[Requested]],1),Table3[#All],2,0),VLOOKUP(Proc[[#This Row],[Author]],Table4[],2,0))</f>
        <v>MGF</v>
      </c>
      <c r="L2710" s="125" t="s">
        <v>4897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19</v>
      </c>
      <c r="R2710" s="110" t="s">
        <v>485</v>
      </c>
      <c r="S2710" s="94"/>
    </row>
    <row r="2711" spans="1:19" hidden="1">
      <c r="A2711" s="103" t="s">
        <v>4425</v>
      </c>
      <c r="B2711" s="94" t="str">
        <f>IFERROR(VLOOKUP(Proc[[#This Row],[App]],Table2[],3,0),"open")</f>
        <v>ok</v>
      </c>
      <c r="C2711" s="117" t="s">
        <v>369</v>
      </c>
      <c r="D2711" t="s">
        <v>4635</v>
      </c>
      <c r="E2711" t="s">
        <v>4751</v>
      </c>
      <c r="F2711" s="94" t="s">
        <v>4751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4788</v>
      </c>
      <c r="J2711" s="94" t="b">
        <f>Proc[[#This Row],[Requested]]=Proc[[#This Row],[CurrentParent]]</f>
        <v>1</v>
      </c>
      <c r="K2711" s="94" t="str">
        <f>IF(Proc[[#This Row],[Author]]="Marcela Urrego",VLOOKUP(LEFT(Proc[[#This Row],[Requested]],1),Table3[#All],2,0),VLOOKUP(Proc[[#This Row],[Author]],Table4[],2,0))</f>
        <v>MGF</v>
      </c>
      <c r="L2711" s="125" t="s">
        <v>4897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19</v>
      </c>
      <c r="R2711" s="110" t="s">
        <v>485</v>
      </c>
      <c r="S2711" s="94"/>
    </row>
    <row r="2712" spans="1:19" hidden="1">
      <c r="A2712" s="103" t="s">
        <v>4425</v>
      </c>
      <c r="B2712" s="94" t="str">
        <f>IFERROR(VLOOKUP(Proc[[#This Row],[App]],Table2[],3,0),"open")</f>
        <v>ok</v>
      </c>
      <c r="C2712" s="117" t="s">
        <v>369</v>
      </c>
      <c r="D2712" t="s">
        <v>4636</v>
      </c>
      <c r="E2712" t="s">
        <v>4751</v>
      </c>
      <c r="F2712" s="94" t="s">
        <v>4751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4788</v>
      </c>
      <c r="J2712" s="94" t="b">
        <f>Proc[[#This Row],[Requested]]=Proc[[#This Row],[CurrentParent]]</f>
        <v>1</v>
      </c>
      <c r="K2712" s="94" t="str">
        <f>IF(Proc[[#This Row],[Author]]="Marcela Urrego",VLOOKUP(LEFT(Proc[[#This Row],[Requested]],1),Table3[#All],2,0),VLOOKUP(Proc[[#This Row],[Author]],Table4[],2,0))</f>
        <v>MGF</v>
      </c>
      <c r="L2712" s="125" t="s">
        <v>4897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19</v>
      </c>
      <c r="R2712" s="110" t="s">
        <v>485</v>
      </c>
      <c r="S2712" s="94"/>
    </row>
    <row r="2713" spans="1:19" hidden="1">
      <c r="A2713" s="103" t="s">
        <v>4425</v>
      </c>
      <c r="B2713" s="94" t="str">
        <f>IFERROR(VLOOKUP(Proc[[#This Row],[App]],Table2[],3,0),"open")</f>
        <v>ok</v>
      </c>
      <c r="C2713" s="117" t="s">
        <v>369</v>
      </c>
      <c r="D2713" t="s">
        <v>4637</v>
      </c>
      <c r="E2713" t="s">
        <v>4750</v>
      </c>
      <c r="F2713" s="94" t="s">
        <v>4750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4788</v>
      </c>
      <c r="J2713" s="94" t="b">
        <f>Proc[[#This Row],[Requested]]=Proc[[#This Row],[CurrentParent]]</f>
        <v>1</v>
      </c>
      <c r="K2713" s="94" t="str">
        <f>IF(Proc[[#This Row],[Author]]="Marcela Urrego",VLOOKUP(LEFT(Proc[[#This Row],[Requested]],1),Table3[#All],2,0),VLOOKUP(Proc[[#This Row],[Author]],Table4[],2,0))</f>
        <v>MGF</v>
      </c>
      <c r="L2713" s="125" t="s">
        <v>4897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19</v>
      </c>
      <c r="R2713" s="110" t="s">
        <v>485</v>
      </c>
      <c r="S2713" s="94"/>
    </row>
    <row r="2714" spans="1:19" hidden="1">
      <c r="A2714" s="103" t="s">
        <v>4425</v>
      </c>
      <c r="B2714" s="94" t="str">
        <f>IFERROR(VLOOKUP(Proc[[#This Row],[App]],Table2[],3,0),"open")</f>
        <v>ok</v>
      </c>
      <c r="C2714" s="117" t="s">
        <v>369</v>
      </c>
      <c r="D2714" t="s">
        <v>4638</v>
      </c>
      <c r="E2714" t="s">
        <v>4750</v>
      </c>
      <c r="F2714" s="94" t="s">
        <v>4750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4788</v>
      </c>
      <c r="J2714" s="94" t="b">
        <f>Proc[[#This Row],[Requested]]=Proc[[#This Row],[CurrentParent]]</f>
        <v>1</v>
      </c>
      <c r="K2714" s="94" t="str">
        <f>IF(Proc[[#This Row],[Author]]="Marcela Urrego",VLOOKUP(LEFT(Proc[[#This Row],[Requested]],1),Table3[#All],2,0),VLOOKUP(Proc[[#This Row],[Author]],Table4[],2,0))</f>
        <v>MGF</v>
      </c>
      <c r="L2714" s="125" t="s">
        <v>4897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19</v>
      </c>
      <c r="R2714" s="110" t="s">
        <v>485</v>
      </c>
      <c r="S2714" s="94"/>
    </row>
    <row r="2715" spans="1:19" hidden="1">
      <c r="A2715" s="103" t="s">
        <v>4425</v>
      </c>
      <c r="B2715" s="94" t="str">
        <f>IFERROR(VLOOKUP(Proc[[#This Row],[App]],Table2[],3,0),"open")</f>
        <v>ok</v>
      </c>
      <c r="C2715" s="117" t="s">
        <v>369</v>
      </c>
      <c r="D2715" t="s">
        <v>4639</v>
      </c>
      <c r="E2715" t="s">
        <v>4750</v>
      </c>
      <c r="F2715" s="94" t="s">
        <v>4750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4788</v>
      </c>
      <c r="J2715" s="94" t="b">
        <f>Proc[[#This Row],[Requested]]=Proc[[#This Row],[CurrentParent]]</f>
        <v>1</v>
      </c>
      <c r="K2715" s="94" t="str">
        <f>IF(Proc[[#This Row],[Author]]="Marcela Urrego",VLOOKUP(LEFT(Proc[[#This Row],[Requested]],1),Table3[#All],2,0),VLOOKUP(Proc[[#This Row],[Author]],Table4[],2,0))</f>
        <v>MGF</v>
      </c>
      <c r="L2715" s="125" t="s">
        <v>4897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19</v>
      </c>
      <c r="R2715" s="110" t="s">
        <v>485</v>
      </c>
      <c r="S2715" s="94"/>
    </row>
    <row r="2716" spans="1:19" hidden="1">
      <c r="A2716" s="103" t="s">
        <v>4425</v>
      </c>
      <c r="B2716" s="94" t="str">
        <f>IFERROR(VLOOKUP(Proc[[#This Row],[App]],Table2[],3,0),"open")</f>
        <v>ok</v>
      </c>
      <c r="C2716" s="117" t="s">
        <v>369</v>
      </c>
      <c r="D2716" t="s">
        <v>4640</v>
      </c>
      <c r="E2716" t="s">
        <v>4751</v>
      </c>
      <c r="F2716" s="94" t="s">
        <v>4751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4788</v>
      </c>
      <c r="J2716" s="94" t="b">
        <f>Proc[[#This Row],[Requested]]=Proc[[#This Row],[CurrentParent]]</f>
        <v>1</v>
      </c>
      <c r="K2716" s="94" t="str">
        <f>IF(Proc[[#This Row],[Author]]="Marcela Urrego",VLOOKUP(LEFT(Proc[[#This Row],[Requested]],1),Table3[#All],2,0),VLOOKUP(Proc[[#This Row],[Author]],Table4[],2,0))</f>
        <v>MGF</v>
      </c>
      <c r="L2716" s="125" t="s">
        <v>4897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19</v>
      </c>
      <c r="R2716" s="110" t="s">
        <v>485</v>
      </c>
      <c r="S2716" s="94"/>
    </row>
    <row r="2717" spans="1:19" hidden="1">
      <c r="A2717" s="103" t="s">
        <v>4425</v>
      </c>
      <c r="B2717" s="94" t="str">
        <f>IFERROR(VLOOKUP(Proc[[#This Row],[App]],Table2[],3,0),"open")</f>
        <v>ok</v>
      </c>
      <c r="C2717" s="117" t="s">
        <v>369</v>
      </c>
      <c r="D2717" t="s">
        <v>4641</v>
      </c>
      <c r="E2717" t="s">
        <v>4751</v>
      </c>
      <c r="F2717" s="94" t="s">
        <v>4751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4788</v>
      </c>
      <c r="J2717" s="94" t="b">
        <f>Proc[[#This Row],[Requested]]=Proc[[#This Row],[CurrentParent]]</f>
        <v>1</v>
      </c>
      <c r="K2717" s="94" t="str">
        <f>IF(Proc[[#This Row],[Author]]="Marcela Urrego",VLOOKUP(LEFT(Proc[[#This Row],[Requested]],1),Table3[#All],2,0),VLOOKUP(Proc[[#This Row],[Author]],Table4[],2,0))</f>
        <v>MGF</v>
      </c>
      <c r="L2717" s="125" t="s">
        <v>4897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19</v>
      </c>
      <c r="R2717" s="110" t="s">
        <v>485</v>
      </c>
      <c r="S2717" s="94"/>
    </row>
    <row r="2718" spans="1:19" hidden="1">
      <c r="A2718" s="103" t="s">
        <v>4425</v>
      </c>
      <c r="B2718" s="94" t="str">
        <f>IFERROR(VLOOKUP(Proc[[#This Row],[App]],Table2[],3,0),"open")</f>
        <v>ok</v>
      </c>
      <c r="C2718" s="117" t="s">
        <v>369</v>
      </c>
      <c r="D2718" t="s">
        <v>4642</v>
      </c>
      <c r="E2718" t="s">
        <v>4751</v>
      </c>
      <c r="F2718" s="94" t="s">
        <v>4751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4788</v>
      </c>
      <c r="J2718" s="94" t="b">
        <f>Proc[[#This Row],[Requested]]=Proc[[#This Row],[CurrentParent]]</f>
        <v>1</v>
      </c>
      <c r="K2718" s="94" t="str">
        <f>IF(Proc[[#This Row],[Author]]="Marcela Urrego",VLOOKUP(LEFT(Proc[[#This Row],[Requested]],1),Table3[#All],2,0),VLOOKUP(Proc[[#This Row],[Author]],Table4[],2,0))</f>
        <v>MGF</v>
      </c>
      <c r="L2718" s="125" t="s">
        <v>4897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19</v>
      </c>
      <c r="R2718" s="110" t="s">
        <v>485</v>
      </c>
      <c r="S2718" s="94"/>
    </row>
    <row r="2719" spans="1:19" hidden="1">
      <c r="A2719" s="103" t="s">
        <v>4425</v>
      </c>
      <c r="B2719" s="94" t="str">
        <f>IFERROR(VLOOKUP(Proc[[#This Row],[App]],Table2[],3,0),"open")</f>
        <v>ok</v>
      </c>
      <c r="C2719" s="117" t="s">
        <v>369</v>
      </c>
      <c r="D2719" t="s">
        <v>4643</v>
      </c>
      <c r="E2719" t="s">
        <v>4751</v>
      </c>
      <c r="F2719" s="94" t="s">
        <v>4751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4788</v>
      </c>
      <c r="J2719" s="94" t="b">
        <f>Proc[[#This Row],[Requested]]=Proc[[#This Row],[CurrentParent]]</f>
        <v>1</v>
      </c>
      <c r="K2719" s="94" t="str">
        <f>IF(Proc[[#This Row],[Author]]="Marcela Urrego",VLOOKUP(LEFT(Proc[[#This Row],[Requested]],1),Table3[#All],2,0),VLOOKUP(Proc[[#This Row],[Author]],Table4[],2,0))</f>
        <v>MGF</v>
      </c>
      <c r="L2719" s="125" t="s">
        <v>4897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19</v>
      </c>
      <c r="R2719" s="110" t="s">
        <v>485</v>
      </c>
      <c r="S2719" s="94"/>
    </row>
    <row r="2720" spans="1:19" hidden="1">
      <c r="A2720" s="103" t="s">
        <v>4425</v>
      </c>
      <c r="B2720" s="94" t="str">
        <f>IFERROR(VLOOKUP(Proc[[#This Row],[App]],Table2[],3,0),"open")</f>
        <v>ok</v>
      </c>
      <c r="C2720" s="117" t="s">
        <v>369</v>
      </c>
      <c r="D2720" t="s">
        <v>4644</v>
      </c>
      <c r="E2720" t="s">
        <v>4751</v>
      </c>
      <c r="F2720" s="94" t="s">
        <v>4751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4788</v>
      </c>
      <c r="J2720" s="94" t="b">
        <f>Proc[[#This Row],[Requested]]=Proc[[#This Row],[CurrentParent]]</f>
        <v>1</v>
      </c>
      <c r="K2720" s="94" t="str">
        <f>IF(Proc[[#This Row],[Author]]="Marcela Urrego",VLOOKUP(LEFT(Proc[[#This Row],[Requested]],1),Table3[#All],2,0),VLOOKUP(Proc[[#This Row],[Author]],Table4[],2,0))</f>
        <v>MGF</v>
      </c>
      <c r="L2720" s="125" t="s">
        <v>4897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19</v>
      </c>
      <c r="R2720" s="110" t="s">
        <v>485</v>
      </c>
      <c r="S2720" s="94"/>
    </row>
    <row r="2721" spans="1:19" hidden="1">
      <c r="A2721" s="103" t="s">
        <v>4425</v>
      </c>
      <c r="B2721" s="94" t="str">
        <f>IFERROR(VLOOKUP(Proc[[#This Row],[App]],Table2[],3,0),"open")</f>
        <v>ok</v>
      </c>
      <c r="C2721" s="117" t="s">
        <v>369</v>
      </c>
      <c r="D2721" t="s">
        <v>4645</v>
      </c>
      <c r="E2721" t="s">
        <v>4751</v>
      </c>
      <c r="F2721" s="94" t="s">
        <v>4751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4788</v>
      </c>
      <c r="J2721" s="94" t="b">
        <f>Proc[[#This Row],[Requested]]=Proc[[#This Row],[CurrentParent]]</f>
        <v>1</v>
      </c>
      <c r="K2721" s="94" t="str">
        <f>IF(Proc[[#This Row],[Author]]="Marcela Urrego",VLOOKUP(LEFT(Proc[[#This Row],[Requested]],1),Table3[#All],2,0),VLOOKUP(Proc[[#This Row],[Author]],Table4[],2,0))</f>
        <v>MGF</v>
      </c>
      <c r="L2721" s="125" t="s">
        <v>4897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19</v>
      </c>
      <c r="R2721" s="110" t="s">
        <v>485</v>
      </c>
      <c r="S2721" s="94"/>
    </row>
    <row r="2722" spans="1:19" hidden="1">
      <c r="A2722" s="103" t="s">
        <v>4425</v>
      </c>
      <c r="B2722" s="94" t="str">
        <f>IFERROR(VLOOKUP(Proc[[#This Row],[App]],Table2[],3,0),"open")</f>
        <v>ok</v>
      </c>
      <c r="C2722" s="117" t="s">
        <v>369</v>
      </c>
      <c r="D2722" t="s">
        <v>4646</v>
      </c>
      <c r="E2722" t="s">
        <v>4751</v>
      </c>
      <c r="F2722" s="94" t="s">
        <v>4751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4788</v>
      </c>
      <c r="J2722" s="94" t="b">
        <f>Proc[[#This Row],[Requested]]=Proc[[#This Row],[CurrentParent]]</f>
        <v>1</v>
      </c>
      <c r="K2722" s="94" t="str">
        <f>IF(Proc[[#This Row],[Author]]="Marcela Urrego",VLOOKUP(LEFT(Proc[[#This Row],[Requested]],1),Table3[#All],2,0),VLOOKUP(Proc[[#This Row],[Author]],Table4[],2,0))</f>
        <v>MGF</v>
      </c>
      <c r="L2722" s="125" t="s">
        <v>4897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19</v>
      </c>
      <c r="R2722" s="110" t="s">
        <v>485</v>
      </c>
      <c r="S2722" s="94"/>
    </row>
    <row r="2723" spans="1:19" hidden="1">
      <c r="A2723" s="103" t="s">
        <v>4425</v>
      </c>
      <c r="B2723" s="94" t="str">
        <f>IFERROR(VLOOKUP(Proc[[#This Row],[App]],Table2[],3,0),"open")</f>
        <v>ok</v>
      </c>
      <c r="C2723" s="117" t="s">
        <v>369</v>
      </c>
      <c r="D2723" t="s">
        <v>4647</v>
      </c>
      <c r="E2723" t="s">
        <v>4751</v>
      </c>
      <c r="F2723" s="94" t="s">
        <v>4751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4788</v>
      </c>
      <c r="J2723" s="94" t="b">
        <f>Proc[[#This Row],[Requested]]=Proc[[#This Row],[CurrentParent]]</f>
        <v>1</v>
      </c>
      <c r="K2723" s="94" t="str">
        <f>IF(Proc[[#This Row],[Author]]="Marcela Urrego",VLOOKUP(LEFT(Proc[[#This Row],[Requested]],1),Table3[#All],2,0),VLOOKUP(Proc[[#This Row],[Author]],Table4[],2,0))</f>
        <v>MGF</v>
      </c>
      <c r="L2723" s="125" t="s">
        <v>4897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19</v>
      </c>
      <c r="R2723" s="110" t="s">
        <v>485</v>
      </c>
      <c r="S2723" s="94"/>
    </row>
    <row r="2724" spans="1:19" hidden="1">
      <c r="A2724" s="103" t="s">
        <v>4425</v>
      </c>
      <c r="B2724" s="94" t="str">
        <f>IFERROR(VLOOKUP(Proc[[#This Row],[App]],Table2[],3,0),"open")</f>
        <v>ok</v>
      </c>
      <c r="C2724" s="117" t="s">
        <v>369</v>
      </c>
      <c r="D2724" t="s">
        <v>4648</v>
      </c>
      <c r="E2724" t="s">
        <v>4751</v>
      </c>
      <c r="F2724" s="94" t="s">
        <v>4751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4788</v>
      </c>
      <c r="J2724" s="94" t="b">
        <f>Proc[[#This Row],[Requested]]=Proc[[#This Row],[CurrentParent]]</f>
        <v>1</v>
      </c>
      <c r="K2724" s="94" t="str">
        <f>IF(Proc[[#This Row],[Author]]="Marcela Urrego",VLOOKUP(LEFT(Proc[[#This Row],[Requested]],1),Table3[#All],2,0),VLOOKUP(Proc[[#This Row],[Author]],Table4[],2,0))</f>
        <v>MGF</v>
      </c>
      <c r="L2724" s="125" t="s">
        <v>4897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19</v>
      </c>
      <c r="R2724" s="110" t="s">
        <v>485</v>
      </c>
      <c r="S2724" s="94"/>
    </row>
    <row r="2725" spans="1:19" hidden="1">
      <c r="A2725" s="103" t="s">
        <v>4425</v>
      </c>
      <c r="B2725" s="94" t="str">
        <f>IFERROR(VLOOKUP(Proc[[#This Row],[App]],Table2[],3,0),"open")</f>
        <v>ok</v>
      </c>
      <c r="C2725" s="117" t="s">
        <v>369</v>
      </c>
      <c r="D2725" t="s">
        <v>4649</v>
      </c>
      <c r="E2725" t="s">
        <v>4751</v>
      </c>
      <c r="F2725" s="94" t="s">
        <v>4751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4788</v>
      </c>
      <c r="J2725" s="94" t="b">
        <f>Proc[[#This Row],[Requested]]=Proc[[#This Row],[CurrentParent]]</f>
        <v>1</v>
      </c>
      <c r="K2725" s="94" t="str">
        <f>IF(Proc[[#This Row],[Author]]="Marcela Urrego",VLOOKUP(LEFT(Proc[[#This Row],[Requested]],1),Table3[#All],2,0),VLOOKUP(Proc[[#This Row],[Author]],Table4[],2,0))</f>
        <v>MGF</v>
      </c>
      <c r="L2725" s="125" t="s">
        <v>4897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19</v>
      </c>
      <c r="R2725" s="110" t="s">
        <v>485</v>
      </c>
      <c r="S2725" s="94"/>
    </row>
    <row r="2726" spans="1:19" hidden="1">
      <c r="A2726" s="103" t="s">
        <v>4425</v>
      </c>
      <c r="B2726" s="94" t="str">
        <f>IFERROR(VLOOKUP(Proc[[#This Row],[App]],Table2[],3,0),"open")</f>
        <v>ok</v>
      </c>
      <c r="C2726" s="117" t="s">
        <v>369</v>
      </c>
      <c r="D2726" t="s">
        <v>4650</v>
      </c>
      <c r="E2726" t="s">
        <v>4751</v>
      </c>
      <c r="F2726" s="94" t="s">
        <v>4751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4788</v>
      </c>
      <c r="J2726" s="94" t="b">
        <f>Proc[[#This Row],[Requested]]=Proc[[#This Row],[CurrentParent]]</f>
        <v>1</v>
      </c>
      <c r="K2726" s="94" t="str">
        <f>IF(Proc[[#This Row],[Author]]="Marcela Urrego",VLOOKUP(LEFT(Proc[[#This Row],[Requested]],1),Table3[#All],2,0),VLOOKUP(Proc[[#This Row],[Author]],Table4[],2,0))</f>
        <v>MGF</v>
      </c>
      <c r="L2726" s="125" t="s">
        <v>4897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19</v>
      </c>
      <c r="R2726" s="110" t="s">
        <v>485</v>
      </c>
      <c r="S2726" s="94"/>
    </row>
    <row r="2727" spans="1:19" hidden="1">
      <c r="A2727" s="103" t="s">
        <v>4425</v>
      </c>
      <c r="B2727" s="94" t="str">
        <f>IFERROR(VLOOKUP(Proc[[#This Row],[App]],Table2[],3,0),"open")</f>
        <v>ok</v>
      </c>
      <c r="C2727" s="117" t="s">
        <v>369</v>
      </c>
      <c r="D2727" t="s">
        <v>4651</v>
      </c>
      <c r="E2727" t="s">
        <v>4751</v>
      </c>
      <c r="F2727" s="94" t="s">
        <v>4751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4788</v>
      </c>
      <c r="J2727" s="94" t="b">
        <f>Proc[[#This Row],[Requested]]=Proc[[#This Row],[CurrentParent]]</f>
        <v>1</v>
      </c>
      <c r="K2727" s="94" t="str">
        <f>IF(Proc[[#This Row],[Author]]="Marcela Urrego",VLOOKUP(LEFT(Proc[[#This Row],[Requested]],1),Table3[#All],2,0),VLOOKUP(Proc[[#This Row],[Author]],Table4[],2,0))</f>
        <v>MGF</v>
      </c>
      <c r="L2727" s="125" t="s">
        <v>4897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19</v>
      </c>
      <c r="R2727" s="110" t="s">
        <v>485</v>
      </c>
      <c r="S2727" s="94"/>
    </row>
    <row r="2728" spans="1:19" hidden="1">
      <c r="A2728" s="103" t="s">
        <v>4425</v>
      </c>
      <c r="B2728" s="94" t="str">
        <f>IFERROR(VLOOKUP(Proc[[#This Row],[App]],Table2[],3,0),"open")</f>
        <v>ok</v>
      </c>
      <c r="C2728" s="117" t="s">
        <v>369</v>
      </c>
      <c r="D2728" t="s">
        <v>4652</v>
      </c>
      <c r="E2728" t="s">
        <v>4751</v>
      </c>
      <c r="F2728" s="94" t="s">
        <v>4751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4788</v>
      </c>
      <c r="J2728" s="94" t="b">
        <f>Proc[[#This Row],[Requested]]=Proc[[#This Row],[CurrentParent]]</f>
        <v>1</v>
      </c>
      <c r="K2728" s="94" t="str">
        <f>IF(Proc[[#This Row],[Author]]="Marcela Urrego",VLOOKUP(LEFT(Proc[[#This Row],[Requested]],1),Table3[#All],2,0),VLOOKUP(Proc[[#This Row],[Author]],Table4[],2,0))</f>
        <v>MGF</v>
      </c>
      <c r="L2728" s="125" t="s">
        <v>4897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19</v>
      </c>
      <c r="R2728" s="110" t="s">
        <v>485</v>
      </c>
      <c r="S2728" s="94"/>
    </row>
    <row r="2729" spans="1:19" hidden="1">
      <c r="A2729" s="103" t="s">
        <v>4425</v>
      </c>
      <c r="B2729" s="94" t="str">
        <f>IFERROR(VLOOKUP(Proc[[#This Row],[App]],Table2[],3,0),"open")</f>
        <v>ok</v>
      </c>
      <c r="C2729" s="117" t="s">
        <v>369</v>
      </c>
      <c r="D2729" t="s">
        <v>4653</v>
      </c>
      <c r="E2729" t="s">
        <v>4751</v>
      </c>
      <c r="F2729" s="94" t="s">
        <v>4751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4788</v>
      </c>
      <c r="J2729" s="94" t="b">
        <f>Proc[[#This Row],[Requested]]=Proc[[#This Row],[CurrentParent]]</f>
        <v>1</v>
      </c>
      <c r="K2729" s="94" t="str">
        <f>IF(Proc[[#This Row],[Author]]="Marcela Urrego",VLOOKUP(LEFT(Proc[[#This Row],[Requested]],1),Table3[#All],2,0),VLOOKUP(Proc[[#This Row],[Author]],Table4[],2,0))</f>
        <v>MGF</v>
      </c>
      <c r="L2729" s="125" t="s">
        <v>4897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19</v>
      </c>
      <c r="R2729" s="110" t="s">
        <v>485</v>
      </c>
      <c r="S2729" s="94"/>
    </row>
    <row r="2730" spans="1:19" hidden="1">
      <c r="A2730" s="103" t="s">
        <v>4425</v>
      </c>
      <c r="B2730" s="94" t="str">
        <f>IFERROR(VLOOKUP(Proc[[#This Row],[App]],Table2[],3,0),"open")</f>
        <v>ok</v>
      </c>
      <c r="C2730" s="117" t="s">
        <v>369</v>
      </c>
      <c r="D2730" t="s">
        <v>4654</v>
      </c>
      <c r="E2730" t="s">
        <v>4751</v>
      </c>
      <c r="F2730" s="94" t="s">
        <v>4751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4788</v>
      </c>
      <c r="J2730" s="94" t="b">
        <f>Proc[[#This Row],[Requested]]=Proc[[#This Row],[CurrentParent]]</f>
        <v>1</v>
      </c>
      <c r="K2730" s="94" t="str">
        <f>IF(Proc[[#This Row],[Author]]="Marcela Urrego",VLOOKUP(LEFT(Proc[[#This Row],[Requested]],1),Table3[#All],2,0),VLOOKUP(Proc[[#This Row],[Author]],Table4[],2,0))</f>
        <v>MGF</v>
      </c>
      <c r="L2730" s="125" t="s">
        <v>4897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19</v>
      </c>
      <c r="R2730" s="110" t="s">
        <v>485</v>
      </c>
      <c r="S2730" s="94"/>
    </row>
    <row r="2731" spans="1:19" hidden="1">
      <c r="A2731" s="103" t="s">
        <v>4425</v>
      </c>
      <c r="B2731" s="94" t="str">
        <f>IFERROR(VLOOKUP(Proc[[#This Row],[App]],Table2[],3,0),"open")</f>
        <v>ok</v>
      </c>
      <c r="C2731" s="117" t="s">
        <v>369</v>
      </c>
      <c r="D2731" t="s">
        <v>4655</v>
      </c>
      <c r="E2731" t="s">
        <v>4751</v>
      </c>
      <c r="F2731" s="94" t="s">
        <v>4751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4788</v>
      </c>
      <c r="J2731" s="94" t="b">
        <f>Proc[[#This Row],[Requested]]=Proc[[#This Row],[CurrentParent]]</f>
        <v>1</v>
      </c>
      <c r="K2731" s="94" t="str">
        <f>IF(Proc[[#This Row],[Author]]="Marcela Urrego",VLOOKUP(LEFT(Proc[[#This Row],[Requested]],1),Table3[#All],2,0),VLOOKUP(Proc[[#This Row],[Author]],Table4[],2,0))</f>
        <v>MGF</v>
      </c>
      <c r="L2731" s="125" t="s">
        <v>4897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19</v>
      </c>
      <c r="R2731" s="110" t="s">
        <v>485</v>
      </c>
      <c r="S2731" s="94"/>
    </row>
    <row r="2732" spans="1:19" hidden="1">
      <c r="A2732" s="103" t="s">
        <v>4425</v>
      </c>
      <c r="B2732" s="94" t="str">
        <f>IFERROR(VLOOKUP(Proc[[#This Row],[App]],Table2[],3,0),"open")</f>
        <v>ok</v>
      </c>
      <c r="C2732" s="117" t="s">
        <v>369</v>
      </c>
      <c r="D2732" t="s">
        <v>4656</v>
      </c>
      <c r="E2732" t="s">
        <v>4751</v>
      </c>
      <c r="F2732" s="94" t="s">
        <v>4751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4788</v>
      </c>
      <c r="J2732" s="94" t="b">
        <f>Proc[[#This Row],[Requested]]=Proc[[#This Row],[CurrentParent]]</f>
        <v>1</v>
      </c>
      <c r="K2732" s="94" t="str">
        <f>IF(Proc[[#This Row],[Author]]="Marcela Urrego",VLOOKUP(LEFT(Proc[[#This Row],[Requested]],1),Table3[#All],2,0),VLOOKUP(Proc[[#This Row],[Author]],Table4[],2,0))</f>
        <v>MGF</v>
      </c>
      <c r="L2732" s="125" t="s">
        <v>4897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19</v>
      </c>
      <c r="R2732" s="110" t="s">
        <v>485</v>
      </c>
      <c r="S2732" s="94"/>
    </row>
    <row r="2733" spans="1:19" hidden="1">
      <c r="A2733" s="103" t="s">
        <v>4425</v>
      </c>
      <c r="B2733" s="94" t="str">
        <f>IFERROR(VLOOKUP(Proc[[#This Row],[App]],Table2[],3,0),"open")</f>
        <v>ok</v>
      </c>
      <c r="C2733" s="117" t="s">
        <v>369</v>
      </c>
      <c r="D2733" t="s">
        <v>4657</v>
      </c>
      <c r="E2733" t="s">
        <v>4751</v>
      </c>
      <c r="F2733" s="94" t="s">
        <v>4751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4788</v>
      </c>
      <c r="J2733" s="94" t="b">
        <f>Proc[[#This Row],[Requested]]=Proc[[#This Row],[CurrentParent]]</f>
        <v>1</v>
      </c>
      <c r="K2733" s="94" t="str">
        <f>IF(Proc[[#This Row],[Author]]="Marcela Urrego",VLOOKUP(LEFT(Proc[[#This Row],[Requested]],1),Table3[#All],2,0),VLOOKUP(Proc[[#This Row],[Author]],Table4[],2,0))</f>
        <v>MGF</v>
      </c>
      <c r="L2733" s="125" t="s">
        <v>4897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19</v>
      </c>
      <c r="R2733" s="110" t="s">
        <v>485</v>
      </c>
      <c r="S2733" s="94"/>
    </row>
    <row r="2734" spans="1:19" hidden="1">
      <c r="A2734" s="103" t="s">
        <v>4425</v>
      </c>
      <c r="B2734" s="94" t="str">
        <f>IFERROR(VLOOKUP(Proc[[#This Row],[App]],Table2[],3,0),"open")</f>
        <v>ok</v>
      </c>
      <c r="C2734" s="117" t="s">
        <v>369</v>
      </c>
      <c r="D2734" t="s">
        <v>4658</v>
      </c>
      <c r="E2734" t="s">
        <v>4753</v>
      </c>
      <c r="F2734" s="94" t="s">
        <v>4753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4788</v>
      </c>
      <c r="J2734" s="94" t="b">
        <f>Proc[[#This Row],[Requested]]=Proc[[#This Row],[CurrentParent]]</f>
        <v>1</v>
      </c>
      <c r="K2734" s="94" t="str">
        <f>IF(Proc[[#This Row],[Author]]="Marcela Urrego",VLOOKUP(LEFT(Proc[[#This Row],[Requested]],1),Table3[#All],2,0),VLOOKUP(Proc[[#This Row],[Author]],Table4[],2,0))</f>
        <v>MGF</v>
      </c>
      <c r="L2734" s="125" t="s">
        <v>4897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19</v>
      </c>
      <c r="R2734" s="110" t="s">
        <v>485</v>
      </c>
      <c r="S2734" s="94"/>
    </row>
    <row r="2735" spans="1:19" hidden="1">
      <c r="A2735" s="103" t="s">
        <v>4425</v>
      </c>
      <c r="B2735" s="94" t="str">
        <f>IFERROR(VLOOKUP(Proc[[#This Row],[App]],Table2[],3,0),"open")</f>
        <v>ok</v>
      </c>
      <c r="C2735" s="117" t="s">
        <v>369</v>
      </c>
      <c r="D2735" t="s">
        <v>4659</v>
      </c>
      <c r="E2735" t="s">
        <v>4754</v>
      </c>
      <c r="F2735" s="94" t="s">
        <v>4754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4788</v>
      </c>
      <c r="J2735" s="94" t="b">
        <f>Proc[[#This Row],[Requested]]=Proc[[#This Row],[CurrentParent]]</f>
        <v>1</v>
      </c>
      <c r="K2735" s="94" t="str">
        <f>IF(Proc[[#This Row],[Author]]="Marcela Urrego",VLOOKUP(LEFT(Proc[[#This Row],[Requested]],1),Table3[#All],2,0),VLOOKUP(Proc[[#This Row],[Author]],Table4[],2,0))</f>
        <v>MGF</v>
      </c>
      <c r="L2735" s="125" t="s">
        <v>4897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19</v>
      </c>
      <c r="R2735" s="110" t="s">
        <v>485</v>
      </c>
      <c r="S2735" s="94"/>
    </row>
    <row r="2736" spans="1:19" hidden="1">
      <c r="A2736" s="103" t="s">
        <v>4425</v>
      </c>
      <c r="B2736" s="94" t="str">
        <f>IFERROR(VLOOKUP(Proc[[#This Row],[App]],Table2[],3,0),"open")</f>
        <v>ok</v>
      </c>
      <c r="C2736" s="117" t="s">
        <v>369</v>
      </c>
      <c r="D2736" t="s">
        <v>4660</v>
      </c>
      <c r="E2736" t="s">
        <v>4753</v>
      </c>
      <c r="F2736" s="94" t="s">
        <v>4753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4788</v>
      </c>
      <c r="J2736" s="94" t="b">
        <f>Proc[[#This Row],[Requested]]=Proc[[#This Row],[CurrentParent]]</f>
        <v>1</v>
      </c>
      <c r="K2736" s="94" t="str">
        <f>IF(Proc[[#This Row],[Author]]="Marcela Urrego",VLOOKUP(LEFT(Proc[[#This Row],[Requested]],1),Table3[#All],2,0),VLOOKUP(Proc[[#This Row],[Author]],Table4[],2,0))</f>
        <v>MGF</v>
      </c>
      <c r="L2736" s="125" t="s">
        <v>4897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19</v>
      </c>
      <c r="R2736" s="110" t="s">
        <v>485</v>
      </c>
      <c r="S2736" s="94"/>
    </row>
    <row r="2737" spans="1:19" hidden="1">
      <c r="A2737" s="103" t="s">
        <v>4425</v>
      </c>
      <c r="B2737" s="94" t="str">
        <f>IFERROR(VLOOKUP(Proc[[#This Row],[App]],Table2[],3,0),"open")</f>
        <v>ok</v>
      </c>
      <c r="C2737" s="117" t="s">
        <v>369</v>
      </c>
      <c r="D2737" t="s">
        <v>4661</v>
      </c>
      <c r="E2737" t="s">
        <v>4755</v>
      </c>
      <c r="F2737" s="94" t="s">
        <v>4755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4788</v>
      </c>
      <c r="J2737" s="94" t="b">
        <f>Proc[[#This Row],[Requested]]=Proc[[#This Row],[CurrentParent]]</f>
        <v>1</v>
      </c>
      <c r="K2737" s="94" t="str">
        <f>IF(Proc[[#This Row],[Author]]="Marcela Urrego",VLOOKUP(LEFT(Proc[[#This Row],[Requested]],1),Table3[#All],2,0),VLOOKUP(Proc[[#This Row],[Author]],Table4[],2,0))</f>
        <v>MGF</v>
      </c>
      <c r="L2737" s="125" t="s">
        <v>4897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19</v>
      </c>
      <c r="R2737" s="110" t="s">
        <v>485</v>
      </c>
      <c r="S2737" s="94"/>
    </row>
    <row r="2738" spans="1:19" hidden="1">
      <c r="A2738" s="103" t="s">
        <v>4425</v>
      </c>
      <c r="B2738" s="94" t="str">
        <f>IFERROR(VLOOKUP(Proc[[#This Row],[App]],Table2[],3,0),"open")</f>
        <v>ok</v>
      </c>
      <c r="C2738" s="117" t="s">
        <v>369</v>
      </c>
      <c r="D2738" t="s">
        <v>4662</v>
      </c>
      <c r="E2738" t="s">
        <v>4753</v>
      </c>
      <c r="F2738" s="94" t="s">
        <v>4753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4788</v>
      </c>
      <c r="J2738" s="94" t="b">
        <f>Proc[[#This Row],[Requested]]=Proc[[#This Row],[CurrentParent]]</f>
        <v>1</v>
      </c>
      <c r="K2738" s="94" t="str">
        <f>IF(Proc[[#This Row],[Author]]="Marcela Urrego",VLOOKUP(LEFT(Proc[[#This Row],[Requested]],1),Table3[#All],2,0),VLOOKUP(Proc[[#This Row],[Author]],Table4[],2,0))</f>
        <v>MGF</v>
      </c>
      <c r="L2738" s="125" t="s">
        <v>4897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19</v>
      </c>
      <c r="R2738" s="110" t="s">
        <v>485</v>
      </c>
      <c r="S2738" s="94"/>
    </row>
    <row r="2739" spans="1:19" hidden="1">
      <c r="A2739" s="103" t="s">
        <v>4425</v>
      </c>
      <c r="B2739" s="94" t="str">
        <f>IFERROR(VLOOKUP(Proc[[#This Row],[App]],Table2[],3,0),"open")</f>
        <v>ok</v>
      </c>
      <c r="C2739" s="117" t="s">
        <v>369</v>
      </c>
      <c r="D2739" t="s">
        <v>4663</v>
      </c>
      <c r="E2739" t="s">
        <v>4753</v>
      </c>
      <c r="F2739" s="94" t="s">
        <v>4753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4788</v>
      </c>
      <c r="J2739" s="94" t="b">
        <f>Proc[[#This Row],[Requested]]=Proc[[#This Row],[CurrentParent]]</f>
        <v>1</v>
      </c>
      <c r="K2739" s="94" t="str">
        <f>IF(Proc[[#This Row],[Author]]="Marcela Urrego",VLOOKUP(LEFT(Proc[[#This Row],[Requested]],1),Table3[#All],2,0),VLOOKUP(Proc[[#This Row],[Author]],Table4[],2,0))</f>
        <v>MGF</v>
      </c>
      <c r="L2739" s="125" t="s">
        <v>4897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19</v>
      </c>
      <c r="R2739" s="110" t="s">
        <v>485</v>
      </c>
      <c r="S2739" s="94"/>
    </row>
    <row r="2740" spans="1:19" hidden="1">
      <c r="A2740" s="103" t="s">
        <v>4425</v>
      </c>
      <c r="B2740" s="94" t="str">
        <f>IFERROR(VLOOKUP(Proc[[#This Row],[App]],Table2[],3,0),"open")</f>
        <v>ok</v>
      </c>
      <c r="C2740" s="117" t="s">
        <v>369</v>
      </c>
      <c r="D2740" t="s">
        <v>4664</v>
      </c>
      <c r="E2740" t="s">
        <v>4753</v>
      </c>
      <c r="F2740" s="94" t="s">
        <v>4753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4788</v>
      </c>
      <c r="J2740" s="94" t="b">
        <f>Proc[[#This Row],[Requested]]=Proc[[#This Row],[CurrentParent]]</f>
        <v>1</v>
      </c>
      <c r="K2740" s="94" t="str">
        <f>IF(Proc[[#This Row],[Author]]="Marcela Urrego",VLOOKUP(LEFT(Proc[[#This Row],[Requested]],1),Table3[#All],2,0),VLOOKUP(Proc[[#This Row],[Author]],Table4[],2,0))</f>
        <v>MGF</v>
      </c>
      <c r="L2740" s="125" t="s">
        <v>4897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19</v>
      </c>
      <c r="R2740" s="110" t="s">
        <v>485</v>
      </c>
      <c r="S2740" s="94"/>
    </row>
    <row r="2741" spans="1:19" hidden="1">
      <c r="A2741" s="103" t="s">
        <v>4425</v>
      </c>
      <c r="B2741" s="94" t="str">
        <f>IFERROR(VLOOKUP(Proc[[#This Row],[App]],Table2[],3,0),"open")</f>
        <v>ok</v>
      </c>
      <c r="C2741" s="117" t="s">
        <v>369</v>
      </c>
      <c r="D2741" t="s">
        <v>4665</v>
      </c>
      <c r="E2741" t="s">
        <v>4755</v>
      </c>
      <c r="F2741" s="94" t="s">
        <v>4755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4788</v>
      </c>
      <c r="J2741" s="94" t="b">
        <f>Proc[[#This Row],[Requested]]=Proc[[#This Row],[CurrentParent]]</f>
        <v>1</v>
      </c>
      <c r="K2741" s="94" t="str">
        <f>IF(Proc[[#This Row],[Author]]="Marcela Urrego",VLOOKUP(LEFT(Proc[[#This Row],[Requested]],1),Table3[#All],2,0),VLOOKUP(Proc[[#This Row],[Author]],Table4[],2,0))</f>
        <v>MGF</v>
      </c>
      <c r="L2741" s="125" t="s">
        <v>4897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19</v>
      </c>
      <c r="R2741" s="110" t="s">
        <v>485</v>
      </c>
      <c r="S2741" s="94"/>
    </row>
    <row r="2742" spans="1:19" hidden="1">
      <c r="A2742" s="103" t="s">
        <v>4425</v>
      </c>
      <c r="B2742" s="94" t="str">
        <f>IFERROR(VLOOKUP(Proc[[#This Row],[App]],Table2[],3,0),"open")</f>
        <v>ok</v>
      </c>
      <c r="C2742" s="117" t="s">
        <v>369</v>
      </c>
      <c r="D2742" t="s">
        <v>4666</v>
      </c>
      <c r="E2742" t="s">
        <v>4754</v>
      </c>
      <c r="F2742" s="94" t="s">
        <v>4754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4788</v>
      </c>
      <c r="J2742" s="94" t="b">
        <f>Proc[[#This Row],[Requested]]=Proc[[#This Row],[CurrentParent]]</f>
        <v>1</v>
      </c>
      <c r="K2742" s="94" t="str">
        <f>IF(Proc[[#This Row],[Author]]="Marcela Urrego",VLOOKUP(LEFT(Proc[[#This Row],[Requested]],1),Table3[#All],2,0),VLOOKUP(Proc[[#This Row],[Author]],Table4[],2,0))</f>
        <v>MGF</v>
      </c>
      <c r="L2742" s="125" t="s">
        <v>4897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19</v>
      </c>
      <c r="R2742" s="110" t="s">
        <v>485</v>
      </c>
      <c r="S2742" s="94"/>
    </row>
    <row r="2743" spans="1:19" hidden="1">
      <c r="A2743" s="103" t="s">
        <v>4425</v>
      </c>
      <c r="B2743" s="94" t="str">
        <f>IFERROR(VLOOKUP(Proc[[#This Row],[App]],Table2[],3,0),"open")</f>
        <v>ok</v>
      </c>
      <c r="C2743" s="117" t="s">
        <v>369</v>
      </c>
      <c r="D2743" t="s">
        <v>4667</v>
      </c>
      <c r="E2743" t="s">
        <v>4753</v>
      </c>
      <c r="F2743" s="94" t="s">
        <v>4753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4788</v>
      </c>
      <c r="J2743" s="94" t="b">
        <f>Proc[[#This Row],[Requested]]=Proc[[#This Row],[CurrentParent]]</f>
        <v>1</v>
      </c>
      <c r="K2743" s="94" t="str">
        <f>IF(Proc[[#This Row],[Author]]="Marcela Urrego",VLOOKUP(LEFT(Proc[[#This Row],[Requested]],1),Table3[#All],2,0),VLOOKUP(Proc[[#This Row],[Author]],Table4[],2,0))</f>
        <v>MGF</v>
      </c>
      <c r="L2743" s="125" t="s">
        <v>4897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19</v>
      </c>
      <c r="R2743" s="110" t="s">
        <v>485</v>
      </c>
      <c r="S2743" s="94"/>
    </row>
    <row r="2744" spans="1:19" hidden="1">
      <c r="A2744" s="103" t="s">
        <v>4425</v>
      </c>
      <c r="B2744" s="94" t="str">
        <f>IFERROR(VLOOKUP(Proc[[#This Row],[App]],Table2[],3,0),"open")</f>
        <v>ok</v>
      </c>
      <c r="C2744" s="117" t="s">
        <v>369</v>
      </c>
      <c r="D2744" t="s">
        <v>4668</v>
      </c>
      <c r="E2744" t="s">
        <v>4753</v>
      </c>
      <c r="F2744" s="94" t="s">
        <v>4753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4788</v>
      </c>
      <c r="J2744" s="94" t="b">
        <f>Proc[[#This Row],[Requested]]=Proc[[#This Row],[CurrentParent]]</f>
        <v>1</v>
      </c>
      <c r="K2744" s="94" t="str">
        <f>IF(Proc[[#This Row],[Author]]="Marcela Urrego",VLOOKUP(LEFT(Proc[[#This Row],[Requested]],1),Table3[#All],2,0),VLOOKUP(Proc[[#This Row],[Author]],Table4[],2,0))</f>
        <v>MGF</v>
      </c>
      <c r="L2744" s="125" t="s">
        <v>4897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19</v>
      </c>
      <c r="R2744" s="110" t="s">
        <v>485</v>
      </c>
      <c r="S2744" s="94"/>
    </row>
    <row r="2745" spans="1:19" hidden="1">
      <c r="A2745" s="103" t="s">
        <v>4425</v>
      </c>
      <c r="B2745" s="94" t="str">
        <f>IFERROR(VLOOKUP(Proc[[#This Row],[App]],Table2[],3,0),"open")</f>
        <v>ok</v>
      </c>
      <c r="C2745" s="117" t="s">
        <v>369</v>
      </c>
      <c r="D2745" t="s">
        <v>4669</v>
      </c>
      <c r="E2745" t="s">
        <v>4753</v>
      </c>
      <c r="F2745" s="94" t="s">
        <v>4753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4788</v>
      </c>
      <c r="J2745" s="94" t="b">
        <f>Proc[[#This Row],[Requested]]=Proc[[#This Row],[CurrentParent]]</f>
        <v>1</v>
      </c>
      <c r="K2745" s="94" t="str">
        <f>IF(Proc[[#This Row],[Author]]="Marcela Urrego",VLOOKUP(LEFT(Proc[[#This Row],[Requested]],1),Table3[#All],2,0),VLOOKUP(Proc[[#This Row],[Author]],Table4[],2,0))</f>
        <v>MGF</v>
      </c>
      <c r="L2745" s="125" t="s">
        <v>4897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19</v>
      </c>
      <c r="R2745" s="110" t="s">
        <v>485</v>
      </c>
      <c r="S2745" s="94"/>
    </row>
    <row r="2746" spans="1:19" hidden="1">
      <c r="A2746" s="103" t="s">
        <v>4425</v>
      </c>
      <c r="B2746" s="94" t="str">
        <f>IFERROR(VLOOKUP(Proc[[#This Row],[App]],Table2[],3,0),"open")</f>
        <v>ok</v>
      </c>
      <c r="C2746" s="117" t="s">
        <v>369</v>
      </c>
      <c r="D2746" t="s">
        <v>4670</v>
      </c>
      <c r="E2746" t="s">
        <v>4753</v>
      </c>
      <c r="F2746" s="94" t="s">
        <v>4753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4788</v>
      </c>
      <c r="J2746" s="94" t="b">
        <f>Proc[[#This Row],[Requested]]=Proc[[#This Row],[CurrentParent]]</f>
        <v>1</v>
      </c>
      <c r="K2746" s="94" t="str">
        <f>IF(Proc[[#This Row],[Author]]="Marcela Urrego",VLOOKUP(LEFT(Proc[[#This Row],[Requested]],1),Table3[#All],2,0),VLOOKUP(Proc[[#This Row],[Author]],Table4[],2,0))</f>
        <v>MGF</v>
      </c>
      <c r="L2746" s="125" t="s">
        <v>4897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19</v>
      </c>
      <c r="R2746" s="110" t="s">
        <v>485</v>
      </c>
      <c r="S2746" s="94"/>
    </row>
    <row r="2747" spans="1:19" hidden="1">
      <c r="A2747" s="103" t="s">
        <v>4425</v>
      </c>
      <c r="B2747" s="94" t="str">
        <f>IFERROR(VLOOKUP(Proc[[#This Row],[App]],Table2[],3,0),"open")</f>
        <v>ok</v>
      </c>
      <c r="C2747" s="117" t="s">
        <v>369</v>
      </c>
      <c r="D2747" t="s">
        <v>4671</v>
      </c>
      <c r="E2747" t="s">
        <v>4753</v>
      </c>
      <c r="F2747" s="94" t="s">
        <v>4753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4788</v>
      </c>
      <c r="J2747" s="94" t="b">
        <f>Proc[[#This Row],[Requested]]=Proc[[#This Row],[CurrentParent]]</f>
        <v>1</v>
      </c>
      <c r="K2747" s="94" t="str">
        <f>IF(Proc[[#This Row],[Author]]="Marcela Urrego",VLOOKUP(LEFT(Proc[[#This Row],[Requested]],1),Table3[#All],2,0),VLOOKUP(Proc[[#This Row],[Author]],Table4[],2,0))</f>
        <v>MGF</v>
      </c>
      <c r="L2747" s="125" t="s">
        <v>4897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19</v>
      </c>
      <c r="R2747" s="110" t="s">
        <v>485</v>
      </c>
      <c r="S2747" s="94"/>
    </row>
    <row r="2748" spans="1:19" hidden="1">
      <c r="A2748" s="103" t="s">
        <v>4425</v>
      </c>
      <c r="B2748" s="94" t="str">
        <f>IFERROR(VLOOKUP(Proc[[#This Row],[App]],Table2[],3,0),"open")</f>
        <v>ok</v>
      </c>
      <c r="C2748" s="117" t="s">
        <v>369</v>
      </c>
      <c r="D2748" t="s">
        <v>4672</v>
      </c>
      <c r="E2748" t="s">
        <v>4753</v>
      </c>
      <c r="F2748" s="94" t="s">
        <v>4753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4788</v>
      </c>
      <c r="J2748" s="94" t="b">
        <f>Proc[[#This Row],[Requested]]=Proc[[#This Row],[CurrentParent]]</f>
        <v>1</v>
      </c>
      <c r="K2748" s="94" t="str">
        <f>IF(Proc[[#This Row],[Author]]="Marcela Urrego",VLOOKUP(LEFT(Proc[[#This Row],[Requested]],1),Table3[#All],2,0),VLOOKUP(Proc[[#This Row],[Author]],Table4[],2,0))</f>
        <v>MGF</v>
      </c>
      <c r="L2748" s="125" t="s">
        <v>4897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19</v>
      </c>
      <c r="R2748" s="110" t="s">
        <v>485</v>
      </c>
      <c r="S2748" s="94"/>
    </row>
    <row r="2749" spans="1:19" hidden="1">
      <c r="A2749" s="103" t="s">
        <v>4425</v>
      </c>
      <c r="B2749" s="94" t="str">
        <f>IFERROR(VLOOKUP(Proc[[#This Row],[App]],Table2[],3,0),"open")</f>
        <v>ok</v>
      </c>
      <c r="C2749" s="117" t="s">
        <v>369</v>
      </c>
      <c r="D2749" t="s">
        <v>4673</v>
      </c>
      <c r="E2749" t="s">
        <v>4753</v>
      </c>
      <c r="F2749" s="94" t="s">
        <v>4753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4788</v>
      </c>
      <c r="J2749" s="94" t="b">
        <f>Proc[[#This Row],[Requested]]=Proc[[#This Row],[CurrentParent]]</f>
        <v>1</v>
      </c>
      <c r="K2749" s="94" t="str">
        <f>IF(Proc[[#This Row],[Author]]="Marcela Urrego",VLOOKUP(LEFT(Proc[[#This Row],[Requested]],1),Table3[#All],2,0),VLOOKUP(Proc[[#This Row],[Author]],Table4[],2,0))</f>
        <v>MGF</v>
      </c>
      <c r="L2749" s="125" t="s">
        <v>4897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19</v>
      </c>
      <c r="R2749" s="110" t="s">
        <v>485</v>
      </c>
      <c r="S2749" s="94"/>
    </row>
    <row r="2750" spans="1:19" hidden="1">
      <c r="A2750" s="103" t="s">
        <v>4425</v>
      </c>
      <c r="B2750" s="94" t="str">
        <f>IFERROR(VLOOKUP(Proc[[#This Row],[App]],Table2[],3,0),"open")</f>
        <v>ok</v>
      </c>
      <c r="C2750" s="117" t="s">
        <v>369</v>
      </c>
      <c r="D2750" t="s">
        <v>4674</v>
      </c>
      <c r="E2750" t="s">
        <v>4753</v>
      </c>
      <c r="F2750" s="94" t="s">
        <v>4753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4788</v>
      </c>
      <c r="J2750" s="94" t="b">
        <f>Proc[[#This Row],[Requested]]=Proc[[#This Row],[CurrentParent]]</f>
        <v>1</v>
      </c>
      <c r="K2750" s="94" t="str">
        <f>IF(Proc[[#This Row],[Author]]="Marcela Urrego",VLOOKUP(LEFT(Proc[[#This Row],[Requested]],1),Table3[#All],2,0),VLOOKUP(Proc[[#This Row],[Author]],Table4[],2,0))</f>
        <v>MGF</v>
      </c>
      <c r="L2750" s="125" t="s">
        <v>4897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19</v>
      </c>
      <c r="R2750" s="110" t="s">
        <v>485</v>
      </c>
      <c r="S2750" s="94"/>
    </row>
    <row r="2751" spans="1:19" hidden="1">
      <c r="A2751" s="103" t="s">
        <v>4425</v>
      </c>
      <c r="B2751" s="94" t="str">
        <f>IFERROR(VLOOKUP(Proc[[#This Row],[App]],Table2[],3,0),"open")</f>
        <v>ok</v>
      </c>
      <c r="C2751" s="117" t="s">
        <v>369</v>
      </c>
      <c r="D2751" t="s">
        <v>4675</v>
      </c>
      <c r="E2751" t="s">
        <v>4753</v>
      </c>
      <c r="F2751" s="94" t="s">
        <v>4753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4788</v>
      </c>
      <c r="J2751" s="94" t="b">
        <f>Proc[[#This Row],[Requested]]=Proc[[#This Row],[CurrentParent]]</f>
        <v>1</v>
      </c>
      <c r="K2751" s="94" t="str">
        <f>IF(Proc[[#This Row],[Author]]="Marcela Urrego",VLOOKUP(LEFT(Proc[[#This Row],[Requested]],1),Table3[#All],2,0),VLOOKUP(Proc[[#This Row],[Author]],Table4[],2,0))</f>
        <v>MGF</v>
      </c>
      <c r="L2751" s="125" t="s">
        <v>4897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19</v>
      </c>
      <c r="R2751" s="110" t="s">
        <v>485</v>
      </c>
      <c r="S2751" s="94"/>
    </row>
    <row r="2752" spans="1:19" hidden="1">
      <c r="A2752" s="103" t="s">
        <v>4425</v>
      </c>
      <c r="B2752" s="94" t="str">
        <f>IFERROR(VLOOKUP(Proc[[#This Row],[App]],Table2[],3,0),"open")</f>
        <v>ok</v>
      </c>
      <c r="C2752" s="117" t="s">
        <v>369</v>
      </c>
      <c r="D2752" t="s">
        <v>4676</v>
      </c>
      <c r="E2752" t="s">
        <v>4753</v>
      </c>
      <c r="F2752" s="94" t="s">
        <v>4753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4788</v>
      </c>
      <c r="J2752" s="94" t="b">
        <f>Proc[[#This Row],[Requested]]=Proc[[#This Row],[CurrentParent]]</f>
        <v>1</v>
      </c>
      <c r="K2752" s="94" t="str">
        <f>IF(Proc[[#This Row],[Author]]="Marcela Urrego",VLOOKUP(LEFT(Proc[[#This Row],[Requested]],1),Table3[#All],2,0),VLOOKUP(Proc[[#This Row],[Author]],Table4[],2,0))</f>
        <v>MGF</v>
      </c>
      <c r="L2752" s="125" t="s">
        <v>4897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19</v>
      </c>
      <c r="R2752" s="110" t="s">
        <v>485</v>
      </c>
      <c r="S2752" s="94"/>
    </row>
    <row r="2753" spans="1:19" hidden="1">
      <c r="A2753" s="103" t="s">
        <v>4425</v>
      </c>
      <c r="B2753" s="94" t="str">
        <f>IFERROR(VLOOKUP(Proc[[#This Row],[App]],Table2[],3,0),"open")</f>
        <v>ok</v>
      </c>
      <c r="C2753" s="117" t="s">
        <v>369</v>
      </c>
      <c r="D2753" t="s">
        <v>4677</v>
      </c>
      <c r="E2753" t="s">
        <v>4753</v>
      </c>
      <c r="F2753" s="94" t="s">
        <v>4753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4788</v>
      </c>
      <c r="J2753" s="94" t="b">
        <f>Proc[[#This Row],[Requested]]=Proc[[#This Row],[CurrentParent]]</f>
        <v>1</v>
      </c>
      <c r="K2753" s="94" t="str">
        <f>IF(Proc[[#This Row],[Author]]="Marcela Urrego",VLOOKUP(LEFT(Proc[[#This Row],[Requested]],1),Table3[#All],2,0),VLOOKUP(Proc[[#This Row],[Author]],Table4[],2,0))</f>
        <v>MGF</v>
      </c>
      <c r="L2753" s="125" t="s">
        <v>4897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19</v>
      </c>
      <c r="R2753" s="110" t="s">
        <v>485</v>
      </c>
      <c r="S2753" s="94"/>
    </row>
    <row r="2754" spans="1:19" hidden="1">
      <c r="A2754" s="103" t="s">
        <v>4425</v>
      </c>
      <c r="B2754" s="94" t="str">
        <f>IFERROR(VLOOKUP(Proc[[#This Row],[App]],Table2[],3,0),"open")</f>
        <v>ok</v>
      </c>
      <c r="C2754" s="117" t="s">
        <v>369</v>
      </c>
      <c r="D2754" t="s">
        <v>4678</v>
      </c>
      <c r="E2754" t="s">
        <v>4753</v>
      </c>
      <c r="F2754" s="94" t="s">
        <v>4753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4788</v>
      </c>
      <c r="J2754" s="94" t="b">
        <f>Proc[[#This Row],[Requested]]=Proc[[#This Row],[CurrentParent]]</f>
        <v>1</v>
      </c>
      <c r="K2754" s="94" t="str">
        <f>IF(Proc[[#This Row],[Author]]="Marcela Urrego",VLOOKUP(LEFT(Proc[[#This Row],[Requested]],1),Table3[#All],2,0),VLOOKUP(Proc[[#This Row],[Author]],Table4[],2,0))</f>
        <v>MGF</v>
      </c>
      <c r="L2754" s="125" t="s">
        <v>4897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19</v>
      </c>
      <c r="R2754" s="110" t="s">
        <v>485</v>
      </c>
      <c r="S2754" s="94"/>
    </row>
    <row r="2755" spans="1:19" hidden="1">
      <c r="A2755" s="103" t="s">
        <v>4425</v>
      </c>
      <c r="B2755" s="94" t="str">
        <f>IFERROR(VLOOKUP(Proc[[#This Row],[App]],Table2[],3,0),"open")</f>
        <v>ok</v>
      </c>
      <c r="C2755" s="117" t="s">
        <v>369</v>
      </c>
      <c r="D2755" t="s">
        <v>4679</v>
      </c>
      <c r="E2755" t="s">
        <v>4753</v>
      </c>
      <c r="F2755" s="94" t="s">
        <v>4753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4788</v>
      </c>
      <c r="J2755" s="94" t="b">
        <f>Proc[[#This Row],[Requested]]=Proc[[#This Row],[CurrentParent]]</f>
        <v>1</v>
      </c>
      <c r="K2755" s="94" t="str">
        <f>IF(Proc[[#This Row],[Author]]="Marcela Urrego",VLOOKUP(LEFT(Proc[[#This Row],[Requested]],1),Table3[#All],2,0),VLOOKUP(Proc[[#This Row],[Author]],Table4[],2,0))</f>
        <v>MGF</v>
      </c>
      <c r="L2755" s="125" t="s">
        <v>4897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19</v>
      </c>
      <c r="R2755" s="110" t="s">
        <v>485</v>
      </c>
      <c r="S2755" s="94"/>
    </row>
    <row r="2756" spans="1:19" hidden="1">
      <c r="A2756" s="103" t="s">
        <v>4425</v>
      </c>
      <c r="B2756" s="94" t="str">
        <f>IFERROR(VLOOKUP(Proc[[#This Row],[App]],Table2[],3,0),"open")</f>
        <v>ok</v>
      </c>
      <c r="C2756" s="117" t="s">
        <v>369</v>
      </c>
      <c r="D2756" t="s">
        <v>4680</v>
      </c>
      <c r="E2756" t="s">
        <v>4753</v>
      </c>
      <c r="F2756" s="94" t="s">
        <v>4753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4788</v>
      </c>
      <c r="J2756" s="94" t="b">
        <f>Proc[[#This Row],[Requested]]=Proc[[#This Row],[CurrentParent]]</f>
        <v>1</v>
      </c>
      <c r="K2756" s="94" t="str">
        <f>IF(Proc[[#This Row],[Author]]="Marcela Urrego",VLOOKUP(LEFT(Proc[[#This Row],[Requested]],1),Table3[#All],2,0),VLOOKUP(Proc[[#This Row],[Author]],Table4[],2,0))</f>
        <v>MGF</v>
      </c>
      <c r="L2756" s="125" t="s">
        <v>4897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19</v>
      </c>
      <c r="R2756" s="110" t="s">
        <v>485</v>
      </c>
      <c r="S2756" s="94"/>
    </row>
    <row r="2757" spans="1:19" hidden="1">
      <c r="A2757" s="103" t="s">
        <v>4425</v>
      </c>
      <c r="B2757" s="94" t="str">
        <f>IFERROR(VLOOKUP(Proc[[#This Row],[App]],Table2[],3,0),"open")</f>
        <v>ok</v>
      </c>
      <c r="C2757" s="117" t="s">
        <v>369</v>
      </c>
      <c r="D2757" t="s">
        <v>4681</v>
      </c>
      <c r="E2757" t="s">
        <v>4753</v>
      </c>
      <c r="F2757" s="94" t="s">
        <v>4753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4788</v>
      </c>
      <c r="J2757" s="94" t="b">
        <f>Proc[[#This Row],[Requested]]=Proc[[#This Row],[CurrentParent]]</f>
        <v>1</v>
      </c>
      <c r="K2757" s="94" t="str">
        <f>IF(Proc[[#This Row],[Author]]="Marcela Urrego",VLOOKUP(LEFT(Proc[[#This Row],[Requested]],1),Table3[#All],2,0),VLOOKUP(Proc[[#This Row],[Author]],Table4[],2,0))</f>
        <v>MGF</v>
      </c>
      <c r="L2757" s="125" t="s">
        <v>4897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19</v>
      </c>
      <c r="R2757" s="110" t="s">
        <v>485</v>
      </c>
      <c r="S2757" s="94"/>
    </row>
    <row r="2758" spans="1:19" hidden="1">
      <c r="A2758" s="103" t="s">
        <v>4425</v>
      </c>
      <c r="B2758" s="94" t="str">
        <f>IFERROR(VLOOKUP(Proc[[#This Row],[App]],Table2[],3,0),"open")</f>
        <v>ok</v>
      </c>
      <c r="C2758" s="117" t="s">
        <v>369</v>
      </c>
      <c r="D2758" t="s">
        <v>4682</v>
      </c>
      <c r="E2758" t="s">
        <v>4753</v>
      </c>
      <c r="F2758" s="94" t="s">
        <v>4753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4788</v>
      </c>
      <c r="J2758" s="94" t="b">
        <f>Proc[[#This Row],[Requested]]=Proc[[#This Row],[CurrentParent]]</f>
        <v>1</v>
      </c>
      <c r="K2758" s="94" t="str">
        <f>IF(Proc[[#This Row],[Author]]="Marcela Urrego",VLOOKUP(LEFT(Proc[[#This Row],[Requested]],1),Table3[#All],2,0),VLOOKUP(Proc[[#This Row],[Author]],Table4[],2,0))</f>
        <v>MGF</v>
      </c>
      <c r="L2758" s="125" t="s">
        <v>4897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19</v>
      </c>
      <c r="R2758" s="110" t="s">
        <v>485</v>
      </c>
      <c r="S2758" s="94"/>
    </row>
    <row r="2759" spans="1:19" hidden="1">
      <c r="A2759" s="103" t="s">
        <v>4425</v>
      </c>
      <c r="B2759" s="94" t="str">
        <f>IFERROR(VLOOKUP(Proc[[#This Row],[App]],Table2[],3,0),"open")</f>
        <v>ok</v>
      </c>
      <c r="C2759" s="117" t="s">
        <v>369</v>
      </c>
      <c r="D2759" t="s">
        <v>4683</v>
      </c>
      <c r="E2759" t="s">
        <v>4754</v>
      </c>
      <c r="F2759" s="94" t="s">
        <v>4754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4788</v>
      </c>
      <c r="J2759" s="94" t="b">
        <f>Proc[[#This Row],[Requested]]=Proc[[#This Row],[CurrentParent]]</f>
        <v>1</v>
      </c>
      <c r="K2759" s="94" t="str">
        <f>IF(Proc[[#This Row],[Author]]="Marcela Urrego",VLOOKUP(LEFT(Proc[[#This Row],[Requested]],1),Table3[#All],2,0),VLOOKUP(Proc[[#This Row],[Author]],Table4[],2,0))</f>
        <v>MGF</v>
      </c>
      <c r="L2759" s="125" t="s">
        <v>4897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19</v>
      </c>
      <c r="R2759" s="110" t="s">
        <v>485</v>
      </c>
      <c r="S2759" s="94"/>
    </row>
    <row r="2760" spans="1:19" hidden="1">
      <c r="A2760" s="103" t="s">
        <v>4425</v>
      </c>
      <c r="B2760" s="94" t="str">
        <f>IFERROR(VLOOKUP(Proc[[#This Row],[App]],Table2[],3,0),"open")</f>
        <v>ok</v>
      </c>
      <c r="C2760" s="117" t="s">
        <v>369</v>
      </c>
      <c r="D2760" t="s">
        <v>4684</v>
      </c>
      <c r="E2760" t="s">
        <v>4754</v>
      </c>
      <c r="F2760" s="94" t="s">
        <v>4754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4788</v>
      </c>
      <c r="J2760" s="94" t="b">
        <f>Proc[[#This Row],[Requested]]=Proc[[#This Row],[CurrentParent]]</f>
        <v>1</v>
      </c>
      <c r="K2760" s="94" t="str">
        <f>IF(Proc[[#This Row],[Author]]="Marcela Urrego",VLOOKUP(LEFT(Proc[[#This Row],[Requested]],1),Table3[#All],2,0),VLOOKUP(Proc[[#This Row],[Author]],Table4[],2,0))</f>
        <v>MGF</v>
      </c>
      <c r="L2760" s="125" t="s">
        <v>4897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19</v>
      </c>
      <c r="R2760" s="110" t="s">
        <v>485</v>
      </c>
      <c r="S2760" s="94"/>
    </row>
    <row r="2761" spans="1:19" hidden="1">
      <c r="A2761" s="103" t="s">
        <v>4425</v>
      </c>
      <c r="B2761" s="94" t="str">
        <f>IFERROR(VLOOKUP(Proc[[#This Row],[App]],Table2[],3,0),"open")</f>
        <v>ok</v>
      </c>
      <c r="C2761" s="117" t="s">
        <v>369</v>
      </c>
      <c r="D2761" t="s">
        <v>4685</v>
      </c>
      <c r="E2761" t="s">
        <v>4753</v>
      </c>
      <c r="F2761" s="94" t="s">
        <v>4753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4788</v>
      </c>
      <c r="J2761" s="94" t="b">
        <f>Proc[[#This Row],[Requested]]=Proc[[#This Row],[CurrentParent]]</f>
        <v>1</v>
      </c>
      <c r="K2761" s="94" t="str">
        <f>IF(Proc[[#This Row],[Author]]="Marcela Urrego",VLOOKUP(LEFT(Proc[[#This Row],[Requested]],1),Table3[#All],2,0),VLOOKUP(Proc[[#This Row],[Author]],Table4[],2,0))</f>
        <v>MGF</v>
      </c>
      <c r="L2761" s="125" t="s">
        <v>4897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19</v>
      </c>
      <c r="R2761" s="110" t="s">
        <v>485</v>
      </c>
      <c r="S2761" s="94"/>
    </row>
    <row r="2762" spans="1:19" hidden="1">
      <c r="A2762" s="103" t="s">
        <v>4425</v>
      </c>
      <c r="B2762" s="94" t="str">
        <f>IFERROR(VLOOKUP(Proc[[#This Row],[App]],Table2[],3,0),"open")</f>
        <v>ok</v>
      </c>
      <c r="C2762" s="117" t="s">
        <v>369</v>
      </c>
      <c r="D2762" t="s">
        <v>4686</v>
      </c>
      <c r="E2762" t="s">
        <v>4754</v>
      </c>
      <c r="F2762" s="94" t="s">
        <v>4754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4788</v>
      </c>
      <c r="J2762" s="94" t="b">
        <f>Proc[[#This Row],[Requested]]=Proc[[#This Row],[CurrentParent]]</f>
        <v>1</v>
      </c>
      <c r="K2762" s="94" t="str">
        <f>IF(Proc[[#This Row],[Author]]="Marcela Urrego",VLOOKUP(LEFT(Proc[[#This Row],[Requested]],1),Table3[#All],2,0),VLOOKUP(Proc[[#This Row],[Author]],Table4[],2,0))</f>
        <v>MGF</v>
      </c>
      <c r="L2762" s="125" t="s">
        <v>4897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19</v>
      </c>
      <c r="R2762" s="110" t="s">
        <v>485</v>
      </c>
      <c r="S2762" s="94"/>
    </row>
    <row r="2763" spans="1:19" hidden="1">
      <c r="A2763" s="103" t="s">
        <v>4425</v>
      </c>
      <c r="B2763" s="94" t="str">
        <f>IFERROR(VLOOKUP(Proc[[#This Row],[App]],Table2[],3,0),"open")</f>
        <v>ok</v>
      </c>
      <c r="C2763" s="117" t="s">
        <v>369</v>
      </c>
      <c r="D2763" t="s">
        <v>4687</v>
      </c>
      <c r="E2763" t="s">
        <v>4753</v>
      </c>
      <c r="F2763" s="94" t="s">
        <v>4753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4788</v>
      </c>
      <c r="J2763" s="94" t="b">
        <f>Proc[[#This Row],[Requested]]=Proc[[#This Row],[CurrentParent]]</f>
        <v>1</v>
      </c>
      <c r="K2763" s="94" t="str">
        <f>IF(Proc[[#This Row],[Author]]="Marcela Urrego",VLOOKUP(LEFT(Proc[[#This Row],[Requested]],1),Table3[#All],2,0),VLOOKUP(Proc[[#This Row],[Author]],Table4[],2,0))</f>
        <v>MGF</v>
      </c>
      <c r="L2763" s="125" t="s">
        <v>4897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19</v>
      </c>
      <c r="R2763" s="110" t="s">
        <v>485</v>
      </c>
      <c r="S2763" s="94"/>
    </row>
    <row r="2764" spans="1:19" hidden="1">
      <c r="A2764" s="103" t="s">
        <v>4425</v>
      </c>
      <c r="B2764" s="94" t="str">
        <f>IFERROR(VLOOKUP(Proc[[#This Row],[App]],Table2[],3,0),"open")</f>
        <v>ok</v>
      </c>
      <c r="C2764" s="117" t="s">
        <v>369</v>
      </c>
      <c r="D2764" t="s">
        <v>4688</v>
      </c>
      <c r="E2764" t="s">
        <v>4754</v>
      </c>
      <c r="F2764" s="94" t="s">
        <v>4754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4788</v>
      </c>
      <c r="J2764" s="94" t="b">
        <f>Proc[[#This Row],[Requested]]=Proc[[#This Row],[CurrentParent]]</f>
        <v>1</v>
      </c>
      <c r="K2764" s="94" t="str">
        <f>IF(Proc[[#This Row],[Author]]="Marcela Urrego",VLOOKUP(LEFT(Proc[[#This Row],[Requested]],1),Table3[#All],2,0),VLOOKUP(Proc[[#This Row],[Author]],Table4[],2,0))</f>
        <v>MGF</v>
      </c>
      <c r="L2764" s="125" t="s">
        <v>4897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19</v>
      </c>
      <c r="R2764" s="110" t="s">
        <v>485</v>
      </c>
      <c r="S2764" s="94"/>
    </row>
    <row r="2765" spans="1:19" hidden="1">
      <c r="A2765" s="103" t="s">
        <v>4425</v>
      </c>
      <c r="B2765" s="94" t="str">
        <f>IFERROR(VLOOKUP(Proc[[#This Row],[App]],Table2[],3,0),"open")</f>
        <v>ok</v>
      </c>
      <c r="C2765" s="117" t="s">
        <v>369</v>
      </c>
      <c r="D2765" t="s">
        <v>4689</v>
      </c>
      <c r="E2765" t="s">
        <v>4753</v>
      </c>
      <c r="F2765" s="94" t="s">
        <v>4753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4788</v>
      </c>
      <c r="J2765" s="94" t="b">
        <f>Proc[[#This Row],[Requested]]=Proc[[#This Row],[CurrentParent]]</f>
        <v>1</v>
      </c>
      <c r="K2765" s="94" t="str">
        <f>IF(Proc[[#This Row],[Author]]="Marcela Urrego",VLOOKUP(LEFT(Proc[[#This Row],[Requested]],1),Table3[#All],2,0),VLOOKUP(Proc[[#This Row],[Author]],Table4[],2,0))</f>
        <v>MGF</v>
      </c>
      <c r="L2765" s="125" t="s">
        <v>4897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19</v>
      </c>
      <c r="R2765" s="110" t="s">
        <v>485</v>
      </c>
      <c r="S2765" s="94"/>
    </row>
    <row r="2766" spans="1:19" hidden="1">
      <c r="A2766" s="103" t="s">
        <v>4425</v>
      </c>
      <c r="B2766" s="94" t="str">
        <f>IFERROR(VLOOKUP(Proc[[#This Row],[App]],Table2[],3,0),"open")</f>
        <v>ok</v>
      </c>
      <c r="C2766" s="117" t="s">
        <v>369</v>
      </c>
      <c r="D2766" t="s">
        <v>4690</v>
      </c>
      <c r="E2766" t="s">
        <v>4754</v>
      </c>
      <c r="F2766" s="94" t="s">
        <v>4754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4788</v>
      </c>
      <c r="J2766" s="94" t="b">
        <f>Proc[[#This Row],[Requested]]=Proc[[#This Row],[CurrentParent]]</f>
        <v>1</v>
      </c>
      <c r="K2766" s="94" t="str">
        <f>IF(Proc[[#This Row],[Author]]="Marcela Urrego",VLOOKUP(LEFT(Proc[[#This Row],[Requested]],1),Table3[#All],2,0),VLOOKUP(Proc[[#This Row],[Author]],Table4[],2,0))</f>
        <v>MGF</v>
      </c>
      <c r="L2766" s="125" t="s">
        <v>4897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19</v>
      </c>
      <c r="R2766" s="110" t="s">
        <v>485</v>
      </c>
      <c r="S2766" s="94"/>
    </row>
    <row r="2767" spans="1:19" hidden="1">
      <c r="A2767" s="103" t="s">
        <v>4425</v>
      </c>
      <c r="B2767" s="94" t="str">
        <f>IFERROR(VLOOKUP(Proc[[#This Row],[App]],Table2[],3,0),"open")</f>
        <v>ok</v>
      </c>
      <c r="C2767" s="117" t="s">
        <v>369</v>
      </c>
      <c r="D2767" t="s">
        <v>4691</v>
      </c>
      <c r="E2767" t="s">
        <v>4756</v>
      </c>
      <c r="F2767" s="94" t="s">
        <v>4756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4788</v>
      </c>
      <c r="J2767" s="94" t="b">
        <f>Proc[[#This Row],[Requested]]=Proc[[#This Row],[CurrentParent]]</f>
        <v>1</v>
      </c>
      <c r="K2767" s="94" t="str">
        <f>IF(Proc[[#This Row],[Author]]="Marcela Urrego",VLOOKUP(LEFT(Proc[[#This Row],[Requested]],1),Table3[#All],2,0),VLOOKUP(Proc[[#This Row],[Author]],Table4[],2,0))</f>
        <v>MGF</v>
      </c>
      <c r="L2767" s="125" t="s">
        <v>4897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19</v>
      </c>
      <c r="R2767" s="110" t="s">
        <v>485</v>
      </c>
      <c r="S2767" s="94"/>
    </row>
    <row r="2768" spans="1:19" hidden="1">
      <c r="A2768" s="103" t="s">
        <v>4425</v>
      </c>
      <c r="B2768" s="94" t="str">
        <f>IFERROR(VLOOKUP(Proc[[#This Row],[App]],Table2[],3,0),"open")</f>
        <v>ok</v>
      </c>
      <c r="C2768" s="117" t="s">
        <v>369</v>
      </c>
      <c r="D2768" t="s">
        <v>4692</v>
      </c>
      <c r="E2768" t="s">
        <v>4754</v>
      </c>
      <c r="F2768" s="94" t="s">
        <v>4754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4788</v>
      </c>
      <c r="J2768" s="94" t="b">
        <f>Proc[[#This Row],[Requested]]=Proc[[#This Row],[CurrentParent]]</f>
        <v>1</v>
      </c>
      <c r="K2768" s="94" t="str">
        <f>IF(Proc[[#This Row],[Author]]="Marcela Urrego",VLOOKUP(LEFT(Proc[[#This Row],[Requested]],1),Table3[#All],2,0),VLOOKUP(Proc[[#This Row],[Author]],Table4[],2,0))</f>
        <v>MGF</v>
      </c>
      <c r="L2768" s="125" t="s">
        <v>4897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19</v>
      </c>
      <c r="R2768" s="110" t="s">
        <v>485</v>
      </c>
      <c r="S2768" s="94"/>
    </row>
    <row r="2769" spans="1:19" hidden="1">
      <c r="A2769" s="103" t="s">
        <v>4425</v>
      </c>
      <c r="B2769" s="94" t="str">
        <f>IFERROR(VLOOKUP(Proc[[#This Row],[App]],Table2[],3,0),"open")</f>
        <v>ok</v>
      </c>
      <c r="C2769" s="117" t="s">
        <v>369</v>
      </c>
      <c r="D2769" t="s">
        <v>4693</v>
      </c>
      <c r="E2769" t="s">
        <v>4754</v>
      </c>
      <c r="F2769" s="94" t="s">
        <v>4754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4788</v>
      </c>
      <c r="J2769" s="94" t="b">
        <f>Proc[[#This Row],[Requested]]=Proc[[#This Row],[CurrentParent]]</f>
        <v>1</v>
      </c>
      <c r="K2769" s="94" t="str">
        <f>IF(Proc[[#This Row],[Author]]="Marcela Urrego",VLOOKUP(LEFT(Proc[[#This Row],[Requested]],1),Table3[#All],2,0),VLOOKUP(Proc[[#This Row],[Author]],Table4[],2,0))</f>
        <v>MGF</v>
      </c>
      <c r="L2769" s="125" t="s">
        <v>4897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19</v>
      </c>
      <c r="R2769" s="110" t="s">
        <v>485</v>
      </c>
      <c r="S2769" s="94"/>
    </row>
    <row r="2770" spans="1:19" hidden="1">
      <c r="A2770" s="103" t="s">
        <v>4425</v>
      </c>
      <c r="B2770" s="94" t="str">
        <f>IFERROR(VLOOKUP(Proc[[#This Row],[App]],Table2[],3,0),"open")</f>
        <v>ok</v>
      </c>
      <c r="C2770" s="117" t="s">
        <v>369</v>
      </c>
      <c r="D2770" t="s">
        <v>4694</v>
      </c>
      <c r="E2770" t="s">
        <v>4754</v>
      </c>
      <c r="F2770" s="94" t="s">
        <v>4754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4788</v>
      </c>
      <c r="J2770" s="94" t="b">
        <f>Proc[[#This Row],[Requested]]=Proc[[#This Row],[CurrentParent]]</f>
        <v>1</v>
      </c>
      <c r="K2770" s="94" t="str">
        <f>IF(Proc[[#This Row],[Author]]="Marcela Urrego",VLOOKUP(LEFT(Proc[[#This Row],[Requested]],1),Table3[#All],2,0),VLOOKUP(Proc[[#This Row],[Author]],Table4[],2,0))</f>
        <v>MGF</v>
      </c>
      <c r="L2770" s="125" t="s">
        <v>4897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19</v>
      </c>
      <c r="R2770" s="110" t="s">
        <v>485</v>
      </c>
      <c r="S2770" s="94"/>
    </row>
    <row r="2771" spans="1:19" hidden="1">
      <c r="A2771" s="103" t="s">
        <v>4425</v>
      </c>
      <c r="B2771" s="94" t="str">
        <f>IFERROR(VLOOKUP(Proc[[#This Row],[App]],Table2[],3,0),"open")</f>
        <v>ok</v>
      </c>
      <c r="C2771" s="117" t="s">
        <v>369</v>
      </c>
      <c r="D2771" t="s">
        <v>4695</v>
      </c>
      <c r="E2771" t="s">
        <v>4754</v>
      </c>
      <c r="F2771" s="94" t="s">
        <v>4754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4788</v>
      </c>
      <c r="J2771" s="94" t="b">
        <f>Proc[[#This Row],[Requested]]=Proc[[#This Row],[CurrentParent]]</f>
        <v>1</v>
      </c>
      <c r="K2771" s="94" t="str">
        <f>IF(Proc[[#This Row],[Author]]="Marcela Urrego",VLOOKUP(LEFT(Proc[[#This Row],[Requested]],1),Table3[#All],2,0),VLOOKUP(Proc[[#This Row],[Author]],Table4[],2,0))</f>
        <v>MGF</v>
      </c>
      <c r="L2771" s="125" t="s">
        <v>4897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19</v>
      </c>
      <c r="R2771" s="110" t="s">
        <v>485</v>
      </c>
      <c r="S2771" s="94"/>
    </row>
    <row r="2772" spans="1:19" hidden="1">
      <c r="A2772" s="103" t="s">
        <v>4425</v>
      </c>
      <c r="B2772" s="94" t="str">
        <f>IFERROR(VLOOKUP(Proc[[#This Row],[App]],Table2[],3,0),"open")</f>
        <v>ok</v>
      </c>
      <c r="C2772" s="117" t="s">
        <v>369</v>
      </c>
      <c r="D2772" t="s">
        <v>4696</v>
      </c>
      <c r="E2772" t="s">
        <v>4754</v>
      </c>
      <c r="F2772" s="94" t="s">
        <v>4754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4788</v>
      </c>
      <c r="J2772" s="94" t="b">
        <f>Proc[[#This Row],[Requested]]=Proc[[#This Row],[CurrentParent]]</f>
        <v>1</v>
      </c>
      <c r="K2772" s="94" t="str">
        <f>IF(Proc[[#This Row],[Author]]="Marcela Urrego",VLOOKUP(LEFT(Proc[[#This Row],[Requested]],1),Table3[#All],2,0),VLOOKUP(Proc[[#This Row],[Author]],Table4[],2,0))</f>
        <v>MGF</v>
      </c>
      <c r="L2772" s="125" t="s">
        <v>4897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19</v>
      </c>
      <c r="R2772" s="110" t="s">
        <v>485</v>
      </c>
      <c r="S2772" s="94"/>
    </row>
    <row r="2773" spans="1:19" hidden="1">
      <c r="A2773" s="103" t="s">
        <v>4425</v>
      </c>
      <c r="B2773" s="94" t="str">
        <f>IFERROR(VLOOKUP(Proc[[#This Row],[App]],Table2[],3,0),"open")</f>
        <v>ok</v>
      </c>
      <c r="C2773" s="117" t="s">
        <v>369</v>
      </c>
      <c r="D2773" t="s">
        <v>4697</v>
      </c>
      <c r="E2773" t="s">
        <v>4757</v>
      </c>
      <c r="F2773" s="94" t="s">
        <v>4757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4788</v>
      </c>
      <c r="J2773" s="94" t="b">
        <f>Proc[[#This Row],[Requested]]=Proc[[#This Row],[CurrentParent]]</f>
        <v>1</v>
      </c>
      <c r="K2773" s="94" t="str">
        <f>IF(Proc[[#This Row],[Author]]="Marcela Urrego",VLOOKUP(LEFT(Proc[[#This Row],[Requested]],1),Table3[#All],2,0),VLOOKUP(Proc[[#This Row],[Author]],Table4[],2,0))</f>
        <v>MGF</v>
      </c>
      <c r="L2773" s="125" t="s">
        <v>4897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19</v>
      </c>
      <c r="R2773" s="110" t="s">
        <v>485</v>
      </c>
      <c r="S2773" s="94"/>
    </row>
    <row r="2774" spans="1:19" hidden="1">
      <c r="A2774" s="103" t="s">
        <v>4425</v>
      </c>
      <c r="B2774" s="94" t="str">
        <f>IFERROR(VLOOKUP(Proc[[#This Row],[App]],Table2[],3,0),"open")</f>
        <v>ok</v>
      </c>
      <c r="C2774" s="117" t="s">
        <v>369</v>
      </c>
      <c r="D2774" t="s">
        <v>4698</v>
      </c>
      <c r="E2774" t="s">
        <v>4754</v>
      </c>
      <c r="F2774" s="94" t="s">
        <v>4754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4788</v>
      </c>
      <c r="J2774" s="94" t="b">
        <f>Proc[[#This Row],[Requested]]=Proc[[#This Row],[CurrentParent]]</f>
        <v>1</v>
      </c>
      <c r="K2774" s="94" t="str">
        <f>IF(Proc[[#This Row],[Author]]="Marcela Urrego",VLOOKUP(LEFT(Proc[[#This Row],[Requested]],1),Table3[#All],2,0),VLOOKUP(Proc[[#This Row],[Author]],Table4[],2,0))</f>
        <v>MGF</v>
      </c>
      <c r="L2774" s="125" t="s">
        <v>4897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19</v>
      </c>
      <c r="R2774" s="110" t="s">
        <v>485</v>
      </c>
      <c r="S2774" s="94"/>
    </row>
    <row r="2775" spans="1:19" hidden="1">
      <c r="A2775" s="103" t="s">
        <v>4425</v>
      </c>
      <c r="B2775" s="94" t="str">
        <f>IFERROR(VLOOKUP(Proc[[#This Row],[App]],Table2[],3,0),"open")</f>
        <v>ok</v>
      </c>
      <c r="C2775" s="117" t="s">
        <v>369</v>
      </c>
      <c r="D2775" t="s">
        <v>4699</v>
      </c>
      <c r="E2775" t="s">
        <v>4754</v>
      </c>
      <c r="F2775" s="94" t="s">
        <v>4754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4788</v>
      </c>
      <c r="J2775" s="94" t="b">
        <f>Proc[[#This Row],[Requested]]=Proc[[#This Row],[CurrentParent]]</f>
        <v>1</v>
      </c>
      <c r="K2775" s="94" t="str">
        <f>IF(Proc[[#This Row],[Author]]="Marcela Urrego",VLOOKUP(LEFT(Proc[[#This Row],[Requested]],1),Table3[#All],2,0),VLOOKUP(Proc[[#This Row],[Author]],Table4[],2,0))</f>
        <v>MGF</v>
      </c>
      <c r="L2775" s="125" t="s">
        <v>4897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19</v>
      </c>
      <c r="R2775" s="110" t="s">
        <v>485</v>
      </c>
      <c r="S2775" s="94"/>
    </row>
    <row r="2776" spans="1:19" hidden="1">
      <c r="A2776" s="103" t="s">
        <v>4425</v>
      </c>
      <c r="B2776" s="94" t="str">
        <f>IFERROR(VLOOKUP(Proc[[#This Row],[App]],Table2[],3,0),"open")</f>
        <v>ok</v>
      </c>
      <c r="C2776" s="117" t="s">
        <v>369</v>
      </c>
      <c r="D2776" t="s">
        <v>4700</v>
      </c>
      <c r="E2776" t="s">
        <v>4754</v>
      </c>
      <c r="F2776" s="94" t="s">
        <v>4754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4788</v>
      </c>
      <c r="J2776" s="94" t="b">
        <f>Proc[[#This Row],[Requested]]=Proc[[#This Row],[CurrentParent]]</f>
        <v>1</v>
      </c>
      <c r="K2776" s="94" t="str">
        <f>IF(Proc[[#This Row],[Author]]="Marcela Urrego",VLOOKUP(LEFT(Proc[[#This Row],[Requested]],1),Table3[#All],2,0),VLOOKUP(Proc[[#This Row],[Author]],Table4[],2,0))</f>
        <v>MGF</v>
      </c>
      <c r="L2776" s="125" t="s">
        <v>4897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19</v>
      </c>
      <c r="R2776" s="110" t="s">
        <v>485</v>
      </c>
      <c r="S2776" s="94"/>
    </row>
    <row r="2777" spans="1:19" hidden="1">
      <c r="A2777" s="103" t="s">
        <v>4425</v>
      </c>
      <c r="B2777" s="94" t="str">
        <f>IFERROR(VLOOKUP(Proc[[#This Row],[App]],Table2[],3,0),"open")</f>
        <v>ok</v>
      </c>
      <c r="C2777" s="117" t="s">
        <v>369</v>
      </c>
      <c r="D2777" t="s">
        <v>4701</v>
      </c>
      <c r="E2777" t="s">
        <v>4754</v>
      </c>
      <c r="F2777" s="94" t="s">
        <v>4754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4788</v>
      </c>
      <c r="J2777" s="94" t="b">
        <f>Proc[[#This Row],[Requested]]=Proc[[#This Row],[CurrentParent]]</f>
        <v>1</v>
      </c>
      <c r="K2777" s="94" t="str">
        <f>IF(Proc[[#This Row],[Author]]="Marcela Urrego",VLOOKUP(LEFT(Proc[[#This Row],[Requested]],1),Table3[#All],2,0),VLOOKUP(Proc[[#This Row],[Author]],Table4[],2,0))</f>
        <v>MGF</v>
      </c>
      <c r="L2777" s="125" t="s">
        <v>4897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19</v>
      </c>
      <c r="R2777" s="110" t="s">
        <v>485</v>
      </c>
      <c r="S2777" s="94"/>
    </row>
    <row r="2778" spans="1:19" hidden="1">
      <c r="A2778" s="103" t="s">
        <v>4425</v>
      </c>
      <c r="B2778" s="94" t="str">
        <f>IFERROR(VLOOKUP(Proc[[#This Row],[App]],Table2[],3,0),"open")</f>
        <v>ok</v>
      </c>
      <c r="C2778" s="117" t="s">
        <v>369</v>
      </c>
      <c r="D2778" t="s">
        <v>4702</v>
      </c>
      <c r="E2778" t="s">
        <v>4757</v>
      </c>
      <c r="F2778" s="94" t="s">
        <v>4757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4788</v>
      </c>
      <c r="J2778" s="94" t="b">
        <f>Proc[[#This Row],[Requested]]=Proc[[#This Row],[CurrentParent]]</f>
        <v>1</v>
      </c>
      <c r="K2778" s="94" t="str">
        <f>IF(Proc[[#This Row],[Author]]="Marcela Urrego",VLOOKUP(LEFT(Proc[[#This Row],[Requested]],1),Table3[#All],2,0),VLOOKUP(Proc[[#This Row],[Author]],Table4[],2,0))</f>
        <v>MGF</v>
      </c>
      <c r="L2778" s="125" t="s">
        <v>4897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19</v>
      </c>
      <c r="R2778" s="110" t="s">
        <v>485</v>
      </c>
      <c r="S2778" s="94"/>
    </row>
    <row r="2779" spans="1:19" hidden="1">
      <c r="A2779" s="103" t="s">
        <v>4425</v>
      </c>
      <c r="B2779" s="94" t="str">
        <f>IFERROR(VLOOKUP(Proc[[#This Row],[App]],Table2[],3,0),"open")</f>
        <v>ok</v>
      </c>
      <c r="C2779" s="117" t="s">
        <v>369</v>
      </c>
      <c r="D2779" t="s">
        <v>4703</v>
      </c>
      <c r="E2779" t="s">
        <v>4754</v>
      </c>
      <c r="F2779" s="94" t="s">
        <v>4754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4788</v>
      </c>
      <c r="J2779" s="94" t="b">
        <f>Proc[[#This Row],[Requested]]=Proc[[#This Row],[CurrentParent]]</f>
        <v>1</v>
      </c>
      <c r="K2779" s="94" t="str">
        <f>IF(Proc[[#This Row],[Author]]="Marcela Urrego",VLOOKUP(LEFT(Proc[[#This Row],[Requested]],1),Table3[#All],2,0),VLOOKUP(Proc[[#This Row],[Author]],Table4[],2,0))</f>
        <v>MGF</v>
      </c>
      <c r="L2779" s="125" t="s">
        <v>4897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19</v>
      </c>
      <c r="R2779" s="110" t="s">
        <v>485</v>
      </c>
      <c r="S2779" s="94"/>
    </row>
    <row r="2780" spans="1:19" hidden="1">
      <c r="A2780" s="103" t="s">
        <v>4425</v>
      </c>
      <c r="B2780" s="94" t="str">
        <f>IFERROR(VLOOKUP(Proc[[#This Row],[App]],Table2[],3,0),"open")</f>
        <v>ok</v>
      </c>
      <c r="C2780" s="117" t="s">
        <v>369</v>
      </c>
      <c r="D2780" t="s">
        <v>4704</v>
      </c>
      <c r="E2780" t="s">
        <v>4754</v>
      </c>
      <c r="F2780" s="94" t="s">
        <v>4754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4788</v>
      </c>
      <c r="J2780" s="94" t="b">
        <f>Proc[[#This Row],[Requested]]=Proc[[#This Row],[CurrentParent]]</f>
        <v>1</v>
      </c>
      <c r="K2780" s="94" t="str">
        <f>IF(Proc[[#This Row],[Author]]="Marcela Urrego",VLOOKUP(LEFT(Proc[[#This Row],[Requested]],1),Table3[#All],2,0),VLOOKUP(Proc[[#This Row],[Author]],Table4[],2,0))</f>
        <v>MGF</v>
      </c>
      <c r="L2780" s="125" t="s">
        <v>4897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19</v>
      </c>
      <c r="R2780" s="110" t="s">
        <v>485</v>
      </c>
      <c r="S2780" s="94"/>
    </row>
    <row r="2781" spans="1:19" hidden="1">
      <c r="A2781" s="103" t="s">
        <v>4425</v>
      </c>
      <c r="B2781" s="94" t="str">
        <f>IFERROR(VLOOKUP(Proc[[#This Row],[App]],Table2[],3,0),"open")</f>
        <v>ok</v>
      </c>
      <c r="C2781" s="117" t="s">
        <v>369</v>
      </c>
      <c r="D2781" t="s">
        <v>4705</v>
      </c>
      <c r="E2781" t="s">
        <v>4753</v>
      </c>
      <c r="F2781" s="94" t="s">
        <v>4753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4788</v>
      </c>
      <c r="J2781" s="94" t="b">
        <f>Proc[[#This Row],[Requested]]=Proc[[#This Row],[CurrentParent]]</f>
        <v>1</v>
      </c>
      <c r="K2781" s="94" t="str">
        <f>IF(Proc[[#This Row],[Author]]="Marcela Urrego",VLOOKUP(LEFT(Proc[[#This Row],[Requested]],1),Table3[#All],2,0),VLOOKUP(Proc[[#This Row],[Author]],Table4[],2,0))</f>
        <v>MGF</v>
      </c>
      <c r="L2781" s="125" t="s">
        <v>4897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19</v>
      </c>
      <c r="R2781" s="110" t="s">
        <v>485</v>
      </c>
      <c r="S2781" s="94"/>
    </row>
    <row r="2782" spans="1:19" hidden="1">
      <c r="A2782" s="103" t="s">
        <v>4425</v>
      </c>
      <c r="B2782" s="94" t="str">
        <f>IFERROR(VLOOKUP(Proc[[#This Row],[App]],Table2[],3,0),"open")</f>
        <v>ok</v>
      </c>
      <c r="C2782" s="117" t="s">
        <v>369</v>
      </c>
      <c r="D2782" t="s">
        <v>4706</v>
      </c>
      <c r="E2782" t="s">
        <v>4754</v>
      </c>
      <c r="F2782" s="94" t="s">
        <v>4754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4788</v>
      </c>
      <c r="J2782" s="94" t="b">
        <f>Proc[[#This Row],[Requested]]=Proc[[#This Row],[CurrentParent]]</f>
        <v>1</v>
      </c>
      <c r="K2782" s="94" t="str">
        <f>IF(Proc[[#This Row],[Author]]="Marcela Urrego",VLOOKUP(LEFT(Proc[[#This Row],[Requested]],1),Table3[#All],2,0),VLOOKUP(Proc[[#This Row],[Author]],Table4[],2,0))</f>
        <v>MGF</v>
      </c>
      <c r="L2782" s="125" t="s">
        <v>4897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19</v>
      </c>
      <c r="R2782" s="110" t="s">
        <v>485</v>
      </c>
      <c r="S2782" s="94"/>
    </row>
    <row r="2783" spans="1:19" hidden="1">
      <c r="A2783" s="103" t="s">
        <v>4425</v>
      </c>
      <c r="B2783" s="94" t="str">
        <f>IFERROR(VLOOKUP(Proc[[#This Row],[App]],Table2[],3,0),"open")</f>
        <v>ok</v>
      </c>
      <c r="C2783" s="117" t="s">
        <v>369</v>
      </c>
      <c r="D2783" t="s">
        <v>4707</v>
      </c>
      <c r="E2783" t="s">
        <v>4754</v>
      </c>
      <c r="F2783" s="94" t="s">
        <v>4754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4788</v>
      </c>
      <c r="J2783" s="94" t="b">
        <f>Proc[[#This Row],[Requested]]=Proc[[#This Row],[CurrentParent]]</f>
        <v>1</v>
      </c>
      <c r="K2783" s="94" t="str">
        <f>IF(Proc[[#This Row],[Author]]="Marcela Urrego",VLOOKUP(LEFT(Proc[[#This Row],[Requested]],1),Table3[#All],2,0),VLOOKUP(Proc[[#This Row],[Author]],Table4[],2,0))</f>
        <v>MGF</v>
      </c>
      <c r="L2783" s="125" t="s">
        <v>4897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19</v>
      </c>
      <c r="R2783" s="110" t="s">
        <v>485</v>
      </c>
      <c r="S2783" s="94"/>
    </row>
    <row r="2784" spans="1:19" hidden="1">
      <c r="A2784" s="103" t="s">
        <v>4425</v>
      </c>
      <c r="B2784" s="94" t="str">
        <f>IFERROR(VLOOKUP(Proc[[#This Row],[App]],Table2[],3,0),"open")</f>
        <v>ok</v>
      </c>
      <c r="C2784" s="117" t="s">
        <v>369</v>
      </c>
      <c r="D2784" t="s">
        <v>4708</v>
      </c>
      <c r="E2784" t="s">
        <v>4752</v>
      </c>
      <c r="F2784" s="94" t="s">
        <v>4752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4788</v>
      </c>
      <c r="J2784" s="94" t="b">
        <f>Proc[[#This Row],[Requested]]=Proc[[#This Row],[CurrentParent]]</f>
        <v>1</v>
      </c>
      <c r="K2784" s="94" t="str">
        <f>IF(Proc[[#This Row],[Author]]="Marcela Urrego",VLOOKUP(LEFT(Proc[[#This Row],[Requested]],1),Table3[#All],2,0),VLOOKUP(Proc[[#This Row],[Author]],Table4[],2,0))</f>
        <v>MGF</v>
      </c>
      <c r="L2784" s="125" t="s">
        <v>4897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19</v>
      </c>
      <c r="R2784" s="110" t="s">
        <v>485</v>
      </c>
      <c r="S2784" s="94"/>
    </row>
    <row r="2785" spans="1:19" hidden="1">
      <c r="A2785" s="103" t="s">
        <v>4425</v>
      </c>
      <c r="B2785" s="94" t="str">
        <f>IFERROR(VLOOKUP(Proc[[#This Row],[App]],Table2[],3,0),"open")</f>
        <v>ok</v>
      </c>
      <c r="C2785" s="117" t="s">
        <v>369</v>
      </c>
      <c r="D2785" t="s">
        <v>4709</v>
      </c>
      <c r="E2785" t="s">
        <v>4754</v>
      </c>
      <c r="F2785" s="94" t="s">
        <v>4754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4788</v>
      </c>
      <c r="J2785" s="94" t="b">
        <f>Proc[[#This Row],[Requested]]=Proc[[#This Row],[CurrentParent]]</f>
        <v>1</v>
      </c>
      <c r="K2785" s="94" t="str">
        <f>IF(Proc[[#This Row],[Author]]="Marcela Urrego",VLOOKUP(LEFT(Proc[[#This Row],[Requested]],1),Table3[#All],2,0),VLOOKUP(Proc[[#This Row],[Author]],Table4[],2,0))</f>
        <v>MGF</v>
      </c>
      <c r="L2785" s="125" t="s">
        <v>4897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19</v>
      </c>
      <c r="R2785" s="110" t="s">
        <v>485</v>
      </c>
      <c r="S2785" s="94"/>
    </row>
    <row r="2786" spans="1:19" hidden="1">
      <c r="A2786" s="103" t="s">
        <v>4425</v>
      </c>
      <c r="B2786" s="94" t="str">
        <f>IFERROR(VLOOKUP(Proc[[#This Row],[App]],Table2[],3,0),"open")</f>
        <v>ok</v>
      </c>
      <c r="C2786" s="117" t="s">
        <v>369</v>
      </c>
      <c r="D2786" t="s">
        <v>4710</v>
      </c>
      <c r="E2786" t="s">
        <v>4754</v>
      </c>
      <c r="F2786" s="94" t="s">
        <v>4754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4788</v>
      </c>
      <c r="J2786" s="94" t="b">
        <f>Proc[[#This Row],[Requested]]=Proc[[#This Row],[CurrentParent]]</f>
        <v>1</v>
      </c>
      <c r="K2786" s="94" t="str">
        <f>IF(Proc[[#This Row],[Author]]="Marcela Urrego",VLOOKUP(LEFT(Proc[[#This Row],[Requested]],1),Table3[#All],2,0),VLOOKUP(Proc[[#This Row],[Author]],Table4[],2,0))</f>
        <v>MGF</v>
      </c>
      <c r="L2786" s="125" t="s">
        <v>4897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19</v>
      </c>
      <c r="R2786" s="110" t="s">
        <v>485</v>
      </c>
      <c r="S2786" s="94"/>
    </row>
    <row r="2787" spans="1:19" hidden="1">
      <c r="A2787" s="103" t="s">
        <v>4425</v>
      </c>
      <c r="B2787" s="94" t="str">
        <f>IFERROR(VLOOKUP(Proc[[#This Row],[App]],Table2[],3,0),"open")</f>
        <v>ok</v>
      </c>
      <c r="C2787" s="117" t="s">
        <v>369</v>
      </c>
      <c r="D2787" t="s">
        <v>4711</v>
      </c>
      <c r="E2787" t="s">
        <v>4754</v>
      </c>
      <c r="F2787" s="94" t="s">
        <v>4754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4788</v>
      </c>
      <c r="J2787" s="94" t="b">
        <f>Proc[[#This Row],[Requested]]=Proc[[#This Row],[CurrentParent]]</f>
        <v>1</v>
      </c>
      <c r="K2787" s="94" t="str">
        <f>IF(Proc[[#This Row],[Author]]="Marcela Urrego",VLOOKUP(LEFT(Proc[[#This Row],[Requested]],1),Table3[#All],2,0),VLOOKUP(Proc[[#This Row],[Author]],Table4[],2,0))</f>
        <v>MGF</v>
      </c>
      <c r="L2787" s="125" t="s">
        <v>4897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19</v>
      </c>
      <c r="R2787" s="110" t="s">
        <v>485</v>
      </c>
      <c r="S2787" s="94"/>
    </row>
    <row r="2788" spans="1:19" hidden="1">
      <c r="A2788" s="103" t="s">
        <v>4425</v>
      </c>
      <c r="B2788" s="94" t="str">
        <f>IFERROR(VLOOKUP(Proc[[#This Row],[App]],Table2[],3,0),"open")</f>
        <v>ok</v>
      </c>
      <c r="C2788" s="117" t="s">
        <v>369</v>
      </c>
      <c r="D2788" t="s">
        <v>4712</v>
      </c>
      <c r="E2788" t="s">
        <v>4756</v>
      </c>
      <c r="F2788" s="94" t="s">
        <v>4756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4788</v>
      </c>
      <c r="J2788" s="94" t="b">
        <f>Proc[[#This Row],[Requested]]=Proc[[#This Row],[CurrentParent]]</f>
        <v>1</v>
      </c>
      <c r="K2788" s="94" t="str">
        <f>IF(Proc[[#This Row],[Author]]="Marcela Urrego",VLOOKUP(LEFT(Proc[[#This Row],[Requested]],1),Table3[#All],2,0),VLOOKUP(Proc[[#This Row],[Author]],Table4[],2,0))</f>
        <v>MGF</v>
      </c>
      <c r="L2788" s="125" t="s">
        <v>4897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19</v>
      </c>
      <c r="R2788" s="110" t="s">
        <v>485</v>
      </c>
      <c r="S2788" s="94"/>
    </row>
    <row r="2789" spans="1:19" hidden="1">
      <c r="A2789" s="103" t="s">
        <v>4425</v>
      </c>
      <c r="B2789" s="94" t="str">
        <f>IFERROR(VLOOKUP(Proc[[#This Row],[App]],Table2[],3,0),"open")</f>
        <v>ok</v>
      </c>
      <c r="C2789" s="117" t="s">
        <v>369</v>
      </c>
      <c r="D2789" t="s">
        <v>4713</v>
      </c>
      <c r="E2789" t="s">
        <v>4756</v>
      </c>
      <c r="F2789" s="94" t="s">
        <v>4756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4788</v>
      </c>
      <c r="J2789" s="94" t="b">
        <f>Proc[[#This Row],[Requested]]=Proc[[#This Row],[CurrentParent]]</f>
        <v>1</v>
      </c>
      <c r="K2789" s="94" t="str">
        <f>IF(Proc[[#This Row],[Author]]="Marcela Urrego",VLOOKUP(LEFT(Proc[[#This Row],[Requested]],1),Table3[#All],2,0),VLOOKUP(Proc[[#This Row],[Author]],Table4[],2,0))</f>
        <v>MGF</v>
      </c>
      <c r="L2789" s="125" t="s">
        <v>4897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19</v>
      </c>
      <c r="R2789" s="110" t="s">
        <v>485</v>
      </c>
      <c r="S2789" s="94"/>
    </row>
    <row r="2790" spans="1:19" hidden="1">
      <c r="A2790" s="103" t="s">
        <v>4425</v>
      </c>
      <c r="B2790" s="94" t="str">
        <f>IFERROR(VLOOKUP(Proc[[#This Row],[App]],Table2[],3,0),"open")</f>
        <v>ok</v>
      </c>
      <c r="C2790" s="117" t="s">
        <v>369</v>
      </c>
      <c r="D2790" t="s">
        <v>4714</v>
      </c>
      <c r="E2790" t="s">
        <v>4757</v>
      </c>
      <c r="F2790" s="94" t="s">
        <v>4757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4788</v>
      </c>
      <c r="J2790" s="94" t="b">
        <f>Proc[[#This Row],[Requested]]=Proc[[#This Row],[CurrentParent]]</f>
        <v>1</v>
      </c>
      <c r="K2790" s="94" t="str">
        <f>IF(Proc[[#This Row],[Author]]="Marcela Urrego",VLOOKUP(LEFT(Proc[[#This Row],[Requested]],1),Table3[#All],2,0),VLOOKUP(Proc[[#This Row],[Author]],Table4[],2,0))</f>
        <v>MGF</v>
      </c>
      <c r="L2790" s="125" t="s">
        <v>4897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19</v>
      </c>
      <c r="R2790" s="110" t="s">
        <v>485</v>
      </c>
      <c r="S2790" s="94"/>
    </row>
    <row r="2791" spans="1:19" hidden="1">
      <c r="A2791" s="103" t="s">
        <v>4425</v>
      </c>
      <c r="B2791" s="94" t="str">
        <f>IFERROR(VLOOKUP(Proc[[#This Row],[App]],Table2[],3,0),"open")</f>
        <v>ok</v>
      </c>
      <c r="C2791" s="117" t="s">
        <v>369</v>
      </c>
      <c r="D2791" t="s">
        <v>4715</v>
      </c>
      <c r="E2791" t="s">
        <v>4757</v>
      </c>
      <c r="F2791" s="94" t="s">
        <v>4757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4788</v>
      </c>
      <c r="J2791" s="94" t="b">
        <f>Proc[[#This Row],[Requested]]=Proc[[#This Row],[CurrentParent]]</f>
        <v>1</v>
      </c>
      <c r="K2791" s="94" t="str">
        <f>IF(Proc[[#This Row],[Author]]="Marcela Urrego",VLOOKUP(LEFT(Proc[[#This Row],[Requested]],1),Table3[#All],2,0),VLOOKUP(Proc[[#This Row],[Author]],Table4[],2,0))</f>
        <v>MGF</v>
      </c>
      <c r="L2791" s="125" t="s">
        <v>4897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19</v>
      </c>
      <c r="R2791" s="110" t="s">
        <v>485</v>
      </c>
      <c r="S2791" s="94"/>
    </row>
    <row r="2792" spans="1:19" hidden="1">
      <c r="A2792" s="103" t="s">
        <v>4425</v>
      </c>
      <c r="B2792" s="94" t="str">
        <f>IFERROR(VLOOKUP(Proc[[#This Row],[App]],Table2[],3,0),"open")</f>
        <v>ok</v>
      </c>
      <c r="C2792" s="117" t="s">
        <v>369</v>
      </c>
      <c r="D2792" t="s">
        <v>4716</v>
      </c>
      <c r="E2792" t="s">
        <v>4747</v>
      </c>
      <c r="F2792" s="94" t="s">
        <v>4747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4788</v>
      </c>
      <c r="J2792" s="94" t="b">
        <f>Proc[[#This Row],[Requested]]=Proc[[#This Row],[CurrentParent]]</f>
        <v>1</v>
      </c>
      <c r="K2792" s="94" t="str">
        <f>IF(Proc[[#This Row],[Author]]="Marcela Urrego",VLOOKUP(LEFT(Proc[[#This Row],[Requested]],1),Table3[#All],2,0),VLOOKUP(Proc[[#This Row],[Author]],Table4[],2,0))</f>
        <v>MGF</v>
      </c>
      <c r="L2792" s="125" t="s">
        <v>4897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19</v>
      </c>
      <c r="R2792" s="110" t="s">
        <v>485</v>
      </c>
      <c r="S2792" s="94"/>
    </row>
    <row r="2793" spans="1:19" hidden="1">
      <c r="A2793" s="103" t="s">
        <v>4425</v>
      </c>
      <c r="B2793" s="94" t="str">
        <f>IFERROR(VLOOKUP(Proc[[#This Row],[App]],Table2[],3,0),"open")</f>
        <v>ok</v>
      </c>
      <c r="C2793" s="117" t="s">
        <v>369</v>
      </c>
      <c r="D2793" t="s">
        <v>4717</v>
      </c>
      <c r="E2793" t="s">
        <v>4754</v>
      </c>
      <c r="F2793" s="94" t="s">
        <v>4754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4788</v>
      </c>
      <c r="J2793" s="94" t="b">
        <f>Proc[[#This Row],[Requested]]=Proc[[#This Row],[CurrentParent]]</f>
        <v>1</v>
      </c>
      <c r="K2793" s="94" t="str">
        <f>IF(Proc[[#This Row],[Author]]="Marcela Urrego",VLOOKUP(LEFT(Proc[[#This Row],[Requested]],1),Table3[#All],2,0),VLOOKUP(Proc[[#This Row],[Author]],Table4[],2,0))</f>
        <v>MGF</v>
      </c>
      <c r="L2793" s="125" t="s">
        <v>4897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19</v>
      </c>
      <c r="R2793" s="110" t="s">
        <v>485</v>
      </c>
      <c r="S2793" s="94"/>
    </row>
    <row r="2794" spans="1:19" hidden="1">
      <c r="A2794" s="103" t="s">
        <v>4425</v>
      </c>
      <c r="B2794" s="94" t="str">
        <f>IFERROR(VLOOKUP(Proc[[#This Row],[App]],Table2[],3,0),"open")</f>
        <v>ok</v>
      </c>
      <c r="C2794" s="117" t="s">
        <v>369</v>
      </c>
      <c r="D2794" t="s">
        <v>4718</v>
      </c>
      <c r="E2794" t="s">
        <v>4754</v>
      </c>
      <c r="F2794" s="94" t="s">
        <v>4754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4788</v>
      </c>
      <c r="J2794" s="94" t="b">
        <f>Proc[[#This Row],[Requested]]=Proc[[#This Row],[CurrentParent]]</f>
        <v>1</v>
      </c>
      <c r="K2794" s="94" t="str">
        <f>IF(Proc[[#This Row],[Author]]="Marcela Urrego",VLOOKUP(LEFT(Proc[[#This Row],[Requested]],1),Table3[#All],2,0),VLOOKUP(Proc[[#This Row],[Author]],Table4[],2,0))</f>
        <v>MGF</v>
      </c>
      <c r="L2794" s="125" t="s">
        <v>4897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19</v>
      </c>
      <c r="R2794" s="110" t="s">
        <v>485</v>
      </c>
      <c r="S2794" s="94"/>
    </row>
    <row r="2795" spans="1:19" hidden="1">
      <c r="A2795" s="103" t="s">
        <v>4425</v>
      </c>
      <c r="B2795" s="94" t="str">
        <f>IFERROR(VLOOKUP(Proc[[#This Row],[App]],Table2[],3,0),"open")</f>
        <v>ok</v>
      </c>
      <c r="C2795" s="117" t="s">
        <v>369</v>
      </c>
      <c r="D2795" t="s">
        <v>4719</v>
      </c>
      <c r="E2795" t="s">
        <v>4752</v>
      </c>
      <c r="F2795" s="94" t="s">
        <v>4752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4788</v>
      </c>
      <c r="J2795" s="94" t="b">
        <f>Proc[[#This Row],[Requested]]=Proc[[#This Row],[CurrentParent]]</f>
        <v>1</v>
      </c>
      <c r="K2795" s="94" t="str">
        <f>IF(Proc[[#This Row],[Author]]="Marcela Urrego",VLOOKUP(LEFT(Proc[[#This Row],[Requested]],1),Table3[#All],2,0),VLOOKUP(Proc[[#This Row],[Author]],Table4[],2,0))</f>
        <v>MGF</v>
      </c>
      <c r="L2795" s="125" t="s">
        <v>4897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19</v>
      </c>
      <c r="R2795" s="110" t="s">
        <v>485</v>
      </c>
      <c r="S2795" s="94"/>
    </row>
    <row r="2796" spans="1:19" hidden="1">
      <c r="A2796" s="103" t="s">
        <v>4425</v>
      </c>
      <c r="B2796" s="94" t="str">
        <f>IFERROR(VLOOKUP(Proc[[#This Row],[App]],Table2[],3,0),"open")</f>
        <v>ok</v>
      </c>
      <c r="C2796" s="117" t="s">
        <v>369</v>
      </c>
      <c r="D2796" t="s">
        <v>4720</v>
      </c>
      <c r="E2796" t="s">
        <v>4752</v>
      </c>
      <c r="F2796" s="94" t="s">
        <v>4752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4788</v>
      </c>
      <c r="J2796" s="94" t="b">
        <f>Proc[[#This Row],[Requested]]=Proc[[#This Row],[CurrentParent]]</f>
        <v>1</v>
      </c>
      <c r="K2796" s="94" t="str">
        <f>IF(Proc[[#This Row],[Author]]="Marcela Urrego",VLOOKUP(LEFT(Proc[[#This Row],[Requested]],1),Table3[#All],2,0),VLOOKUP(Proc[[#This Row],[Author]],Table4[],2,0))</f>
        <v>MGF</v>
      </c>
      <c r="L2796" s="125" t="s">
        <v>4897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19</v>
      </c>
      <c r="R2796" s="110" t="s">
        <v>485</v>
      </c>
      <c r="S2796" s="94"/>
    </row>
    <row r="2797" spans="1:19" hidden="1">
      <c r="A2797" s="103" t="s">
        <v>4425</v>
      </c>
      <c r="B2797" s="94" t="str">
        <f>IFERROR(VLOOKUP(Proc[[#This Row],[App]],Table2[],3,0),"open")</f>
        <v>ok</v>
      </c>
      <c r="C2797" s="117" t="s">
        <v>369</v>
      </c>
      <c r="D2797" t="s">
        <v>4721</v>
      </c>
      <c r="E2797" t="s">
        <v>4752</v>
      </c>
      <c r="F2797" s="94" t="s">
        <v>4752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4788</v>
      </c>
      <c r="J2797" s="94" t="b">
        <f>Proc[[#This Row],[Requested]]=Proc[[#This Row],[CurrentParent]]</f>
        <v>1</v>
      </c>
      <c r="K2797" s="94" t="str">
        <f>IF(Proc[[#This Row],[Author]]="Marcela Urrego",VLOOKUP(LEFT(Proc[[#This Row],[Requested]],1),Table3[#All],2,0),VLOOKUP(Proc[[#This Row],[Author]],Table4[],2,0))</f>
        <v>MGF</v>
      </c>
      <c r="L2797" s="125" t="s">
        <v>4897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19</v>
      </c>
      <c r="R2797" s="110" t="s">
        <v>485</v>
      </c>
      <c r="S2797" s="94"/>
    </row>
    <row r="2798" spans="1:19" hidden="1">
      <c r="A2798" s="103" t="s">
        <v>4425</v>
      </c>
      <c r="B2798" s="94" t="str">
        <f>IFERROR(VLOOKUP(Proc[[#This Row],[App]],Table2[],3,0),"open")</f>
        <v>ok</v>
      </c>
      <c r="C2798" s="117" t="s">
        <v>369</v>
      </c>
      <c r="D2798" t="s">
        <v>4722</v>
      </c>
      <c r="E2798" t="s">
        <v>4752</v>
      </c>
      <c r="F2798" s="94" t="s">
        <v>4752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4788</v>
      </c>
      <c r="J2798" s="94" t="b">
        <f>Proc[[#This Row],[Requested]]=Proc[[#This Row],[CurrentParent]]</f>
        <v>1</v>
      </c>
      <c r="K2798" s="94" t="str">
        <f>IF(Proc[[#This Row],[Author]]="Marcela Urrego",VLOOKUP(LEFT(Proc[[#This Row],[Requested]],1),Table3[#All],2,0),VLOOKUP(Proc[[#This Row],[Author]],Table4[],2,0))</f>
        <v>MGF</v>
      </c>
      <c r="L2798" s="125" t="s">
        <v>4897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19</v>
      </c>
      <c r="R2798" s="110" t="s">
        <v>485</v>
      </c>
      <c r="S2798" s="94"/>
    </row>
    <row r="2799" spans="1:19" hidden="1">
      <c r="A2799" s="103" t="s">
        <v>4425</v>
      </c>
      <c r="B2799" s="94" t="str">
        <f>IFERROR(VLOOKUP(Proc[[#This Row],[App]],Table2[],3,0),"open")</f>
        <v>ok</v>
      </c>
      <c r="C2799" s="117" t="s">
        <v>369</v>
      </c>
      <c r="D2799" t="s">
        <v>4723</v>
      </c>
      <c r="E2799" t="s">
        <v>4754</v>
      </c>
      <c r="F2799" s="94" t="s">
        <v>4754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4788</v>
      </c>
      <c r="J2799" s="94" t="b">
        <f>Proc[[#This Row],[Requested]]=Proc[[#This Row],[CurrentParent]]</f>
        <v>1</v>
      </c>
      <c r="K2799" s="94" t="str">
        <f>IF(Proc[[#This Row],[Author]]="Marcela Urrego",VLOOKUP(LEFT(Proc[[#This Row],[Requested]],1),Table3[#All],2,0),VLOOKUP(Proc[[#This Row],[Author]],Table4[],2,0))</f>
        <v>MGF</v>
      </c>
      <c r="L2799" s="125" t="s">
        <v>4897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19</v>
      </c>
      <c r="R2799" s="110" t="s">
        <v>485</v>
      </c>
      <c r="S2799" s="94"/>
    </row>
    <row r="2800" spans="1:19" hidden="1">
      <c r="A2800" s="103" t="s">
        <v>4425</v>
      </c>
      <c r="B2800" s="94" t="str">
        <f>IFERROR(VLOOKUP(Proc[[#This Row],[App]],Table2[],3,0),"open")</f>
        <v>ok</v>
      </c>
      <c r="C2800" s="117" t="s">
        <v>369</v>
      </c>
      <c r="D2800" t="s">
        <v>4724</v>
      </c>
      <c r="E2800" t="s">
        <v>4754</v>
      </c>
      <c r="F2800" s="94" t="s">
        <v>4754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4788</v>
      </c>
      <c r="J2800" s="94" t="b">
        <f>Proc[[#This Row],[Requested]]=Proc[[#This Row],[CurrentParent]]</f>
        <v>1</v>
      </c>
      <c r="K2800" s="94" t="str">
        <f>IF(Proc[[#This Row],[Author]]="Marcela Urrego",VLOOKUP(LEFT(Proc[[#This Row],[Requested]],1),Table3[#All],2,0),VLOOKUP(Proc[[#This Row],[Author]],Table4[],2,0))</f>
        <v>MGF</v>
      </c>
      <c r="L2800" s="125" t="s">
        <v>4897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19</v>
      </c>
      <c r="R2800" s="110" t="s">
        <v>485</v>
      </c>
      <c r="S2800" s="94"/>
    </row>
    <row r="2801" spans="1:19" hidden="1">
      <c r="A2801" s="103" t="s">
        <v>4425</v>
      </c>
      <c r="B2801" s="94" t="str">
        <f>IFERROR(VLOOKUP(Proc[[#This Row],[App]],Table2[],3,0),"open")</f>
        <v>ok</v>
      </c>
      <c r="C2801" s="117" t="s">
        <v>369</v>
      </c>
      <c r="D2801" t="s">
        <v>4725</v>
      </c>
      <c r="E2801" t="s">
        <v>4754</v>
      </c>
      <c r="F2801" s="94" t="s">
        <v>4754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4788</v>
      </c>
      <c r="J2801" s="94" t="b">
        <f>Proc[[#This Row],[Requested]]=Proc[[#This Row],[CurrentParent]]</f>
        <v>1</v>
      </c>
      <c r="K2801" s="94" t="str">
        <f>IF(Proc[[#This Row],[Author]]="Marcela Urrego",VLOOKUP(LEFT(Proc[[#This Row],[Requested]],1),Table3[#All],2,0),VLOOKUP(Proc[[#This Row],[Author]],Table4[],2,0))</f>
        <v>MGF</v>
      </c>
      <c r="L2801" s="125" t="s">
        <v>4897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19</v>
      </c>
      <c r="R2801" s="110" t="s">
        <v>485</v>
      </c>
      <c r="S2801" s="94"/>
    </row>
    <row r="2802" spans="1:19" hidden="1">
      <c r="A2802" s="103" t="s">
        <v>4425</v>
      </c>
      <c r="B2802" s="94" t="str">
        <f>IFERROR(VLOOKUP(Proc[[#This Row],[App]],Table2[],3,0),"open")</f>
        <v>ok</v>
      </c>
      <c r="C2802" s="117" t="s">
        <v>369</v>
      </c>
      <c r="D2802" t="s">
        <v>4726</v>
      </c>
      <c r="E2802" t="s">
        <v>4754</v>
      </c>
      <c r="F2802" s="94" t="s">
        <v>4754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4788</v>
      </c>
      <c r="J2802" s="94" t="b">
        <f>Proc[[#This Row],[Requested]]=Proc[[#This Row],[CurrentParent]]</f>
        <v>1</v>
      </c>
      <c r="K2802" s="94" t="str">
        <f>IF(Proc[[#This Row],[Author]]="Marcela Urrego",VLOOKUP(LEFT(Proc[[#This Row],[Requested]],1),Table3[#All],2,0),VLOOKUP(Proc[[#This Row],[Author]],Table4[],2,0))</f>
        <v>MGF</v>
      </c>
      <c r="L2802" s="125" t="s">
        <v>4897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19</v>
      </c>
      <c r="R2802" s="110" t="s">
        <v>485</v>
      </c>
      <c r="S2802" s="94"/>
    </row>
    <row r="2803" spans="1:19" hidden="1">
      <c r="A2803" s="103" t="s">
        <v>4425</v>
      </c>
      <c r="B2803" s="94" t="str">
        <f>IFERROR(VLOOKUP(Proc[[#This Row],[App]],Table2[],3,0),"open")</f>
        <v>ok</v>
      </c>
      <c r="C2803" s="117" t="s">
        <v>369</v>
      </c>
      <c r="D2803" t="s">
        <v>4727</v>
      </c>
      <c r="E2803" t="s">
        <v>4756</v>
      </c>
      <c r="F2803" s="94" t="s">
        <v>4756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4788</v>
      </c>
      <c r="J2803" s="94" t="b">
        <f>Proc[[#This Row],[Requested]]=Proc[[#This Row],[CurrentParent]]</f>
        <v>1</v>
      </c>
      <c r="K2803" s="94" t="str">
        <f>IF(Proc[[#This Row],[Author]]="Marcela Urrego",VLOOKUP(LEFT(Proc[[#This Row],[Requested]],1),Table3[#All],2,0),VLOOKUP(Proc[[#This Row],[Author]],Table4[],2,0))</f>
        <v>MGF</v>
      </c>
      <c r="L2803" s="125" t="s">
        <v>4897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19</v>
      </c>
      <c r="R2803" s="110" t="s">
        <v>485</v>
      </c>
      <c r="S2803" s="94"/>
    </row>
    <row r="2804" spans="1:19" hidden="1">
      <c r="A2804" s="103" t="s">
        <v>4425</v>
      </c>
      <c r="B2804" s="94" t="str">
        <f>IFERROR(VLOOKUP(Proc[[#This Row],[App]],Table2[],3,0),"open")</f>
        <v>ok</v>
      </c>
      <c r="C2804" s="117" t="s">
        <v>369</v>
      </c>
      <c r="D2804" t="s">
        <v>4728</v>
      </c>
      <c r="E2804" t="s">
        <v>4757</v>
      </c>
      <c r="F2804" s="94" t="s">
        <v>4757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4788</v>
      </c>
      <c r="J2804" s="94" t="b">
        <f>Proc[[#This Row],[Requested]]=Proc[[#This Row],[CurrentParent]]</f>
        <v>1</v>
      </c>
      <c r="K2804" s="94" t="str">
        <f>IF(Proc[[#This Row],[Author]]="Marcela Urrego",VLOOKUP(LEFT(Proc[[#This Row],[Requested]],1),Table3[#All],2,0),VLOOKUP(Proc[[#This Row],[Author]],Table4[],2,0))</f>
        <v>MGF</v>
      </c>
      <c r="L2804" s="125" t="s">
        <v>4897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19</v>
      </c>
      <c r="R2804" s="110" t="s">
        <v>485</v>
      </c>
      <c r="S2804" s="94"/>
    </row>
    <row r="2805" spans="1:19" hidden="1">
      <c r="A2805" s="103" t="s">
        <v>4425</v>
      </c>
      <c r="B2805" s="94" t="str">
        <f>IFERROR(VLOOKUP(Proc[[#This Row],[App]],Table2[],3,0),"open")</f>
        <v>ok</v>
      </c>
      <c r="C2805" s="117" t="s">
        <v>369</v>
      </c>
      <c r="D2805" t="s">
        <v>4729</v>
      </c>
      <c r="E2805" t="s">
        <v>4757</v>
      </c>
      <c r="F2805" s="94" t="s">
        <v>4757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4788</v>
      </c>
      <c r="J2805" s="94" t="b">
        <f>Proc[[#This Row],[Requested]]=Proc[[#This Row],[CurrentParent]]</f>
        <v>1</v>
      </c>
      <c r="K2805" s="94" t="str">
        <f>IF(Proc[[#This Row],[Author]]="Marcela Urrego",VLOOKUP(LEFT(Proc[[#This Row],[Requested]],1),Table3[#All],2,0),VLOOKUP(Proc[[#This Row],[Author]],Table4[],2,0))</f>
        <v>MGF</v>
      </c>
      <c r="L2805" s="125" t="s">
        <v>4897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19</v>
      </c>
      <c r="R2805" s="110" t="s">
        <v>485</v>
      </c>
      <c r="S2805" s="94"/>
    </row>
    <row r="2806" spans="1:19" hidden="1">
      <c r="A2806" s="103" t="s">
        <v>4425</v>
      </c>
      <c r="B2806" s="94" t="str">
        <f>IFERROR(VLOOKUP(Proc[[#This Row],[App]],Table2[],3,0),"open")</f>
        <v>ok</v>
      </c>
      <c r="C2806" s="117" t="s">
        <v>369</v>
      </c>
      <c r="D2806" t="s">
        <v>4730</v>
      </c>
      <c r="E2806" t="s">
        <v>4757</v>
      </c>
      <c r="F2806" s="94" t="s">
        <v>4757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4788</v>
      </c>
      <c r="J2806" s="94" t="b">
        <f>Proc[[#This Row],[Requested]]=Proc[[#This Row],[CurrentParent]]</f>
        <v>1</v>
      </c>
      <c r="K2806" s="94" t="str">
        <f>IF(Proc[[#This Row],[Author]]="Marcela Urrego",VLOOKUP(LEFT(Proc[[#This Row],[Requested]],1),Table3[#All],2,0),VLOOKUP(Proc[[#This Row],[Author]],Table4[],2,0))</f>
        <v>MGF</v>
      </c>
      <c r="L2806" s="125" t="s">
        <v>4897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19</v>
      </c>
      <c r="R2806" s="110" t="s">
        <v>485</v>
      </c>
      <c r="S2806" s="94"/>
    </row>
    <row r="2807" spans="1:19" hidden="1">
      <c r="A2807" s="103" t="s">
        <v>4425</v>
      </c>
      <c r="B2807" s="94" t="str">
        <f>IFERROR(VLOOKUP(Proc[[#This Row],[App]],Table2[],3,0),"open")</f>
        <v>ok</v>
      </c>
      <c r="C2807" s="117" t="s">
        <v>369</v>
      </c>
      <c r="D2807" t="s">
        <v>4731</v>
      </c>
      <c r="E2807" t="s">
        <v>4757</v>
      </c>
      <c r="F2807" s="94" t="s">
        <v>4757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4788</v>
      </c>
      <c r="J2807" s="94" t="b">
        <f>Proc[[#This Row],[Requested]]=Proc[[#This Row],[CurrentParent]]</f>
        <v>1</v>
      </c>
      <c r="K2807" s="94" t="str">
        <f>IF(Proc[[#This Row],[Author]]="Marcela Urrego",VLOOKUP(LEFT(Proc[[#This Row],[Requested]],1),Table3[#All],2,0),VLOOKUP(Proc[[#This Row],[Author]],Table4[],2,0))</f>
        <v>MGF</v>
      </c>
      <c r="L2807" s="125" t="s">
        <v>4897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19</v>
      </c>
      <c r="R2807" s="110" t="s">
        <v>485</v>
      </c>
      <c r="S2807" s="94"/>
    </row>
    <row r="2808" spans="1:19" hidden="1">
      <c r="A2808" s="103" t="s">
        <v>4425</v>
      </c>
      <c r="B2808" s="94" t="str">
        <f>IFERROR(VLOOKUP(Proc[[#This Row],[App]],Table2[],3,0),"open")</f>
        <v>ok</v>
      </c>
      <c r="C2808" s="117" t="s">
        <v>369</v>
      </c>
      <c r="D2808" t="s">
        <v>4732</v>
      </c>
      <c r="E2808" t="s">
        <v>4754</v>
      </c>
      <c r="F2808" s="94" t="s">
        <v>4754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4788</v>
      </c>
      <c r="J2808" s="94" t="b">
        <f>Proc[[#This Row],[Requested]]=Proc[[#This Row],[CurrentParent]]</f>
        <v>1</v>
      </c>
      <c r="K2808" s="94" t="str">
        <f>IF(Proc[[#This Row],[Author]]="Marcela Urrego",VLOOKUP(LEFT(Proc[[#This Row],[Requested]],1),Table3[#All],2,0),VLOOKUP(Proc[[#This Row],[Author]],Table4[],2,0))</f>
        <v>MGF</v>
      </c>
      <c r="L2808" s="125" t="s">
        <v>4897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19</v>
      </c>
      <c r="R2808" s="110" t="s">
        <v>485</v>
      </c>
      <c r="S2808" s="94"/>
    </row>
    <row r="2809" spans="1:19" hidden="1">
      <c r="A2809" s="103" t="s">
        <v>4425</v>
      </c>
      <c r="B2809" s="94" t="str">
        <f>IFERROR(VLOOKUP(Proc[[#This Row],[App]],Table2[],3,0),"open")</f>
        <v>ok</v>
      </c>
      <c r="C2809" s="117" t="s">
        <v>369</v>
      </c>
      <c r="D2809" t="s">
        <v>4733</v>
      </c>
      <c r="E2809" t="s">
        <v>4753</v>
      </c>
      <c r="F2809" s="94" t="s">
        <v>4753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4788</v>
      </c>
      <c r="J2809" s="94" t="b">
        <f>Proc[[#This Row],[Requested]]=Proc[[#This Row],[CurrentParent]]</f>
        <v>1</v>
      </c>
      <c r="K2809" s="94" t="str">
        <f>IF(Proc[[#This Row],[Author]]="Marcela Urrego",VLOOKUP(LEFT(Proc[[#This Row],[Requested]],1),Table3[#All],2,0),VLOOKUP(Proc[[#This Row],[Author]],Table4[],2,0))</f>
        <v>MGF</v>
      </c>
      <c r="L2809" s="125" t="s">
        <v>4897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19</v>
      </c>
      <c r="R2809" s="110" t="s">
        <v>485</v>
      </c>
      <c r="S2809" s="94"/>
    </row>
    <row r="2810" spans="1:19" hidden="1">
      <c r="A2810" s="103" t="s">
        <v>4425</v>
      </c>
      <c r="B2810" s="94" t="str">
        <f>IFERROR(VLOOKUP(Proc[[#This Row],[App]],Table2[],3,0),"open")</f>
        <v>ok</v>
      </c>
      <c r="C2810" s="117" t="s">
        <v>369</v>
      </c>
      <c r="D2810" t="s">
        <v>4734</v>
      </c>
      <c r="E2810" t="s">
        <v>4753</v>
      </c>
      <c r="F2810" s="94" t="s">
        <v>4753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4788</v>
      </c>
      <c r="J2810" s="94" t="b">
        <f>Proc[[#This Row],[Requested]]=Proc[[#This Row],[CurrentParent]]</f>
        <v>1</v>
      </c>
      <c r="K2810" s="94" t="str">
        <f>IF(Proc[[#This Row],[Author]]="Marcela Urrego",VLOOKUP(LEFT(Proc[[#This Row],[Requested]],1),Table3[#All],2,0),VLOOKUP(Proc[[#This Row],[Author]],Table4[],2,0))</f>
        <v>MGF</v>
      </c>
      <c r="L2810" s="125" t="s">
        <v>4897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19</v>
      </c>
      <c r="R2810" s="110" t="s">
        <v>485</v>
      </c>
      <c r="S2810" s="94"/>
    </row>
    <row r="2811" spans="1:19" hidden="1">
      <c r="A2811" s="103" t="s">
        <v>4425</v>
      </c>
      <c r="B2811" s="94" t="str">
        <f>IFERROR(VLOOKUP(Proc[[#This Row],[App]],Table2[],3,0),"open")</f>
        <v>ok</v>
      </c>
      <c r="C2811" s="117" t="s">
        <v>369</v>
      </c>
      <c r="D2811" t="s">
        <v>4735</v>
      </c>
      <c r="E2811" t="s">
        <v>4757</v>
      </c>
      <c r="F2811" s="94" t="s">
        <v>4757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4788</v>
      </c>
      <c r="J2811" s="94" t="b">
        <f>Proc[[#This Row],[Requested]]=Proc[[#This Row],[CurrentParent]]</f>
        <v>1</v>
      </c>
      <c r="K2811" s="94" t="str">
        <f>IF(Proc[[#This Row],[Author]]="Marcela Urrego",VLOOKUP(LEFT(Proc[[#This Row],[Requested]],1),Table3[#All],2,0),VLOOKUP(Proc[[#This Row],[Author]],Table4[],2,0))</f>
        <v>MGF</v>
      </c>
      <c r="L2811" s="125" t="s">
        <v>4897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19</v>
      </c>
      <c r="R2811" s="110" t="s">
        <v>485</v>
      </c>
      <c r="S2811" s="94"/>
    </row>
    <row r="2812" spans="1:19" hidden="1">
      <c r="A2812" s="103" t="s">
        <v>4425</v>
      </c>
      <c r="B2812" s="94" t="str">
        <f>IFERROR(VLOOKUP(Proc[[#This Row],[App]],Table2[],3,0),"open")</f>
        <v>ok</v>
      </c>
      <c r="C2812" s="117" t="s">
        <v>369</v>
      </c>
      <c r="D2812" t="s">
        <v>4736</v>
      </c>
      <c r="E2812" t="s">
        <v>4743</v>
      </c>
      <c r="F2812" s="94" t="s">
        <v>4743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4788</v>
      </c>
      <c r="J2812" s="94" t="b">
        <f>Proc[[#This Row],[Requested]]=Proc[[#This Row],[CurrentParent]]</f>
        <v>1</v>
      </c>
      <c r="K2812" s="94" t="str">
        <f>IF(Proc[[#This Row],[Author]]="Marcela Urrego",VLOOKUP(LEFT(Proc[[#This Row],[Requested]],1),Table3[#All],2,0),VLOOKUP(Proc[[#This Row],[Author]],Table4[],2,0))</f>
        <v>MGF</v>
      </c>
      <c r="L2812" s="125" t="s">
        <v>4897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19</v>
      </c>
      <c r="R2812" s="110" t="s">
        <v>485</v>
      </c>
      <c r="S2812" s="94"/>
    </row>
    <row r="2813" spans="1:19" hidden="1">
      <c r="A2813" t="s">
        <v>4758</v>
      </c>
      <c r="B2813" s="94" t="str">
        <f>IFERROR(VLOOKUP(Proc[[#This Row],[App]],Table2[],3,0),"open")</f>
        <v>ok</v>
      </c>
      <c r="C2813" s="103" t="s">
        <v>369</v>
      </c>
      <c r="D2813" t="s">
        <v>4759</v>
      </c>
      <c r="E2813" t="s">
        <v>4767</v>
      </c>
      <c r="F2813" s="117" t="s">
        <v>4767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4788</v>
      </c>
      <c r="J2813" s="94" t="b">
        <f>Proc[[#This Row],[Requested]]=Proc[[#This Row],[CurrentParent]]</f>
        <v>1</v>
      </c>
      <c r="K2813" s="94" t="str">
        <f>IF(Proc[[#This Row],[Author]]="Marcela Urrego",VLOOKUP(LEFT(Proc[[#This Row],[Requested]],1),Table3[#All],2,0),VLOOKUP(Proc[[#This Row],[Author]],Table4[],2,0))</f>
        <v>HC</v>
      </c>
      <c r="L2813" s="125" t="s">
        <v>4897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19</v>
      </c>
      <c r="R2813" s="110" t="s">
        <v>410</v>
      </c>
      <c r="S2813" s="94"/>
    </row>
    <row r="2814" spans="1:19" hidden="1">
      <c r="A2814" s="103" t="s">
        <v>4758</v>
      </c>
      <c r="B2814" s="94" t="str">
        <f>IFERROR(VLOOKUP(Proc[[#This Row],[App]],Table2[],3,0),"open")</f>
        <v>ok</v>
      </c>
      <c r="C2814" s="117" t="s">
        <v>369</v>
      </c>
      <c r="D2814" t="s">
        <v>4760</v>
      </c>
      <c r="E2814" t="s">
        <v>4767</v>
      </c>
      <c r="F2814" s="117" t="s">
        <v>4767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4788</v>
      </c>
      <c r="J2814" s="94" t="b">
        <f>Proc[[#This Row],[Requested]]=Proc[[#This Row],[CurrentParent]]</f>
        <v>1</v>
      </c>
      <c r="K2814" s="94" t="str">
        <f>IF(Proc[[#This Row],[Author]]="Marcela Urrego",VLOOKUP(LEFT(Proc[[#This Row],[Requested]],1),Table3[#All],2,0),VLOOKUP(Proc[[#This Row],[Author]],Table4[],2,0))</f>
        <v>HC</v>
      </c>
      <c r="L2814" s="125" t="s">
        <v>4897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19</v>
      </c>
      <c r="R2814" s="110" t="s">
        <v>410</v>
      </c>
      <c r="S2814" s="94"/>
    </row>
    <row r="2815" spans="1:19" hidden="1">
      <c r="A2815" s="103" t="s">
        <v>4758</v>
      </c>
      <c r="B2815" s="94" t="str">
        <f>IFERROR(VLOOKUP(Proc[[#This Row],[App]],Table2[],3,0),"open")</f>
        <v>ok</v>
      </c>
      <c r="C2815" s="117" t="s">
        <v>369</v>
      </c>
      <c r="D2815" t="s">
        <v>4761</v>
      </c>
      <c r="E2815" t="s">
        <v>4767</v>
      </c>
      <c r="F2815" s="117" t="s">
        <v>4767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4788</v>
      </c>
      <c r="J2815" s="94" t="b">
        <f>Proc[[#This Row],[Requested]]=Proc[[#This Row],[CurrentParent]]</f>
        <v>1</v>
      </c>
      <c r="K2815" s="94" t="str">
        <f>IF(Proc[[#This Row],[Author]]="Marcela Urrego",VLOOKUP(LEFT(Proc[[#This Row],[Requested]],1),Table3[#All],2,0),VLOOKUP(Proc[[#This Row],[Author]],Table4[],2,0))</f>
        <v>HC</v>
      </c>
      <c r="L2815" s="125" t="s">
        <v>4897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19</v>
      </c>
      <c r="R2815" s="110" t="s">
        <v>410</v>
      </c>
      <c r="S2815" s="94"/>
    </row>
    <row r="2816" spans="1:19" hidden="1">
      <c r="A2816" s="103" t="s">
        <v>4758</v>
      </c>
      <c r="B2816" s="94" t="str">
        <f>IFERROR(VLOOKUP(Proc[[#This Row],[App]],Table2[],3,0),"open")</f>
        <v>ok</v>
      </c>
      <c r="C2816" s="117" t="s">
        <v>369</v>
      </c>
      <c r="D2816" t="s">
        <v>4762</v>
      </c>
      <c r="E2816" t="s">
        <v>4767</v>
      </c>
      <c r="F2816" s="117" t="s">
        <v>4767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4788</v>
      </c>
      <c r="J2816" s="94" t="b">
        <f>Proc[[#This Row],[Requested]]=Proc[[#This Row],[CurrentParent]]</f>
        <v>1</v>
      </c>
      <c r="K2816" s="94" t="str">
        <f>IF(Proc[[#This Row],[Author]]="Marcela Urrego",VLOOKUP(LEFT(Proc[[#This Row],[Requested]],1),Table3[#All],2,0),VLOOKUP(Proc[[#This Row],[Author]],Table4[],2,0))</f>
        <v>HC</v>
      </c>
      <c r="L2816" s="125" t="s">
        <v>4897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19</v>
      </c>
      <c r="R2816" s="110" t="s">
        <v>410</v>
      </c>
      <c r="S2816" s="94"/>
    </row>
    <row r="2817" spans="1:19" hidden="1">
      <c r="A2817" s="103" t="s">
        <v>4758</v>
      </c>
      <c r="B2817" s="94" t="str">
        <f>IFERROR(VLOOKUP(Proc[[#This Row],[App]],Table2[],3,0),"open")</f>
        <v>ok</v>
      </c>
      <c r="C2817" s="117" t="s">
        <v>369</v>
      </c>
      <c r="D2817" t="s">
        <v>4763</v>
      </c>
      <c r="E2817" t="s">
        <v>4767</v>
      </c>
      <c r="F2817" s="117" t="s">
        <v>4767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4788</v>
      </c>
      <c r="J2817" s="94" t="b">
        <f>Proc[[#This Row],[Requested]]=Proc[[#This Row],[CurrentParent]]</f>
        <v>1</v>
      </c>
      <c r="K2817" s="94" t="str">
        <f>IF(Proc[[#This Row],[Author]]="Marcela Urrego",VLOOKUP(LEFT(Proc[[#This Row],[Requested]],1),Table3[#All],2,0),VLOOKUP(Proc[[#This Row],[Author]],Table4[],2,0))</f>
        <v>HC</v>
      </c>
      <c r="L2817" s="125" t="s">
        <v>4897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19</v>
      </c>
      <c r="R2817" s="110" t="s">
        <v>410</v>
      </c>
      <c r="S2817" s="94"/>
    </row>
    <row r="2818" spans="1:19" hidden="1">
      <c r="A2818" s="103" t="s">
        <v>4758</v>
      </c>
      <c r="B2818" s="94" t="str">
        <f>IFERROR(VLOOKUP(Proc[[#This Row],[App]],Table2[],3,0),"open")</f>
        <v>ok</v>
      </c>
      <c r="C2818" s="117" t="s">
        <v>369</v>
      </c>
      <c r="D2818" t="s">
        <v>4764</v>
      </c>
      <c r="E2818" t="s">
        <v>4767</v>
      </c>
      <c r="F2818" s="117" t="s">
        <v>4767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4788</v>
      </c>
      <c r="J2818" s="94" t="b">
        <f>Proc[[#This Row],[Requested]]=Proc[[#This Row],[CurrentParent]]</f>
        <v>1</v>
      </c>
      <c r="K2818" s="94" t="str">
        <f>IF(Proc[[#This Row],[Author]]="Marcela Urrego",VLOOKUP(LEFT(Proc[[#This Row],[Requested]],1),Table3[#All],2,0),VLOOKUP(Proc[[#This Row],[Author]],Table4[],2,0))</f>
        <v>HC</v>
      </c>
      <c r="L2818" s="125" t="s">
        <v>4897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19</v>
      </c>
      <c r="R2818" s="110" t="s">
        <v>410</v>
      </c>
      <c r="S2818" s="94"/>
    </row>
    <row r="2819" spans="1:19" hidden="1">
      <c r="A2819" s="103" t="s">
        <v>4758</v>
      </c>
      <c r="B2819" s="94" t="str">
        <f>IFERROR(VLOOKUP(Proc[[#This Row],[App]],Table2[],3,0),"open")</f>
        <v>ok</v>
      </c>
      <c r="C2819" s="117" t="s">
        <v>369</v>
      </c>
      <c r="D2819" t="s">
        <v>4765</v>
      </c>
      <c r="E2819" t="s">
        <v>4767</v>
      </c>
      <c r="F2819" s="117" t="s">
        <v>4767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94" t="str">
        <f>IF(Proc[[#This Row],[Author]]="Marcela Urrego",VLOOKUP(LEFT(Proc[[#This Row],[Requested]],1),Table3[#All],2,0),VLOOKUP(Proc[[#This Row],[Author]],Table4[],2,0))</f>
        <v>HC</v>
      </c>
      <c r="L2819" s="125" t="s">
        <v>4897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19</v>
      </c>
      <c r="R2819" s="110" t="s">
        <v>410</v>
      </c>
      <c r="S2819" s="94"/>
    </row>
    <row r="2820" spans="1:19" hidden="1">
      <c r="A2820" s="103" t="s">
        <v>4758</v>
      </c>
      <c r="B2820" s="94" t="str">
        <f>IFERROR(VLOOKUP(Proc[[#This Row],[App]],Table2[],3,0),"open")</f>
        <v>ok</v>
      </c>
      <c r="C2820" s="117" t="s">
        <v>369</v>
      </c>
      <c r="D2820" t="s">
        <v>4766</v>
      </c>
      <c r="E2820" t="s">
        <v>4767</v>
      </c>
      <c r="F2820" s="117" t="s">
        <v>4767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94" t="str">
        <f>IF(Proc[[#This Row],[Author]]="Marcela Urrego",VLOOKUP(LEFT(Proc[[#This Row],[Requested]],1),Table3[#All],2,0),VLOOKUP(Proc[[#This Row],[Author]],Table4[],2,0))</f>
        <v>HC</v>
      </c>
      <c r="L2820" s="125" t="s">
        <v>4897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19</v>
      </c>
      <c r="R2820" s="110" t="s">
        <v>410</v>
      </c>
      <c r="S2820" s="94"/>
    </row>
    <row r="2821" spans="1:19" hidden="1">
      <c r="A2821" t="s">
        <v>4768</v>
      </c>
      <c r="B2821" s="94" t="str">
        <f>IFERROR(VLOOKUP(Proc[[#This Row],[App]],Table2[],3,0),"open")</f>
        <v>ok</v>
      </c>
      <c r="C2821" s="103" t="s">
        <v>369</v>
      </c>
      <c r="D2821" t="s">
        <v>4769</v>
      </c>
      <c r="E2821" t="s">
        <v>4780</v>
      </c>
      <c r="F2821" s="117" t="s">
        <v>4780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4788</v>
      </c>
      <c r="J2821" s="94" t="b">
        <f>Proc[[#This Row],[Requested]]=Proc[[#This Row],[CurrentParent]]</f>
        <v>1</v>
      </c>
      <c r="K2821" s="94" t="str">
        <f>IF(Proc[[#This Row],[Author]]="Marcela Urrego",VLOOKUP(LEFT(Proc[[#This Row],[Requested]],1),Table3[#All],2,0),VLOOKUP(Proc[[#This Row],[Author]],Table4[],2,0))</f>
        <v>MGF</v>
      </c>
      <c r="L2821" s="125" t="s">
        <v>4897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19</v>
      </c>
      <c r="R2821" s="94" t="s">
        <v>515</v>
      </c>
      <c r="S2821" s="94"/>
    </row>
    <row r="2822" spans="1:19" hidden="1">
      <c r="A2822" s="103" t="s">
        <v>4768</v>
      </c>
      <c r="B2822" s="94" t="str">
        <f>IFERROR(VLOOKUP(Proc[[#This Row],[App]],Table2[],3,0),"open")</f>
        <v>ok</v>
      </c>
      <c r="C2822" s="117" t="s">
        <v>369</v>
      </c>
      <c r="D2822" t="s">
        <v>4770</v>
      </c>
      <c r="E2822" t="s">
        <v>4780</v>
      </c>
      <c r="F2822" s="117" t="s">
        <v>4780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4788</v>
      </c>
      <c r="J2822" s="94" t="b">
        <f>Proc[[#This Row],[Requested]]=Proc[[#This Row],[CurrentParent]]</f>
        <v>1</v>
      </c>
      <c r="K2822" s="94" t="str">
        <f>IF(Proc[[#This Row],[Author]]="Marcela Urrego",VLOOKUP(LEFT(Proc[[#This Row],[Requested]],1),Table3[#All],2,0),VLOOKUP(Proc[[#This Row],[Author]],Table4[],2,0))</f>
        <v>MGF</v>
      </c>
      <c r="L2822" s="125" t="s">
        <v>4897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19</v>
      </c>
      <c r="R2822" s="94" t="s">
        <v>515</v>
      </c>
      <c r="S2822" s="94"/>
    </row>
    <row r="2823" spans="1:19" hidden="1">
      <c r="A2823" s="103" t="s">
        <v>4768</v>
      </c>
      <c r="B2823" s="94" t="str">
        <f>IFERROR(VLOOKUP(Proc[[#This Row],[App]],Table2[],3,0),"open")</f>
        <v>ok</v>
      </c>
      <c r="C2823" s="117" t="s">
        <v>369</v>
      </c>
      <c r="D2823" t="s">
        <v>4771</v>
      </c>
      <c r="E2823" t="s">
        <v>4780</v>
      </c>
      <c r="F2823" s="117" t="s">
        <v>4780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4788</v>
      </c>
      <c r="J2823" s="94" t="b">
        <f>Proc[[#This Row],[Requested]]=Proc[[#This Row],[CurrentParent]]</f>
        <v>1</v>
      </c>
      <c r="K2823" s="94" t="str">
        <f>IF(Proc[[#This Row],[Author]]="Marcela Urrego",VLOOKUP(LEFT(Proc[[#This Row],[Requested]],1),Table3[#All],2,0),VLOOKUP(Proc[[#This Row],[Author]],Table4[],2,0))</f>
        <v>MGF</v>
      </c>
      <c r="L2823" s="125" t="s">
        <v>4897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19</v>
      </c>
      <c r="R2823" s="94" t="s">
        <v>515</v>
      </c>
      <c r="S2823" s="94"/>
    </row>
    <row r="2824" spans="1:19" hidden="1">
      <c r="A2824" s="103" t="s">
        <v>4768</v>
      </c>
      <c r="B2824" s="94" t="str">
        <f>IFERROR(VLOOKUP(Proc[[#This Row],[App]],Table2[],3,0),"open")</f>
        <v>ok</v>
      </c>
      <c r="C2824" s="117" t="s">
        <v>369</v>
      </c>
      <c r="D2824" t="s">
        <v>4772</v>
      </c>
      <c r="E2824" t="s">
        <v>4781</v>
      </c>
      <c r="F2824" s="117" t="s">
        <v>4781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4788</v>
      </c>
      <c r="J2824" s="94" t="b">
        <f>Proc[[#This Row],[Requested]]=Proc[[#This Row],[CurrentParent]]</f>
        <v>1</v>
      </c>
      <c r="K2824" s="94" t="str">
        <f>IF(Proc[[#This Row],[Author]]="Marcela Urrego",VLOOKUP(LEFT(Proc[[#This Row],[Requested]],1),Table3[#All],2,0),VLOOKUP(Proc[[#This Row],[Author]],Table4[],2,0))</f>
        <v>MGF</v>
      </c>
      <c r="L2824" s="125" t="s">
        <v>4897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19</v>
      </c>
      <c r="R2824" s="94" t="s">
        <v>515</v>
      </c>
      <c r="S2824" s="94"/>
    </row>
    <row r="2825" spans="1:19" hidden="1">
      <c r="A2825" s="103" t="s">
        <v>4768</v>
      </c>
      <c r="B2825" s="94" t="str">
        <f>IFERROR(VLOOKUP(Proc[[#This Row],[App]],Table2[],3,0),"open")</f>
        <v>ok</v>
      </c>
      <c r="C2825" s="117" t="s">
        <v>369</v>
      </c>
      <c r="D2825" t="s">
        <v>4773</v>
      </c>
      <c r="E2825" t="s">
        <v>4780</v>
      </c>
      <c r="F2825" s="117" t="s">
        <v>4780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4788</v>
      </c>
      <c r="J2825" s="94" t="b">
        <f>Proc[[#This Row],[Requested]]=Proc[[#This Row],[CurrentParent]]</f>
        <v>1</v>
      </c>
      <c r="K2825" s="94" t="str">
        <f>IF(Proc[[#This Row],[Author]]="Marcela Urrego",VLOOKUP(LEFT(Proc[[#This Row],[Requested]],1),Table3[#All],2,0),VLOOKUP(Proc[[#This Row],[Author]],Table4[],2,0))</f>
        <v>MGF</v>
      </c>
      <c r="L2825" s="125" t="s">
        <v>4897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19</v>
      </c>
      <c r="R2825" s="94" t="s">
        <v>515</v>
      </c>
      <c r="S2825" s="94"/>
    </row>
    <row r="2826" spans="1:19" hidden="1">
      <c r="A2826" s="103" t="s">
        <v>4768</v>
      </c>
      <c r="B2826" s="94" t="str">
        <f>IFERROR(VLOOKUP(Proc[[#This Row],[App]],Table2[],3,0),"open")</f>
        <v>ok</v>
      </c>
      <c r="C2826" s="117" t="s">
        <v>369</v>
      </c>
      <c r="D2826" t="s">
        <v>4774</v>
      </c>
      <c r="E2826" t="s">
        <v>4780</v>
      </c>
      <c r="F2826" s="117" t="s">
        <v>4780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4788</v>
      </c>
      <c r="J2826" s="94" t="b">
        <f>Proc[[#This Row],[Requested]]=Proc[[#This Row],[CurrentParent]]</f>
        <v>1</v>
      </c>
      <c r="K2826" s="94" t="str">
        <f>IF(Proc[[#This Row],[Author]]="Marcela Urrego",VLOOKUP(LEFT(Proc[[#This Row],[Requested]],1),Table3[#All],2,0),VLOOKUP(Proc[[#This Row],[Author]],Table4[],2,0))</f>
        <v>MGF</v>
      </c>
      <c r="L2826" s="125" t="s">
        <v>4897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19</v>
      </c>
      <c r="R2826" s="94" t="s">
        <v>515</v>
      </c>
      <c r="S2826" s="94"/>
    </row>
    <row r="2827" spans="1:19" hidden="1">
      <c r="A2827" s="103" t="s">
        <v>4768</v>
      </c>
      <c r="B2827" s="94" t="str">
        <f>IFERROR(VLOOKUP(Proc[[#This Row],[App]],Table2[],3,0),"open")</f>
        <v>ok</v>
      </c>
      <c r="C2827" s="117" t="s">
        <v>369</v>
      </c>
      <c r="D2827" t="s">
        <v>4775</v>
      </c>
      <c r="E2827" t="s">
        <v>4780</v>
      </c>
      <c r="F2827" s="117" t="s">
        <v>4780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4788</v>
      </c>
      <c r="J2827" s="94" t="b">
        <f>Proc[[#This Row],[Requested]]=Proc[[#This Row],[CurrentParent]]</f>
        <v>1</v>
      </c>
      <c r="K2827" s="94" t="str">
        <f>IF(Proc[[#This Row],[Author]]="Marcela Urrego",VLOOKUP(LEFT(Proc[[#This Row],[Requested]],1),Table3[#All],2,0),VLOOKUP(Proc[[#This Row],[Author]],Table4[],2,0))</f>
        <v>MGF</v>
      </c>
      <c r="L2827" s="125" t="s">
        <v>4897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19</v>
      </c>
      <c r="R2827" s="94" t="s">
        <v>515</v>
      </c>
      <c r="S2827" s="94"/>
    </row>
    <row r="2828" spans="1:19" hidden="1">
      <c r="A2828" s="103" t="s">
        <v>4768</v>
      </c>
      <c r="B2828" s="94" t="str">
        <f>IFERROR(VLOOKUP(Proc[[#This Row],[App]],Table2[],3,0),"open")</f>
        <v>ok</v>
      </c>
      <c r="C2828" s="117" t="s">
        <v>369</v>
      </c>
      <c r="D2828" t="s">
        <v>4776</v>
      </c>
      <c r="E2828" t="s">
        <v>4780</v>
      </c>
      <c r="F2828" s="117" t="s">
        <v>4780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4788</v>
      </c>
      <c r="J2828" s="94" t="b">
        <f>Proc[[#This Row],[Requested]]=Proc[[#This Row],[CurrentParent]]</f>
        <v>1</v>
      </c>
      <c r="K2828" s="94" t="str">
        <f>IF(Proc[[#This Row],[Author]]="Marcela Urrego",VLOOKUP(LEFT(Proc[[#This Row],[Requested]],1),Table3[#All],2,0),VLOOKUP(Proc[[#This Row],[Author]],Table4[],2,0))</f>
        <v>MGF</v>
      </c>
      <c r="L2828" s="125" t="s">
        <v>4897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19</v>
      </c>
      <c r="R2828" s="94" t="s">
        <v>515</v>
      </c>
      <c r="S2828" s="94"/>
    </row>
    <row r="2829" spans="1:19" hidden="1">
      <c r="A2829" s="103" t="s">
        <v>4768</v>
      </c>
      <c r="B2829" s="94" t="str">
        <f>IFERROR(VLOOKUP(Proc[[#This Row],[App]],Table2[],3,0),"open")</f>
        <v>ok</v>
      </c>
      <c r="C2829" s="117" t="s">
        <v>369</v>
      </c>
      <c r="D2829" t="s">
        <v>4777</v>
      </c>
      <c r="E2829" t="s">
        <v>4780</v>
      </c>
      <c r="F2829" s="117" t="s">
        <v>4780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4788</v>
      </c>
      <c r="J2829" s="94" t="b">
        <f>Proc[[#This Row],[Requested]]=Proc[[#This Row],[CurrentParent]]</f>
        <v>1</v>
      </c>
      <c r="K2829" s="94" t="str">
        <f>IF(Proc[[#This Row],[Author]]="Marcela Urrego",VLOOKUP(LEFT(Proc[[#This Row],[Requested]],1),Table3[#All],2,0),VLOOKUP(Proc[[#This Row],[Author]],Table4[],2,0))</f>
        <v>MGF</v>
      </c>
      <c r="L2829" s="125" t="s">
        <v>4897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19</v>
      </c>
      <c r="R2829" s="94" t="s">
        <v>515</v>
      </c>
      <c r="S2829" s="94"/>
    </row>
    <row r="2830" spans="1:19" hidden="1">
      <c r="A2830" s="103" t="s">
        <v>4768</v>
      </c>
      <c r="B2830" s="94" t="str">
        <f>IFERROR(VLOOKUP(Proc[[#This Row],[App]],Table2[],3,0),"open")</f>
        <v>ok</v>
      </c>
      <c r="C2830" s="117" t="s">
        <v>369</v>
      </c>
      <c r="D2830" t="s">
        <v>4778</v>
      </c>
      <c r="E2830" t="s">
        <v>4780</v>
      </c>
      <c r="F2830" s="117" t="s">
        <v>4780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4788</v>
      </c>
      <c r="J2830" s="94" t="b">
        <f>Proc[[#This Row],[Requested]]=Proc[[#This Row],[CurrentParent]]</f>
        <v>1</v>
      </c>
      <c r="K2830" s="94" t="str">
        <f>IF(Proc[[#This Row],[Author]]="Marcela Urrego",VLOOKUP(LEFT(Proc[[#This Row],[Requested]],1),Table3[#All],2,0),VLOOKUP(Proc[[#This Row],[Author]],Table4[],2,0))</f>
        <v>MGF</v>
      </c>
      <c r="L2830" s="125" t="s">
        <v>4897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19</v>
      </c>
      <c r="R2830" s="94" t="s">
        <v>515</v>
      </c>
      <c r="S2830" s="94"/>
    </row>
    <row r="2831" spans="1:19" hidden="1">
      <c r="A2831" s="103" t="s">
        <v>4768</v>
      </c>
      <c r="B2831" s="94" t="str">
        <f>IFERROR(VLOOKUP(Proc[[#This Row],[App]],Table2[],3,0),"open")</f>
        <v>ok</v>
      </c>
      <c r="C2831" s="117" t="s">
        <v>369</v>
      </c>
      <c r="D2831" t="s">
        <v>4803</v>
      </c>
      <c r="E2831" t="s">
        <v>4781</v>
      </c>
      <c r="F2831" s="117" t="s">
        <v>4781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4786</v>
      </c>
      <c r="J2831" s="94" t="b">
        <f>Proc[[#This Row],[Requested]]=Proc[[#This Row],[CurrentParent]]</f>
        <v>1</v>
      </c>
      <c r="K2831" s="94" t="str">
        <f>IF(Proc[[#This Row],[Author]]="Marcela Urrego",VLOOKUP(LEFT(Proc[[#This Row],[Requested]],1),Table3[#All],2,0),VLOOKUP(Proc[[#This Row],[Author]],Table4[],2,0))</f>
        <v>MGF</v>
      </c>
      <c r="L2831" s="125" t="s">
        <v>4897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19</v>
      </c>
      <c r="R2831" s="94" t="s">
        <v>515</v>
      </c>
      <c r="S2831" s="94"/>
    </row>
    <row r="2832" spans="1:19" hidden="1">
      <c r="A2832" s="103" t="s">
        <v>4768</v>
      </c>
      <c r="B2832" s="94" t="str">
        <f>IFERROR(VLOOKUP(Proc[[#This Row],[App]],Table2[],3,0),"open")</f>
        <v>ok</v>
      </c>
      <c r="C2832" s="117" t="s">
        <v>369</v>
      </c>
      <c r="D2832" t="s">
        <v>4779</v>
      </c>
      <c r="E2832" t="s">
        <v>4780</v>
      </c>
      <c r="F2832" s="117" t="s">
        <v>4780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94" t="str">
        <f>IF(Proc[[#This Row],[Author]]="Marcela Urrego",VLOOKUP(LEFT(Proc[[#This Row],[Requested]],1),Table3[#All],2,0),VLOOKUP(Proc[[#This Row],[Author]],Table4[],2,0))</f>
        <v>MGF</v>
      </c>
      <c r="L2832" s="125" t="s">
        <v>4897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19</v>
      </c>
      <c r="R2832" s="94" t="s">
        <v>515</v>
      </c>
      <c r="S2832" s="94"/>
    </row>
    <row r="2833" spans="1:19" hidden="1">
      <c r="A2833" t="s">
        <v>4785</v>
      </c>
      <c r="B2833" s="94" t="str">
        <f>IFERROR(VLOOKUP(Proc[[#This Row],[App]],Table2[],3,0),"open")</f>
        <v>ok</v>
      </c>
      <c r="C2833" s="117" t="s">
        <v>369</v>
      </c>
      <c r="D2833" t="s">
        <v>4782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4784</v>
      </c>
      <c r="J2833" s="94" t="b">
        <f>Proc[[#This Row],[Requested]]=Proc[[#This Row],[CurrentParent]]</f>
        <v>1</v>
      </c>
      <c r="K2833" s="94" t="str">
        <f>IF(Proc[[#This Row],[Author]]="Marcela Urrego",VLOOKUP(LEFT(Proc[[#This Row],[Requested]],1),Table3[#All],2,0),VLOOKUP(Proc[[#This Row],[Author]],Table4[],2,0))</f>
        <v>EL</v>
      </c>
      <c r="L2833" s="125" t="s">
        <v>4897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19</v>
      </c>
      <c r="R2833" s="110" t="s">
        <v>780</v>
      </c>
      <c r="S2833" s="94"/>
    </row>
    <row r="2834" spans="1:19" hidden="1">
      <c r="A2834" s="103" t="s">
        <v>4785</v>
      </c>
      <c r="B2834" s="94" t="str">
        <f>IFERROR(VLOOKUP(Proc[[#This Row],[App]],Table2[],3,0),"open")</f>
        <v>ok</v>
      </c>
      <c r="C2834" t="s">
        <v>369</v>
      </c>
      <c r="D2834" t="s">
        <v>4783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4784</v>
      </c>
      <c r="J2834" s="94" t="b">
        <f>Proc[[#This Row],[Requested]]=Proc[[#This Row],[CurrentParent]]</f>
        <v>1</v>
      </c>
      <c r="K2834" s="94" t="str">
        <f>IF(Proc[[#This Row],[Author]]="Marcela Urrego",VLOOKUP(LEFT(Proc[[#This Row],[Requested]],1),Table3[#All],2,0),VLOOKUP(Proc[[#This Row],[Author]],Table4[],2,0))</f>
        <v>EL</v>
      </c>
      <c r="L2834" s="125" t="s">
        <v>4897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19</v>
      </c>
      <c r="R2834" s="110" t="s">
        <v>780</v>
      </c>
      <c r="S2834" s="94"/>
    </row>
    <row r="2835" spans="1:19" hidden="1">
      <c r="A2835" t="s">
        <v>4789</v>
      </c>
      <c r="B2835" s="94" t="str">
        <f>IFERROR(VLOOKUP(Proc[[#This Row],[App]],Table2[],3,0),"open")</f>
        <v>ok</v>
      </c>
      <c r="C2835" s="117" t="s">
        <v>369</v>
      </c>
      <c r="D2835" t="s">
        <v>4810</v>
      </c>
      <c r="E2835" t="s">
        <v>4790</v>
      </c>
      <c r="F2835" s="94" t="s">
        <v>4790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94" t="str">
        <f>IF(Proc[[#This Row],[Author]]="Marcela Urrego",VLOOKUP(LEFT(Proc[[#This Row],[Requested]],1),Table3[#All],2,0),VLOOKUP(Proc[[#This Row],[Author]],Table4[],2,0))</f>
        <v>MGF</v>
      </c>
      <c r="L2835" s="125" t="s">
        <v>4897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17</v>
      </c>
      <c r="R2835" s="110" t="s">
        <v>1459</v>
      </c>
      <c r="S2835" s="94"/>
    </row>
    <row r="2836" spans="1:19" hidden="1">
      <c r="A2836" s="114" t="s">
        <v>4791</v>
      </c>
      <c r="B2836" s="94" t="str">
        <f>IFERROR(VLOOKUP(Proc[[#This Row],[App]],Table2[],3,0),"open")</f>
        <v>ok</v>
      </c>
      <c r="C2836" s="117" t="s">
        <v>369</v>
      </c>
      <c r="D2836" s="114" t="s">
        <v>4792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94" t="str">
        <f>IF(Proc[[#This Row],[Author]]="Marcela Urrego",VLOOKUP(LEFT(Proc[[#This Row],[Requested]],1),Table3[#All],2,0),VLOOKUP(Proc[[#This Row],[Author]],Table4[],2,0))</f>
        <v>LS</v>
      </c>
      <c r="L2836" s="125" t="s">
        <v>4897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17</v>
      </c>
      <c r="R2836" s="115" t="s">
        <v>489</v>
      </c>
      <c r="S2836" s="94"/>
    </row>
    <row r="2837" spans="1:19" hidden="1">
      <c r="A2837" s="114" t="s">
        <v>4791</v>
      </c>
      <c r="B2837" s="94" t="str">
        <f>IFERROR(VLOOKUP(Proc[[#This Row],[App]],Table2[],3,0),"open")</f>
        <v>ok</v>
      </c>
      <c r="C2837" s="117" t="s">
        <v>369</v>
      </c>
      <c r="D2837" s="114" t="s">
        <v>4793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94" t="str">
        <f>IF(Proc[[#This Row],[Author]]="Marcela Urrego",VLOOKUP(LEFT(Proc[[#This Row],[Requested]],1),Table3[#All],2,0),VLOOKUP(Proc[[#This Row],[Author]],Table4[],2,0))</f>
        <v>LS</v>
      </c>
      <c r="L2837" s="125" t="s">
        <v>4897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17</v>
      </c>
      <c r="R2837" s="115" t="s">
        <v>489</v>
      </c>
      <c r="S2837" s="94"/>
    </row>
    <row r="2838" spans="1:19" hidden="1">
      <c r="A2838" s="114" t="s">
        <v>4791</v>
      </c>
      <c r="B2838" s="94" t="str">
        <f>IFERROR(VLOOKUP(Proc[[#This Row],[App]],Table2[],3,0),"open")</f>
        <v>ok</v>
      </c>
      <c r="C2838" s="114" t="s">
        <v>377</v>
      </c>
      <c r="D2838" s="114" t="s">
        <v>4794</v>
      </c>
      <c r="E2838" s="114" t="s">
        <v>417</v>
      </c>
      <c r="F2838" s="94" t="s">
        <v>4807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94" t="str">
        <f>IF(Proc[[#This Row],[Author]]="Marcela Urrego",VLOOKUP(LEFT(Proc[[#This Row],[Requested]],1),Table3[#All],2,0),VLOOKUP(Proc[[#This Row],[Author]],Table4[],2,0))</f>
        <v>LS</v>
      </c>
      <c r="L2838" s="125" t="s">
        <v>4897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17</v>
      </c>
      <c r="R2838" s="115" t="s">
        <v>489</v>
      </c>
      <c r="S2838" s="94"/>
    </row>
    <row r="2839" spans="1:19" hidden="1">
      <c r="A2839" s="114" t="s">
        <v>4791</v>
      </c>
      <c r="B2839" s="94" t="str">
        <f>IFERROR(VLOOKUP(Proc[[#This Row],[App]],Table2[],3,0),"open")</f>
        <v>ok</v>
      </c>
      <c r="C2839" s="117" t="s">
        <v>377</v>
      </c>
      <c r="D2839" s="114" t="s">
        <v>4795</v>
      </c>
      <c r="E2839" s="114" t="s">
        <v>417</v>
      </c>
      <c r="F2839" s="94" t="s">
        <v>4807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94" t="str">
        <f>IF(Proc[[#This Row],[Author]]="Marcela Urrego",VLOOKUP(LEFT(Proc[[#This Row],[Requested]],1),Table3[#All],2,0),VLOOKUP(Proc[[#This Row],[Author]],Table4[],2,0))</f>
        <v>LS</v>
      </c>
      <c r="L2839" s="125" t="s">
        <v>4897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17</v>
      </c>
      <c r="R2839" s="115" t="s">
        <v>489</v>
      </c>
      <c r="S2839" s="94"/>
    </row>
    <row r="2840" spans="1:19" hidden="1">
      <c r="A2840" s="114" t="s">
        <v>4791</v>
      </c>
      <c r="B2840" s="94" t="str">
        <f>IFERROR(VLOOKUP(Proc[[#This Row],[App]],Table2[],3,0),"open")</f>
        <v>ok</v>
      </c>
      <c r="C2840" s="117" t="s">
        <v>377</v>
      </c>
      <c r="D2840" s="114" t="s">
        <v>4796</v>
      </c>
      <c r="E2840" s="114" t="s">
        <v>417</v>
      </c>
      <c r="F2840" s="94" t="s">
        <v>4808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94" t="str">
        <f>IF(Proc[[#This Row],[Author]]="Marcela Urrego",VLOOKUP(LEFT(Proc[[#This Row],[Requested]],1),Table3[#All],2,0),VLOOKUP(Proc[[#This Row],[Author]],Table4[],2,0))</f>
        <v>LS</v>
      </c>
      <c r="L2840" s="125" t="s">
        <v>4897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17</v>
      </c>
      <c r="R2840" s="115" t="s">
        <v>489</v>
      </c>
      <c r="S2840" s="94"/>
    </row>
    <row r="2841" spans="1:19" hidden="1">
      <c r="A2841" s="114" t="s">
        <v>4791</v>
      </c>
      <c r="B2841" s="94" t="str">
        <f>IFERROR(VLOOKUP(Proc[[#This Row],[App]],Table2[],3,0),"open")</f>
        <v>ok</v>
      </c>
      <c r="C2841" s="117" t="s">
        <v>377</v>
      </c>
      <c r="D2841" s="114" t="s">
        <v>4797</v>
      </c>
      <c r="E2841" s="114" t="s">
        <v>417</v>
      </c>
      <c r="F2841" s="94" t="s">
        <v>4809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94" t="str">
        <f>IF(Proc[[#This Row],[Author]]="Marcela Urrego",VLOOKUP(LEFT(Proc[[#This Row],[Requested]],1),Table3[#All],2,0),VLOOKUP(Proc[[#This Row],[Author]],Table4[],2,0))</f>
        <v>LS</v>
      </c>
      <c r="L2841" s="125" t="s">
        <v>4897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17</v>
      </c>
      <c r="R2841" s="115" t="s">
        <v>489</v>
      </c>
      <c r="S2841" s="94"/>
    </row>
    <row r="2842" spans="1:19" hidden="1">
      <c r="A2842" s="114" t="s">
        <v>4791</v>
      </c>
      <c r="B2842" s="94" t="str">
        <f>IFERROR(VLOOKUP(Proc[[#This Row],[App]],Table2[],3,0),"open")</f>
        <v>ok</v>
      </c>
      <c r="C2842" s="117" t="s">
        <v>369</v>
      </c>
      <c r="D2842" s="114" t="s">
        <v>4798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94" t="str">
        <f>IF(Proc[[#This Row],[Author]]="Marcela Urrego",VLOOKUP(LEFT(Proc[[#This Row],[Requested]],1),Table3[#All],2,0),VLOOKUP(Proc[[#This Row],[Author]],Table4[],2,0))</f>
        <v>LS</v>
      </c>
      <c r="L2842" s="125" t="s">
        <v>4897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17</v>
      </c>
      <c r="R2842" s="115" t="s">
        <v>489</v>
      </c>
      <c r="S2842" s="94"/>
    </row>
    <row r="2843" spans="1:19" hidden="1">
      <c r="A2843" t="s">
        <v>4799</v>
      </c>
      <c r="B2843" s="94" t="str">
        <f>IFERROR(VLOOKUP(Proc[[#This Row],[App]],Table2[],3,0),"open")</f>
        <v>ok</v>
      </c>
      <c r="C2843" s="114" t="s">
        <v>369</v>
      </c>
      <c r="D2843" t="s">
        <v>4804</v>
      </c>
      <c r="E2843" t="s">
        <v>4800</v>
      </c>
      <c r="F2843" s="94" t="s">
        <v>4800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4805</v>
      </c>
      <c r="J2843" s="94" t="b">
        <f>Proc[[#This Row],[Requested]]=Proc[[#This Row],[CurrentParent]]</f>
        <v>1</v>
      </c>
      <c r="K2843" s="94" t="str">
        <f>IF(Proc[[#This Row],[Author]]="Marcela Urrego",VLOOKUP(LEFT(Proc[[#This Row],[Requested]],1),Table3[#All],2,0),VLOOKUP(Proc[[#This Row],[Author]],Table4[],2,0))</f>
        <v>LS</v>
      </c>
      <c r="L2843" s="125" t="s">
        <v>4897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17</v>
      </c>
      <c r="R2843" s="115" t="s">
        <v>489</v>
      </c>
      <c r="S2843" s="94"/>
    </row>
    <row r="2844" spans="1:19" hidden="1">
      <c r="A2844" t="s">
        <v>4802</v>
      </c>
      <c r="B2844" s="94" t="str">
        <f>IFERROR(VLOOKUP(Proc[[#This Row],[App]],Table2[],3,0),"open")</f>
        <v>ok</v>
      </c>
      <c r="C2844" s="117" t="s">
        <v>369</v>
      </c>
      <c r="D2844" s="116" t="s">
        <v>4801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94" t="str">
        <f>IF(Proc[[#This Row],[Author]]="Marcela Urrego",VLOOKUP(LEFT(Proc[[#This Row],[Requested]],1),Table3[#All],2,0),VLOOKUP(Proc[[#This Row],[Author]],Table4[],2,0))</f>
        <v>MGF</v>
      </c>
      <c r="L2844" s="125" t="s">
        <v>4897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17</v>
      </c>
      <c r="R2844" s="115" t="s">
        <v>515</v>
      </c>
      <c r="S2844" s="94"/>
    </row>
    <row r="2845" spans="1:19" hidden="1">
      <c r="A2845" t="s">
        <v>4811</v>
      </c>
      <c r="B2845" s="94" t="str">
        <f>IFERROR(VLOOKUP(Proc[[#This Row],[App]],Table2[],3,0),"open")</f>
        <v>ok</v>
      </c>
      <c r="C2845" s="117" t="s">
        <v>369</v>
      </c>
      <c r="D2845" t="s">
        <v>4812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94" t="str">
        <f>IF(Proc[[#This Row],[Author]]="Marcela Urrego",VLOOKUP(LEFT(Proc[[#This Row],[Requested]],1),Table3[#All],2,0),VLOOKUP(Proc[[#This Row],[Author]],Table4[],2,0))</f>
        <v>LS</v>
      </c>
      <c r="L2845" s="125" t="s">
        <v>4897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16</v>
      </c>
      <c r="R2845" s="115" t="s">
        <v>489</v>
      </c>
      <c r="S2845" s="94"/>
    </row>
    <row r="2846" spans="1:19" hidden="1">
      <c r="A2846" s="117" t="s">
        <v>4811</v>
      </c>
      <c r="B2846" s="94" t="str">
        <f>IFERROR(VLOOKUP(Proc[[#This Row],[App]],Table2[],3,0),"open")</f>
        <v>ok</v>
      </c>
      <c r="C2846" s="117" t="s">
        <v>369</v>
      </c>
      <c r="D2846" t="s">
        <v>4813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94" t="str">
        <f>IF(Proc[[#This Row],[Author]]="Marcela Urrego",VLOOKUP(LEFT(Proc[[#This Row],[Requested]],1),Table3[#All],2,0),VLOOKUP(Proc[[#This Row],[Author]],Table4[],2,0))</f>
        <v>LS</v>
      </c>
      <c r="L2846" s="125" t="s">
        <v>4897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16</v>
      </c>
      <c r="R2846" s="115" t="s">
        <v>489</v>
      </c>
      <c r="S2846" s="94"/>
    </row>
    <row r="2847" spans="1:19" hidden="1">
      <c r="A2847" s="117" t="s">
        <v>4811</v>
      </c>
      <c r="B2847" s="94" t="str">
        <f>IFERROR(VLOOKUP(Proc[[#This Row],[App]],Table2[],3,0),"open")</f>
        <v>ok</v>
      </c>
      <c r="C2847" s="117" t="s">
        <v>369</v>
      </c>
      <c r="D2847" t="s">
        <v>4814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94" t="str">
        <f>IF(Proc[[#This Row],[Author]]="Marcela Urrego",VLOOKUP(LEFT(Proc[[#This Row],[Requested]],1),Table3[#All],2,0),VLOOKUP(Proc[[#This Row],[Author]],Table4[],2,0))</f>
        <v>LS</v>
      </c>
      <c r="L2847" s="125" t="s">
        <v>4897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16</v>
      </c>
      <c r="R2847" s="115" t="s">
        <v>489</v>
      </c>
      <c r="S2847" s="94"/>
    </row>
    <row r="2848" spans="1:19" hidden="1">
      <c r="A2848" t="s">
        <v>4815</v>
      </c>
      <c r="B2848" s="94" t="str">
        <f>IFERROR(VLOOKUP(Proc[[#This Row],[App]],Table2[],3,0),"open")</f>
        <v>ok</v>
      </c>
      <c r="C2848" s="117" t="s">
        <v>369</v>
      </c>
      <c r="D2848" t="s">
        <v>4824</v>
      </c>
      <c r="E2848" s="94" t="s">
        <v>4816</v>
      </c>
      <c r="F2848" s="94" t="s">
        <v>4816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94" t="str">
        <f>IF(Proc[[#This Row],[Author]]="Marcela Urrego",VLOOKUP(LEFT(Proc[[#This Row],[Requested]],1),Table3[#All],2,0),VLOOKUP(Proc[[#This Row],[Author]],Table4[],2,0))</f>
        <v>LS</v>
      </c>
      <c r="L2848" s="125" t="s">
        <v>4897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15</v>
      </c>
      <c r="R2848" s="115" t="s">
        <v>4823</v>
      </c>
      <c r="S2848" s="94"/>
    </row>
    <row r="2849" spans="1:19" hidden="1">
      <c r="A2849" t="s">
        <v>4817</v>
      </c>
      <c r="B2849" s="94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94" t="str">
        <f>IF(Proc[[#This Row],[Author]]="Marcela Urrego",VLOOKUP(LEFT(Proc[[#This Row],[Requested]],1),Table3[#All],2,0),VLOOKUP(Proc[[#This Row],[Author]],Table4[],2,0))</f>
        <v>LS</v>
      </c>
      <c r="L2849" s="125" t="s">
        <v>4897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15</v>
      </c>
      <c r="R2849" s="115" t="s">
        <v>4822</v>
      </c>
      <c r="S2849" s="94"/>
    </row>
    <row r="2850" spans="1:19" hidden="1">
      <c r="A2850" s="117" t="s">
        <v>4817</v>
      </c>
      <c r="B2850" s="94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94" t="str">
        <f>IF(Proc[[#This Row],[Author]]="Marcela Urrego",VLOOKUP(LEFT(Proc[[#This Row],[Requested]],1),Table3[#All],2,0),VLOOKUP(Proc[[#This Row],[Author]],Table4[],2,0))</f>
        <v>LS</v>
      </c>
      <c r="L2850" s="125" t="s">
        <v>4897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15</v>
      </c>
      <c r="R2850" s="115" t="s">
        <v>4822</v>
      </c>
      <c r="S2850" s="94"/>
    </row>
    <row r="2851" spans="1:19" hidden="1">
      <c r="A2851" s="117" t="s">
        <v>4817</v>
      </c>
      <c r="B2851" s="94" t="str">
        <f>IFERROR(VLOOKUP(Proc[[#This Row],[App]],Table2[],3,0),"open")</f>
        <v>ok</v>
      </c>
      <c r="C2851" s="117" t="s">
        <v>369</v>
      </c>
      <c r="D2851" t="s">
        <v>4825</v>
      </c>
      <c r="E2851" t="s">
        <v>4818</v>
      </c>
      <c r="F2851" s="94" t="s">
        <v>4818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94" t="str">
        <f>IF(Proc[[#This Row],[Author]]="Marcela Urrego",VLOOKUP(LEFT(Proc[[#This Row],[Requested]],1),Table3[#All],2,0),VLOOKUP(Proc[[#This Row],[Author]],Table4[],2,0))</f>
        <v>LS</v>
      </c>
      <c r="L2851" s="125" t="s">
        <v>4897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15</v>
      </c>
      <c r="R2851" s="115" t="s">
        <v>4822</v>
      </c>
      <c r="S2851" s="94"/>
    </row>
    <row r="2852" spans="1:19" hidden="1">
      <c r="A2852" t="s">
        <v>4819</v>
      </c>
      <c r="B2852" s="94" t="str">
        <f>IFERROR(VLOOKUP(Proc[[#This Row],[App]],Table2[],3,0),"open")</f>
        <v>ok</v>
      </c>
      <c r="C2852" s="117" t="s">
        <v>369</v>
      </c>
      <c r="D2852" t="s">
        <v>4820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94" t="str">
        <f>IF(Proc[[#This Row],[Author]]="Marcela Urrego",VLOOKUP(LEFT(Proc[[#This Row],[Requested]],1),Table3[#All],2,0),VLOOKUP(Proc[[#This Row],[Author]],Table4[],2,0))</f>
        <v>MGF</v>
      </c>
      <c r="L2852" s="125" t="s">
        <v>4897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15</v>
      </c>
      <c r="R2852" s="115" t="s">
        <v>481</v>
      </c>
      <c r="S2852" s="94"/>
    </row>
    <row r="2853" spans="1:19" hidden="1">
      <c r="A2853" s="117" t="s">
        <v>4819</v>
      </c>
      <c r="B2853" s="94" t="str">
        <f>IFERROR(VLOOKUP(Proc[[#This Row],[App]],Table2[],3,0),"open")</f>
        <v>ok</v>
      </c>
      <c r="C2853" s="117" t="s">
        <v>369</v>
      </c>
      <c r="D2853" t="s">
        <v>4821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94" t="str">
        <f>IF(Proc[[#This Row],[Author]]="Marcela Urrego",VLOOKUP(LEFT(Proc[[#This Row],[Requested]],1),Table3[#All],2,0),VLOOKUP(Proc[[#This Row],[Author]],Table4[],2,0))</f>
        <v>MGF</v>
      </c>
      <c r="L2853" s="125" t="s">
        <v>4897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15</v>
      </c>
      <c r="R2853" s="115" t="s">
        <v>481</v>
      </c>
      <c r="S2853" s="94"/>
    </row>
    <row r="2854" spans="1:19" hidden="1">
      <c r="A2854" t="s">
        <v>4826</v>
      </c>
      <c r="B2854" s="94" t="str">
        <f>IFERROR(VLOOKUP(Proc[[#This Row],[App]],Table2[],3,0),"open")</f>
        <v>ok</v>
      </c>
      <c r="C2854" s="117" t="s">
        <v>369</v>
      </c>
      <c r="D2854" s="99" t="s">
        <v>4827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94" t="str">
        <f>IF(Proc[[#This Row],[Author]]="Marcela Urrego",VLOOKUP(LEFT(Proc[[#This Row],[Requested]],1),Table3[#All],2,0),VLOOKUP(Proc[[#This Row],[Author]],Table4[],2,0))</f>
        <v>HC</v>
      </c>
      <c r="L2854" s="125" t="s">
        <v>4897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14</v>
      </c>
      <c r="R2854" s="115" t="s">
        <v>410</v>
      </c>
      <c r="S2854" s="94"/>
    </row>
    <row r="2855" spans="1:19" hidden="1">
      <c r="A2855" t="s">
        <v>4828</v>
      </c>
      <c r="B2855" s="94" t="str">
        <f>IFERROR(VLOOKUP(Proc[[#This Row],[App]],Table2[],3,0),"open")</f>
        <v>ok</v>
      </c>
      <c r="C2855" s="117" t="s">
        <v>369</v>
      </c>
      <c r="D2855" t="s">
        <v>4829</v>
      </c>
      <c r="E2855" t="s">
        <v>4830</v>
      </c>
      <c r="F2855" s="117" t="s">
        <v>4830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94" t="str">
        <f>IF(Proc[[#This Row],[Author]]="Marcela Urrego",VLOOKUP(LEFT(Proc[[#This Row],[Requested]],1),Table3[#All],2,0),VLOOKUP(Proc[[#This Row],[Author]],Table4[],2,0))</f>
        <v>LS</v>
      </c>
      <c r="L2855" s="125" t="s">
        <v>4897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14</v>
      </c>
      <c r="R2855" s="115" t="s">
        <v>4822</v>
      </c>
      <c r="S2855" s="94"/>
    </row>
    <row r="2856" spans="1:19" hidden="1">
      <c r="A2856" t="s">
        <v>4833</v>
      </c>
      <c r="B2856" s="94" t="str">
        <f>IFERROR(VLOOKUP(Proc[[#This Row],[App]],Table2[],3,0),"open")</f>
        <v>ok</v>
      </c>
      <c r="C2856" t="s">
        <v>369</v>
      </c>
      <c r="D2856" t="s">
        <v>4834</v>
      </c>
      <c r="E2856" t="s">
        <v>4832</v>
      </c>
      <c r="F2856" s="120" t="e">
        <v>#N/A</v>
      </c>
      <c r="G2856" s="117" t="s">
        <v>406</v>
      </c>
      <c r="H2856" s="94" t="str">
        <f>IF(Proc[[#This Row],[type]]="LFF (MDG-F)",MID(Proc[[#This Row],[Obj]],13,10),"")</f>
        <v>DE50O00001</v>
      </c>
      <c r="J2856" s="94" t="e">
        <f>Proc[[#This Row],[Requested]]=Proc[[#This Row],[CurrentParent]]</f>
        <v>#N/A</v>
      </c>
      <c r="K2856" s="94" t="str">
        <f>IF(Proc[[#This Row],[Author]]="Marcela Urrego",VLOOKUP(LEFT(Proc[[#This Row],[Requested]],1),Table3[#All],2,0),VLOOKUP(Proc[[#This Row],[Author]],Table4[],2,0))</f>
        <v>HC</v>
      </c>
      <c r="L2856" s="125" t="s">
        <v>4897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12</v>
      </c>
      <c r="R2856" s="115" t="s">
        <v>410</v>
      </c>
      <c r="S2856" s="94"/>
    </row>
    <row r="2857" spans="1:19" hidden="1">
      <c r="A2857" t="s">
        <v>4837</v>
      </c>
      <c r="B2857" s="120" t="str">
        <f>IFERROR(VLOOKUP(Proc[[#This Row],[App]],Table2[],3,0),"open")</f>
        <v>ok</v>
      </c>
      <c r="C2857" s="121" t="s">
        <v>369</v>
      </c>
      <c r="D2857" s="119" t="s">
        <v>4842</v>
      </c>
      <c r="E2857" t="s">
        <v>4836</v>
      </c>
      <c r="F2857" s="120" t="e">
        <v>#N/A</v>
      </c>
      <c r="G2857" t="s">
        <v>400</v>
      </c>
      <c r="H2857" s="120" t="str">
        <f>IF(Proc[[#This Row],[type]]="LFF (MDG-F)",MID(Proc[[#This Row],[Obj]],13,10),"")</f>
        <v/>
      </c>
      <c r="J2857" s="120" t="e">
        <f>Proc[[#This Row],[Requested]]=Proc[[#This Row],[CurrentParent]]</f>
        <v>#N/A</v>
      </c>
      <c r="K2857" s="120" t="str">
        <f>IF(Proc[[#This Row],[Author]]="Marcela Urrego",VLOOKUP(LEFT(Proc[[#This Row],[Requested]],1),Table3[#All],2,0),VLOOKUP(Proc[[#This Row],[Author]],Table4[],2,0))</f>
        <v>HC</v>
      </c>
      <c r="L2857" s="125" t="s">
        <v>4897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11</v>
      </c>
      <c r="R2857" s="115" t="s">
        <v>410</v>
      </c>
      <c r="S2857" s="120"/>
    </row>
    <row r="2858" spans="1:19" hidden="1">
      <c r="A2858" t="s">
        <v>4841</v>
      </c>
      <c r="B2858" s="120" t="str">
        <f>IFERROR(VLOOKUP(Proc[[#This Row],[App]],Table2[],3,0),"open")</f>
        <v>ok</v>
      </c>
      <c r="C2858" s="121" t="s">
        <v>369</v>
      </c>
      <c r="D2858" t="s">
        <v>4838</v>
      </c>
      <c r="E2858" t="s">
        <v>1214</v>
      </c>
      <c r="F2858" s="120" t="e">
        <v>#N/A</v>
      </c>
      <c r="G2858" s="119" t="s">
        <v>400</v>
      </c>
      <c r="H2858" s="120" t="str">
        <f>IF(Proc[[#This Row],[type]]="LFF (MDG-F)",MID(Proc[[#This Row],[Obj]],13,10),"")</f>
        <v/>
      </c>
      <c r="J2858" s="120" t="e">
        <f>Proc[[#This Row],[Requested]]=Proc[[#This Row],[CurrentParent]]</f>
        <v>#N/A</v>
      </c>
      <c r="K2858" s="120" t="str">
        <f>IF(Proc[[#This Row],[Author]]="Marcela Urrego",VLOOKUP(LEFT(Proc[[#This Row],[Requested]],1),Table3[#All],2,0),VLOOKUP(Proc[[#This Row],[Author]],Table4[],2,0))</f>
        <v>EL</v>
      </c>
      <c r="L2858" s="125" t="s">
        <v>4897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11</v>
      </c>
      <c r="R2858" s="115" t="s">
        <v>780</v>
      </c>
      <c r="S2858" s="120"/>
    </row>
    <row r="2859" spans="1:19" hidden="1">
      <c r="A2859" s="119" t="s">
        <v>4841</v>
      </c>
      <c r="B2859" s="120" t="str">
        <f>IFERROR(VLOOKUP(Proc[[#This Row],[App]],Table2[],3,0),"open")</f>
        <v>ok</v>
      </c>
      <c r="C2859" s="121" t="s">
        <v>369</v>
      </c>
      <c r="D2859" t="s">
        <v>4839</v>
      </c>
      <c r="E2859" t="s">
        <v>4840</v>
      </c>
      <c r="F2859" s="120" t="e">
        <v>#N/A</v>
      </c>
      <c r="G2859" s="119" t="s">
        <v>400</v>
      </c>
      <c r="H2859" s="120" t="str">
        <f>IF(Proc[[#This Row],[type]]="LFF (MDG-F)",MID(Proc[[#This Row],[Obj]],13,10),"")</f>
        <v/>
      </c>
      <c r="J2859" s="120" t="e">
        <f>Proc[[#This Row],[Requested]]=Proc[[#This Row],[CurrentParent]]</f>
        <v>#N/A</v>
      </c>
      <c r="K2859" s="120" t="str">
        <f>IF(Proc[[#This Row],[Author]]="Marcela Urrego",VLOOKUP(LEFT(Proc[[#This Row],[Requested]],1),Table3[#All],2,0),VLOOKUP(Proc[[#This Row],[Author]],Table4[],2,0))</f>
        <v>EL</v>
      </c>
      <c r="L2859" s="125" t="s">
        <v>4897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11</v>
      </c>
      <c r="R2859" s="115" t="s">
        <v>780</v>
      </c>
      <c r="S2859" s="120"/>
    </row>
    <row r="2860" spans="1:19" hidden="1">
      <c r="A2860" t="s">
        <v>4845</v>
      </c>
      <c r="B2860" s="120" t="str">
        <f>IFERROR(VLOOKUP(Proc[[#This Row],[App]],Table2[],3,0),"open")</f>
        <v>ok</v>
      </c>
      <c r="C2860" s="121" t="s">
        <v>369</v>
      </c>
      <c r="D2860" t="s">
        <v>4843</v>
      </c>
      <c r="E2860" t="s">
        <v>4844</v>
      </c>
      <c r="F2860" s="124" t="s">
        <v>4844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4846</v>
      </c>
      <c r="J2860" s="120" t="b">
        <f>Proc[[#This Row],[Requested]]=Proc[[#This Row],[CurrentParent]]</f>
        <v>1</v>
      </c>
      <c r="K2860" s="120" t="str">
        <f>IF(Proc[[#This Row],[Author]]="Marcela Urrego",VLOOKUP(LEFT(Proc[[#This Row],[Requested]],1),Table3[#All],2,0),VLOOKUP(Proc[[#This Row],[Author]],Table4[],2,0))</f>
        <v>MGF</v>
      </c>
      <c r="L2860" s="125" t="s">
        <v>4897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</v>
      </c>
      <c r="R2860" s="115" t="s">
        <v>856</v>
      </c>
      <c r="S2860" s="120"/>
    </row>
    <row r="2861" spans="1:19" hidden="1">
      <c r="A2861" t="s">
        <v>4847</v>
      </c>
      <c r="B2861" s="120" t="str">
        <f>IFERROR(VLOOKUP(Proc[[#This Row],[App]],Table2[],3,0),"open")</f>
        <v>ok</v>
      </c>
      <c r="C2861" s="121" t="s">
        <v>369</v>
      </c>
      <c r="D2861" t="s">
        <v>4848</v>
      </c>
      <c r="E2861" t="s">
        <v>3535</v>
      </c>
      <c r="F2861" s="125" t="e">
        <v>#N/A</v>
      </c>
      <c r="G2861" t="s">
        <v>400</v>
      </c>
      <c r="H2861" s="120" t="str">
        <f>IF(Proc[[#This Row],[type]]="LFF (MDG-F)",MID(Proc[[#This Row],[Obj]],13,10),"")</f>
        <v/>
      </c>
      <c r="J2861" s="120" t="e">
        <f>Proc[[#This Row],[Requested]]=Proc[[#This Row],[CurrentParent]]</f>
        <v>#N/A</v>
      </c>
      <c r="K2861" s="120" t="str">
        <f>IF(Proc[[#This Row],[Author]]="Marcela Urrego",VLOOKUP(LEFT(Proc[[#This Row],[Requested]],1),Table3[#All],2,0),VLOOKUP(Proc[[#This Row],[Author]],Table4[],2,0))</f>
        <v>MGF</v>
      </c>
      <c r="L2861" s="125" t="s">
        <v>4897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</v>
      </c>
      <c r="R2861" s="115" t="s">
        <v>856</v>
      </c>
      <c r="S2861" s="120"/>
    </row>
    <row r="2862" spans="1:19" hidden="1">
      <c r="A2862" t="s">
        <v>4849</v>
      </c>
      <c r="B2862" s="120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0" t="e">
        <v>#N/A</v>
      </c>
      <c r="G2862" s="121" t="s">
        <v>406</v>
      </c>
      <c r="H2862" s="120" t="str">
        <f>IF(Proc[[#This Row],[type]]="LFF (MDG-F)",MID(Proc[[#This Row],[Obj]],13,10),"")</f>
        <v>2102TPSZ93</v>
      </c>
      <c r="J2862" s="120" t="e">
        <f>Proc[[#This Row],[Requested]]=Proc[[#This Row],[CurrentParent]]</f>
        <v>#N/A</v>
      </c>
      <c r="K2862" s="120" t="str">
        <f>IF(Proc[[#This Row],[Author]]="Marcela Urrego",VLOOKUP(LEFT(Proc[[#This Row],[Requested]],1),Table3[#All],2,0),VLOOKUP(Proc[[#This Row],[Author]],Table4[],2,0))</f>
        <v>LS</v>
      </c>
      <c r="L2862" s="125" t="s">
        <v>4897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</v>
      </c>
      <c r="R2862" s="115" t="s">
        <v>489</v>
      </c>
      <c r="S2862" s="120"/>
    </row>
    <row r="2863" spans="1:19" hidden="1">
      <c r="A2863" t="s">
        <v>4851</v>
      </c>
      <c r="B2863" s="120" t="str">
        <f>IFERROR(VLOOKUP(Proc[[#This Row],[App]],Table2[],3,0),"open")</f>
        <v>ok</v>
      </c>
      <c r="C2863" s="121" t="s">
        <v>369</v>
      </c>
      <c r="D2863" t="s">
        <v>4843</v>
      </c>
      <c r="E2863" t="s">
        <v>4850</v>
      </c>
      <c r="F2863" s="124" t="s">
        <v>4850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20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4856</v>
      </c>
      <c r="B2864" s="120" t="str">
        <f>IFERROR(VLOOKUP(Proc[[#This Row],[App]],Table2[],3,0),"open")</f>
        <v>ok</v>
      </c>
      <c r="C2864" t="s">
        <v>369</v>
      </c>
      <c r="D2864" t="s">
        <v>4852</v>
      </c>
      <c r="E2864" t="s">
        <v>4868</v>
      </c>
      <c r="F2864" s="125" t="s">
        <v>4868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20" t="str">
        <f>IF(Proc[[#This Row],[Author]]="Marcela Urrego",VLOOKUP(LEFT(Proc[[#This Row],[Requested]],1),Table3[#All],2,0),VLOOKUP(Proc[[#This Row],[Author]],Table4[],2,0))</f>
        <v>MGF</v>
      </c>
      <c r="L2864" s="125" t="s">
        <v>4897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8</v>
      </c>
      <c r="R2864" s="115" t="s">
        <v>515</v>
      </c>
      <c r="S2864" s="120"/>
    </row>
    <row r="2865" spans="1:19" hidden="1">
      <c r="A2865" s="121" t="s">
        <v>4856</v>
      </c>
      <c r="B2865" s="120" t="str">
        <f>IFERROR(VLOOKUP(Proc[[#This Row],[App]],Table2[],3,0),"open")</f>
        <v>ok</v>
      </c>
      <c r="C2865" s="124" t="s">
        <v>369</v>
      </c>
      <c r="D2865" t="s">
        <v>4853</v>
      </c>
      <c r="E2865" t="s">
        <v>4868</v>
      </c>
      <c r="F2865" s="125" t="s">
        <v>4868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20" t="str">
        <f>IF(Proc[[#This Row],[Author]]="Marcela Urrego",VLOOKUP(LEFT(Proc[[#This Row],[Requested]],1),Table3[#All],2,0),VLOOKUP(Proc[[#This Row],[Author]],Table4[],2,0))</f>
        <v>MGF</v>
      </c>
      <c r="L2865" s="125" t="s">
        <v>4897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8</v>
      </c>
      <c r="R2865" s="115" t="s">
        <v>515</v>
      </c>
      <c r="S2865" s="120"/>
    </row>
    <row r="2866" spans="1:19" hidden="1">
      <c r="A2866" s="121" t="s">
        <v>4856</v>
      </c>
      <c r="B2866" s="120" t="str">
        <f>IFERROR(VLOOKUP(Proc[[#This Row],[App]],Table2[],3,0),"open")</f>
        <v>ok</v>
      </c>
      <c r="C2866" s="121" t="s">
        <v>369</v>
      </c>
      <c r="D2866" t="s">
        <v>4854</v>
      </c>
      <c r="E2866" t="s">
        <v>4867</v>
      </c>
      <c r="F2866" s="124" t="s">
        <v>4867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20" t="str">
        <f>IF(Proc[[#This Row],[Author]]="Marcela Urrego",VLOOKUP(LEFT(Proc[[#This Row],[Requested]],1),Table3[#All],2,0),VLOOKUP(Proc[[#This Row],[Author]],Table4[],2,0))</f>
        <v>MGF</v>
      </c>
      <c r="L2866" s="125" t="s">
        <v>4897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8</v>
      </c>
      <c r="R2866" s="115" t="s">
        <v>515</v>
      </c>
      <c r="S2866" s="120"/>
    </row>
    <row r="2867" spans="1:19" hidden="1">
      <c r="A2867" s="121" t="s">
        <v>4856</v>
      </c>
      <c r="B2867" s="120" t="str">
        <f>IFERROR(VLOOKUP(Proc[[#This Row],[App]],Table2[],3,0),"open")</f>
        <v>ok</v>
      </c>
      <c r="C2867" s="124" t="s">
        <v>369</v>
      </c>
      <c r="D2867" t="s">
        <v>4855</v>
      </c>
      <c r="E2867" t="s">
        <v>4867</v>
      </c>
      <c r="F2867" s="124" t="s">
        <v>4867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20" t="str">
        <f>IF(Proc[[#This Row],[Author]]="Marcela Urrego",VLOOKUP(LEFT(Proc[[#This Row],[Requested]],1),Table3[#All],2,0),VLOOKUP(Proc[[#This Row],[Author]],Table4[],2,0))</f>
        <v>MGF</v>
      </c>
      <c r="L2867" s="125" t="s">
        <v>4897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8</v>
      </c>
      <c r="R2867" s="115" t="s">
        <v>515</v>
      </c>
      <c r="S2867" s="120"/>
    </row>
    <row r="2868" spans="1:19" hidden="1">
      <c r="A2868" t="s">
        <v>4857</v>
      </c>
      <c r="B2868" s="120" t="str">
        <f>IFERROR(VLOOKUP(Proc[[#This Row],[App]],Table2[],3,0),"open")</f>
        <v>ok</v>
      </c>
      <c r="C2868" s="124" t="s">
        <v>369</v>
      </c>
      <c r="D2868" t="s">
        <v>4864</v>
      </c>
      <c r="E2868" t="s">
        <v>4858</v>
      </c>
      <c r="F2868" s="124" t="s">
        <v>4858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20" t="str">
        <f>IF(Proc[[#This Row],[Author]]="Marcela Urrego",VLOOKUP(LEFT(Proc[[#This Row],[Requested]],1),Table3[#All],2,0),VLOOKUP(Proc[[#This Row],[Author]],Table4[],2,0))</f>
        <v>HC</v>
      </c>
      <c r="L2868" s="125" t="s">
        <v>4897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8</v>
      </c>
      <c r="R2868" s="115" t="s">
        <v>415</v>
      </c>
      <c r="S2868" s="120"/>
    </row>
    <row r="2869" spans="1:19" hidden="1">
      <c r="A2869" t="s">
        <v>4860</v>
      </c>
      <c r="B2869" s="123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4859</v>
      </c>
      <c r="F2869" s="124" t="s">
        <v>4859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23" t="str">
        <f>IF(Proc[[#This Row],[Author]]="Marcela Urrego",VLOOKUP(LEFT(Proc[[#This Row],[Requested]],1),Table3[#All],2,0),VLOOKUP(Proc[[#This Row],[Author]],Table4[],2,0))</f>
        <v>HC</v>
      </c>
      <c r="L2869" s="125" t="s">
        <v>4897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8</v>
      </c>
      <c r="R2869" s="115" t="s">
        <v>410</v>
      </c>
      <c r="S2869" s="123"/>
    </row>
    <row r="2870" spans="1:19" hidden="1">
      <c r="A2870" t="s">
        <v>4861</v>
      </c>
      <c r="B2870" s="125" t="str">
        <f>IFERROR(VLOOKUP(Proc[[#This Row],[App]],Table2[],3,0),"open")</f>
        <v>ok</v>
      </c>
      <c r="C2870" s="124" t="s">
        <v>369</v>
      </c>
      <c r="D2870" t="s">
        <v>4862</v>
      </c>
      <c r="E2870" t="s">
        <v>4863</v>
      </c>
      <c r="F2870" s="124" t="s">
        <v>4863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25" t="str">
        <f>IF(Proc[[#This Row],[Author]]="Marcela Urrego",VLOOKUP(LEFT(Proc[[#This Row],[Requested]],1),Table3[#All],2,0),VLOOKUP(Proc[[#This Row],[Author]],Table4[],2,0))</f>
        <v>MGF</v>
      </c>
      <c r="L2870" s="125" t="s">
        <v>4897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8</v>
      </c>
      <c r="R2870" s="115" t="s">
        <v>856</v>
      </c>
      <c r="S2870" s="125"/>
    </row>
    <row r="2871" spans="1:19" hidden="1">
      <c r="A2871" t="s">
        <v>4865</v>
      </c>
      <c r="B2871" s="125" t="str">
        <f>IFERROR(VLOOKUP(Proc[[#This Row],[App]],Table2[],3,0),"open")</f>
        <v>ok</v>
      </c>
      <c r="C2871" s="124" t="s">
        <v>369</v>
      </c>
      <c r="D2871" t="s">
        <v>4866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25" t="str">
        <f>IF(Proc[[#This Row],[Author]]="Marcela Urrego",VLOOKUP(LEFT(Proc[[#This Row],[Requested]],1),Table3[#All],2,0),VLOOKUP(Proc[[#This Row],[Author]],Table4[],2,0))</f>
        <v>HC</v>
      </c>
      <c r="L2871" s="125" t="s">
        <v>4897</v>
      </c>
      <c r="M2871" s="115">
        <v>45861.910150462965</v>
      </c>
      <c r="N2871" s="113"/>
      <c r="O2871" s="113"/>
      <c r="P2871" s="115" t="str">
        <f ca="1">IF(Proc[[#This Row],[DaysAgeing]]&gt;5,"yep","on track")</f>
        <v>on track</v>
      </c>
      <c r="Q2871" s="3">
        <f ca="1">IF(Proc[[#This Row],[DateClosed]]="",ABS(NETWORKDAYS(Proc[[#This Row],[DateOpened]],TODAY()))-1,ABS(NETWORKDAYS(Proc[[#This Row],[DateOpened]],Proc[[#This Row],[DateClosed]]))-1)</f>
        <v>5</v>
      </c>
      <c r="R2871" s="115" t="s">
        <v>415</v>
      </c>
      <c r="S2871" s="125"/>
    </row>
    <row r="2872" spans="1:19" hidden="1">
      <c r="A2872" t="s">
        <v>4869</v>
      </c>
      <c r="B2872" s="125" t="str">
        <f>IFERROR(VLOOKUP(Proc[[#This Row],[App]],Table2[],3,0),"open")</f>
        <v>ok</v>
      </c>
      <c r="C2872" s="124" t="s">
        <v>369</v>
      </c>
      <c r="D2872" t="s">
        <v>4870</v>
      </c>
      <c r="E2872" s="124" t="s">
        <v>4902</v>
      </c>
      <c r="F2872" s="125" t="s">
        <v>4902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25" t="str">
        <f>IF(Proc[[#This Row],[Author]]="Marcela Urrego",VLOOKUP(LEFT(Proc[[#This Row],[Requested]],1),Table3[#All],2,0),VLOOKUP(Proc[[#This Row],[Author]],Table4[],2,0))</f>
        <v>MGF</v>
      </c>
      <c r="L2872" s="125" t="s">
        <v>4897</v>
      </c>
      <c r="M2872" s="115">
        <v>45861.910150462965</v>
      </c>
      <c r="N2872" s="113"/>
      <c r="O2872" s="113"/>
      <c r="P2872" s="115" t="str">
        <f ca="1">IF(Proc[[#This Row],[DaysAgeing]]&gt;5,"yep","on track")</f>
        <v>on track</v>
      </c>
      <c r="Q2872" s="3">
        <f ca="1">IF(Proc[[#This Row],[DateClosed]]="",ABS(NETWORKDAYS(Proc[[#This Row],[DateOpened]],TODAY()))-1,ABS(NETWORKDAYS(Proc[[#This Row],[DateOpened]],Proc[[#This Row],[DateClosed]]))-1)</f>
        <v>5</v>
      </c>
      <c r="R2872" s="115" t="s">
        <v>515</v>
      </c>
      <c r="S2872" s="125"/>
    </row>
    <row r="2873" spans="1:19" hidden="1">
      <c r="A2873" s="124" t="s">
        <v>4869</v>
      </c>
      <c r="B2873" s="125" t="str">
        <f>IFERROR(VLOOKUP(Proc[[#This Row],[App]],Table2[],3,0),"open")</f>
        <v>ok</v>
      </c>
      <c r="C2873" s="124" t="s">
        <v>369</v>
      </c>
      <c r="D2873" t="s">
        <v>4871</v>
      </c>
      <c r="E2873" s="124" t="s">
        <v>4902</v>
      </c>
      <c r="F2873" s="125" t="s">
        <v>4902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25" t="str">
        <f>IF(Proc[[#This Row],[Author]]="Marcela Urrego",VLOOKUP(LEFT(Proc[[#This Row],[Requested]],1),Table3[#All],2,0),VLOOKUP(Proc[[#This Row],[Author]],Table4[],2,0))</f>
        <v>MGF</v>
      </c>
      <c r="L2873" s="125" t="s">
        <v>4897</v>
      </c>
      <c r="M2873" s="115">
        <v>45861.910150462965</v>
      </c>
      <c r="N2873" s="113"/>
      <c r="O2873" s="113"/>
      <c r="P2873" s="115" t="str">
        <f ca="1">IF(Proc[[#This Row],[DaysAgeing]]&gt;5,"yep","on track")</f>
        <v>on track</v>
      </c>
      <c r="Q2873" s="3">
        <f ca="1">IF(Proc[[#This Row],[DateClosed]]="",ABS(NETWORKDAYS(Proc[[#This Row],[DateOpened]],TODAY()))-1,ABS(NETWORKDAYS(Proc[[#This Row],[DateOpened]],Proc[[#This Row],[DateClosed]]))-1)</f>
        <v>5</v>
      </c>
      <c r="R2873" s="115" t="s">
        <v>515</v>
      </c>
      <c r="S2873" s="125"/>
    </row>
    <row r="2874" spans="1:19" hidden="1">
      <c r="A2874" s="124" t="s">
        <v>4869</v>
      </c>
      <c r="B2874" s="125" t="str">
        <f>IFERROR(VLOOKUP(Proc[[#This Row],[App]],Table2[],3,0),"open")</f>
        <v>ok</v>
      </c>
      <c r="C2874" s="124" t="s">
        <v>369</v>
      </c>
      <c r="D2874" t="s">
        <v>4872</v>
      </c>
      <c r="E2874" s="124" t="s">
        <v>4902</v>
      </c>
      <c r="F2874" s="125" t="s">
        <v>4902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25" t="str">
        <f>IF(Proc[[#This Row],[Author]]="Marcela Urrego",VLOOKUP(LEFT(Proc[[#This Row],[Requested]],1),Table3[#All],2,0),VLOOKUP(Proc[[#This Row],[Author]],Table4[],2,0))</f>
        <v>MGF</v>
      </c>
      <c r="L2874" s="125" t="s">
        <v>4897</v>
      </c>
      <c r="M2874" s="115">
        <v>45861.910150462965</v>
      </c>
      <c r="N2874" s="113"/>
      <c r="O2874" s="113"/>
      <c r="P2874" s="115" t="str">
        <f ca="1">IF(Proc[[#This Row],[DaysAgeing]]&gt;5,"yep","on track")</f>
        <v>on track</v>
      </c>
      <c r="Q2874" s="3">
        <f ca="1">IF(Proc[[#This Row],[DateClosed]]="",ABS(NETWORKDAYS(Proc[[#This Row],[DateOpened]],TODAY()))-1,ABS(NETWORKDAYS(Proc[[#This Row],[DateOpened]],Proc[[#This Row],[DateClosed]]))-1)</f>
        <v>5</v>
      </c>
      <c r="R2874" s="115" t="s">
        <v>515</v>
      </c>
      <c r="S2874" s="125"/>
    </row>
    <row r="2875" spans="1:19" hidden="1">
      <c r="A2875" s="124" t="s">
        <v>4869</v>
      </c>
      <c r="B2875" s="125" t="str">
        <f>IFERROR(VLOOKUP(Proc[[#This Row],[App]],Table2[],3,0),"open")</f>
        <v>ok</v>
      </c>
      <c r="C2875" s="124" t="s">
        <v>369</v>
      </c>
      <c r="D2875" t="s">
        <v>4873</v>
      </c>
      <c r="E2875" s="124" t="s">
        <v>4902</v>
      </c>
      <c r="F2875" s="125" t="s">
        <v>4902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25" t="str">
        <f>IF(Proc[[#This Row],[Author]]="Marcela Urrego",VLOOKUP(LEFT(Proc[[#This Row],[Requested]],1),Table3[#All],2,0),VLOOKUP(Proc[[#This Row],[Author]],Table4[],2,0))</f>
        <v>MGF</v>
      </c>
      <c r="L2875" s="125" t="s">
        <v>4897</v>
      </c>
      <c r="M2875" s="115">
        <v>45861.910150462965</v>
      </c>
      <c r="N2875" s="113"/>
      <c r="O2875" s="113"/>
      <c r="P2875" s="115" t="str">
        <f ca="1">IF(Proc[[#This Row],[DaysAgeing]]&gt;5,"yep","on track")</f>
        <v>on track</v>
      </c>
      <c r="Q2875" s="3">
        <f ca="1">IF(Proc[[#This Row],[DateClosed]]="",ABS(NETWORKDAYS(Proc[[#This Row],[DateOpened]],TODAY()))-1,ABS(NETWORKDAYS(Proc[[#This Row],[DateOpened]],Proc[[#This Row],[DateClosed]]))-1)</f>
        <v>5</v>
      </c>
      <c r="R2875" s="115" t="s">
        <v>515</v>
      </c>
      <c r="S2875" s="125"/>
    </row>
    <row r="2876" spans="1:19" hidden="1">
      <c r="A2876" s="124" t="s">
        <v>4869</v>
      </c>
      <c r="B2876" s="125" t="str">
        <f>IFERROR(VLOOKUP(Proc[[#This Row],[App]],Table2[],3,0),"open")</f>
        <v>ok</v>
      </c>
      <c r="C2876" s="124" t="s">
        <v>369</v>
      </c>
      <c r="D2876" t="s">
        <v>4874</v>
      </c>
      <c r="E2876" s="124" t="s">
        <v>4902</v>
      </c>
      <c r="F2876" s="125" t="s">
        <v>4902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25" t="str">
        <f>IF(Proc[[#This Row],[Author]]="Marcela Urrego",VLOOKUP(LEFT(Proc[[#This Row],[Requested]],1),Table3[#All],2,0),VLOOKUP(Proc[[#This Row],[Author]],Table4[],2,0))</f>
        <v>MGF</v>
      </c>
      <c r="L2876" s="125" t="s">
        <v>4897</v>
      </c>
      <c r="M2876" s="115">
        <v>45861.910150462965</v>
      </c>
      <c r="N2876" s="113"/>
      <c r="O2876" s="113"/>
      <c r="P2876" s="115" t="str">
        <f ca="1">IF(Proc[[#This Row],[DaysAgeing]]&gt;5,"yep","on track")</f>
        <v>on track</v>
      </c>
      <c r="Q2876" s="3">
        <f ca="1">IF(Proc[[#This Row],[DateClosed]]="",ABS(NETWORKDAYS(Proc[[#This Row],[DateOpened]],TODAY()))-1,ABS(NETWORKDAYS(Proc[[#This Row],[DateOpened]],Proc[[#This Row],[DateClosed]]))-1)</f>
        <v>5</v>
      </c>
      <c r="R2876" s="115" t="s">
        <v>515</v>
      </c>
      <c r="S2876" s="125"/>
    </row>
    <row r="2877" spans="1:19" hidden="1">
      <c r="A2877" s="124" t="s">
        <v>4869</v>
      </c>
      <c r="B2877" s="125" t="str">
        <f>IFERROR(VLOOKUP(Proc[[#This Row],[App]],Table2[],3,0),"open")</f>
        <v>ok</v>
      </c>
      <c r="C2877" s="124" t="s">
        <v>369</v>
      </c>
      <c r="D2877" t="s">
        <v>4875</v>
      </c>
      <c r="E2877" s="124" t="s">
        <v>4902</v>
      </c>
      <c r="F2877" s="125" t="s">
        <v>4902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25" t="str">
        <f>IF(Proc[[#This Row],[Author]]="Marcela Urrego",VLOOKUP(LEFT(Proc[[#This Row],[Requested]],1),Table3[#All],2,0),VLOOKUP(Proc[[#This Row],[Author]],Table4[],2,0))</f>
        <v>MGF</v>
      </c>
      <c r="L2877" s="125" t="s">
        <v>4897</v>
      </c>
      <c r="M2877" s="115">
        <v>45861.910150462965</v>
      </c>
      <c r="N2877" s="113"/>
      <c r="O2877" s="113"/>
      <c r="P2877" s="115" t="str">
        <f ca="1">IF(Proc[[#This Row],[DaysAgeing]]&gt;5,"yep","on track")</f>
        <v>on track</v>
      </c>
      <c r="Q2877" s="3">
        <f ca="1">IF(Proc[[#This Row],[DateClosed]]="",ABS(NETWORKDAYS(Proc[[#This Row],[DateOpened]],TODAY()))-1,ABS(NETWORKDAYS(Proc[[#This Row],[DateOpened]],Proc[[#This Row],[DateClosed]]))-1)</f>
        <v>5</v>
      </c>
      <c r="R2877" s="115" t="s">
        <v>515</v>
      </c>
      <c r="S2877" s="125"/>
    </row>
    <row r="2878" spans="1:19" hidden="1">
      <c r="A2878" s="124" t="s">
        <v>4869</v>
      </c>
      <c r="B2878" s="125" t="str">
        <f>IFERROR(VLOOKUP(Proc[[#This Row],[App]],Table2[],3,0),"open")</f>
        <v>ok</v>
      </c>
      <c r="C2878" s="124" t="s">
        <v>369</v>
      </c>
      <c r="D2878" t="s">
        <v>4876</v>
      </c>
      <c r="E2878" s="124" t="s">
        <v>4902</v>
      </c>
      <c r="F2878" s="125" t="s">
        <v>4902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25" t="str">
        <f>IF(Proc[[#This Row],[Author]]="Marcela Urrego",VLOOKUP(LEFT(Proc[[#This Row],[Requested]],1),Table3[#All],2,0),VLOOKUP(Proc[[#This Row],[Author]],Table4[],2,0))</f>
        <v>MGF</v>
      </c>
      <c r="L2878" s="125" t="s">
        <v>4897</v>
      </c>
      <c r="M2878" s="115">
        <v>45861.910150462965</v>
      </c>
      <c r="N2878" s="113"/>
      <c r="O2878" s="113"/>
      <c r="P2878" s="115" t="str">
        <f ca="1">IF(Proc[[#This Row],[DaysAgeing]]&gt;5,"yep","on track")</f>
        <v>on track</v>
      </c>
      <c r="Q2878" s="3">
        <f ca="1">IF(Proc[[#This Row],[DateClosed]]="",ABS(NETWORKDAYS(Proc[[#This Row],[DateOpened]],TODAY()))-1,ABS(NETWORKDAYS(Proc[[#This Row],[DateOpened]],Proc[[#This Row],[DateClosed]]))-1)</f>
        <v>5</v>
      </c>
      <c r="R2878" s="115" t="s">
        <v>515</v>
      </c>
      <c r="S2878" s="125"/>
    </row>
    <row r="2879" spans="1:19" hidden="1">
      <c r="A2879" s="124" t="s">
        <v>4869</v>
      </c>
      <c r="B2879" s="125" t="str">
        <f>IFERROR(VLOOKUP(Proc[[#This Row],[App]],Table2[],3,0),"open")</f>
        <v>ok</v>
      </c>
      <c r="C2879" s="124" t="s">
        <v>369</v>
      </c>
      <c r="D2879" t="s">
        <v>4877</v>
      </c>
      <c r="E2879" s="124" t="s">
        <v>4902</v>
      </c>
      <c r="F2879" s="125" t="s">
        <v>4902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25" t="str">
        <f>IF(Proc[[#This Row],[Author]]="Marcela Urrego",VLOOKUP(LEFT(Proc[[#This Row],[Requested]],1),Table3[#All],2,0),VLOOKUP(Proc[[#This Row],[Author]],Table4[],2,0))</f>
        <v>MGF</v>
      </c>
      <c r="L2879" s="125" t="s">
        <v>4897</v>
      </c>
      <c r="M2879" s="115">
        <v>45861.910150462965</v>
      </c>
      <c r="N2879" s="113"/>
      <c r="O2879" s="113"/>
      <c r="P2879" s="115" t="str">
        <f ca="1">IF(Proc[[#This Row],[DaysAgeing]]&gt;5,"yep","on track")</f>
        <v>on track</v>
      </c>
      <c r="Q2879" s="3">
        <f ca="1">IF(Proc[[#This Row],[DateClosed]]="",ABS(NETWORKDAYS(Proc[[#This Row],[DateOpened]],TODAY()))-1,ABS(NETWORKDAYS(Proc[[#This Row],[DateOpened]],Proc[[#This Row],[DateClosed]]))-1)</f>
        <v>5</v>
      </c>
      <c r="R2879" s="115" t="s">
        <v>515</v>
      </c>
      <c r="S2879" s="125"/>
    </row>
    <row r="2880" spans="1:19" hidden="1">
      <c r="A2880" s="124" t="s">
        <v>4869</v>
      </c>
      <c r="B2880" s="125" t="str">
        <f>IFERROR(VLOOKUP(Proc[[#This Row],[App]],Table2[],3,0),"open")</f>
        <v>ok</v>
      </c>
      <c r="C2880" s="124" t="s">
        <v>369</v>
      </c>
      <c r="D2880" t="s">
        <v>4878</v>
      </c>
      <c r="E2880" s="124" t="s">
        <v>4902</v>
      </c>
      <c r="F2880" s="125" t="s">
        <v>4902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25" t="str">
        <f>IF(Proc[[#This Row],[Author]]="Marcela Urrego",VLOOKUP(LEFT(Proc[[#This Row],[Requested]],1),Table3[#All],2,0),VLOOKUP(Proc[[#This Row],[Author]],Table4[],2,0))</f>
        <v>MGF</v>
      </c>
      <c r="L2880" s="125" t="s">
        <v>4897</v>
      </c>
      <c r="M2880" s="115">
        <v>45861.910150462965</v>
      </c>
      <c r="N2880" s="113"/>
      <c r="O2880" s="113"/>
      <c r="P2880" s="115" t="str">
        <f ca="1">IF(Proc[[#This Row],[DaysAgeing]]&gt;5,"yep","on track")</f>
        <v>on track</v>
      </c>
      <c r="Q2880" s="3">
        <f ca="1">IF(Proc[[#This Row],[DateClosed]]="",ABS(NETWORKDAYS(Proc[[#This Row],[DateOpened]],TODAY()))-1,ABS(NETWORKDAYS(Proc[[#This Row],[DateOpened]],Proc[[#This Row],[DateClosed]]))-1)</f>
        <v>5</v>
      </c>
      <c r="R2880" s="115" t="s">
        <v>515</v>
      </c>
      <c r="S2880" s="125"/>
    </row>
    <row r="2881" spans="1:19" hidden="1">
      <c r="A2881" s="124" t="s">
        <v>4869</v>
      </c>
      <c r="B2881" s="125" t="str">
        <f>IFERROR(VLOOKUP(Proc[[#This Row],[App]],Table2[],3,0),"open")</f>
        <v>ok</v>
      </c>
      <c r="C2881" s="124" t="s">
        <v>369</v>
      </c>
      <c r="D2881" t="s">
        <v>4879</v>
      </c>
      <c r="E2881" s="124" t="s">
        <v>4902</v>
      </c>
      <c r="F2881" s="125" t="s">
        <v>4902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25" t="str">
        <f>IF(Proc[[#This Row],[Author]]="Marcela Urrego",VLOOKUP(LEFT(Proc[[#This Row],[Requested]],1),Table3[#All],2,0),VLOOKUP(Proc[[#This Row],[Author]],Table4[],2,0))</f>
        <v>MGF</v>
      </c>
      <c r="L2881" s="125" t="s">
        <v>4897</v>
      </c>
      <c r="M2881" s="115">
        <v>45861.910150462965</v>
      </c>
      <c r="N2881" s="113"/>
      <c r="O2881" s="113"/>
      <c r="P2881" s="115" t="str">
        <f ca="1">IF(Proc[[#This Row],[DaysAgeing]]&gt;5,"yep","on track")</f>
        <v>on track</v>
      </c>
      <c r="Q2881" s="3">
        <f ca="1">IF(Proc[[#This Row],[DateClosed]]="",ABS(NETWORKDAYS(Proc[[#This Row],[DateOpened]],TODAY()))-1,ABS(NETWORKDAYS(Proc[[#This Row],[DateOpened]],Proc[[#This Row],[DateClosed]]))-1)</f>
        <v>5</v>
      </c>
      <c r="R2881" s="115" t="s">
        <v>515</v>
      </c>
      <c r="S2881" s="125"/>
    </row>
    <row r="2882" spans="1:19" hidden="1">
      <c r="A2882" s="124" t="s">
        <v>4869</v>
      </c>
      <c r="B2882" s="125" t="str">
        <f>IFERROR(VLOOKUP(Proc[[#This Row],[App]],Table2[],3,0),"open")</f>
        <v>ok</v>
      </c>
      <c r="C2882" s="124" t="s">
        <v>369</v>
      </c>
      <c r="D2882" t="s">
        <v>4880</v>
      </c>
      <c r="E2882" s="124" t="s">
        <v>4902</v>
      </c>
      <c r="F2882" s="125" t="s">
        <v>4902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25" t="str">
        <f>IF(Proc[[#This Row],[Author]]="Marcela Urrego",VLOOKUP(LEFT(Proc[[#This Row],[Requested]],1),Table3[#All],2,0),VLOOKUP(Proc[[#This Row],[Author]],Table4[],2,0))</f>
        <v>MGF</v>
      </c>
      <c r="L2882" s="125" t="s">
        <v>4897</v>
      </c>
      <c r="M2882" s="115">
        <v>45861.910150462965</v>
      </c>
      <c r="N2882" s="113"/>
      <c r="O2882" s="113"/>
      <c r="P2882" s="115" t="str">
        <f ca="1">IF(Proc[[#This Row],[DaysAgeing]]&gt;5,"yep","on track")</f>
        <v>on track</v>
      </c>
      <c r="Q2882" s="3">
        <f ca="1">IF(Proc[[#This Row],[DateClosed]]="",ABS(NETWORKDAYS(Proc[[#This Row],[DateOpened]],TODAY()))-1,ABS(NETWORKDAYS(Proc[[#This Row],[DateOpened]],Proc[[#This Row],[DateClosed]]))-1)</f>
        <v>5</v>
      </c>
      <c r="R2882" s="115" t="s">
        <v>515</v>
      </c>
      <c r="S2882" s="125"/>
    </row>
    <row r="2883" spans="1:19" hidden="1">
      <c r="A2883" s="124" t="s">
        <v>4869</v>
      </c>
      <c r="B2883" s="125" t="str">
        <f>IFERROR(VLOOKUP(Proc[[#This Row],[App]],Table2[],3,0),"open")</f>
        <v>ok</v>
      </c>
      <c r="C2883" s="124" t="s">
        <v>369</v>
      </c>
      <c r="D2883" t="s">
        <v>4881</v>
      </c>
      <c r="E2883" s="124" t="s">
        <v>4902</v>
      </c>
      <c r="F2883" s="125" t="s">
        <v>4902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25" t="str">
        <f>IF(Proc[[#This Row],[Author]]="Marcela Urrego",VLOOKUP(LEFT(Proc[[#This Row],[Requested]],1),Table3[#All],2,0),VLOOKUP(Proc[[#This Row],[Author]],Table4[],2,0))</f>
        <v>MGF</v>
      </c>
      <c r="L2883" s="125" t="s">
        <v>4897</v>
      </c>
      <c r="M2883" s="115">
        <v>45861.910150462965</v>
      </c>
      <c r="N2883" s="113"/>
      <c r="O2883" s="113"/>
      <c r="P2883" s="115" t="str">
        <f ca="1">IF(Proc[[#This Row],[DaysAgeing]]&gt;5,"yep","on track")</f>
        <v>on track</v>
      </c>
      <c r="Q2883" s="3">
        <f ca="1">IF(Proc[[#This Row],[DateClosed]]="",ABS(NETWORKDAYS(Proc[[#This Row],[DateOpened]],TODAY()))-1,ABS(NETWORKDAYS(Proc[[#This Row],[DateOpened]],Proc[[#This Row],[DateClosed]]))-1)</f>
        <v>5</v>
      </c>
      <c r="R2883" s="115" t="s">
        <v>515</v>
      </c>
      <c r="S2883" s="125"/>
    </row>
    <row r="2884" spans="1:19" hidden="1">
      <c r="A2884" s="124" t="s">
        <v>4869</v>
      </c>
      <c r="B2884" s="125" t="str">
        <f>IFERROR(VLOOKUP(Proc[[#This Row],[App]],Table2[],3,0),"open")</f>
        <v>ok</v>
      </c>
      <c r="C2884" s="124" t="s">
        <v>369</v>
      </c>
      <c r="D2884" t="s">
        <v>4882</v>
      </c>
      <c r="E2884" s="124" t="s">
        <v>4902</v>
      </c>
      <c r="F2884" s="125" t="s">
        <v>4902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25" t="str">
        <f>IF(Proc[[#This Row],[Author]]="Marcela Urrego",VLOOKUP(LEFT(Proc[[#This Row],[Requested]],1),Table3[#All],2,0),VLOOKUP(Proc[[#This Row],[Author]],Table4[],2,0))</f>
        <v>MGF</v>
      </c>
      <c r="L2884" s="125" t="s">
        <v>4897</v>
      </c>
      <c r="M2884" s="115">
        <v>45861.910150462965</v>
      </c>
      <c r="N2884" s="113"/>
      <c r="O2884" s="113"/>
      <c r="P2884" s="115" t="str">
        <f ca="1">IF(Proc[[#This Row],[DaysAgeing]]&gt;5,"yep","on track")</f>
        <v>on track</v>
      </c>
      <c r="Q2884" s="3">
        <f ca="1">IF(Proc[[#This Row],[DateClosed]]="",ABS(NETWORKDAYS(Proc[[#This Row],[DateOpened]],TODAY()))-1,ABS(NETWORKDAYS(Proc[[#This Row],[DateOpened]],Proc[[#This Row],[DateClosed]]))-1)</f>
        <v>5</v>
      </c>
      <c r="R2884" s="115" t="s">
        <v>515</v>
      </c>
      <c r="S2884" s="125"/>
    </row>
    <row r="2885" spans="1:19" hidden="1">
      <c r="A2885" s="124" t="s">
        <v>4869</v>
      </c>
      <c r="B2885" s="125" t="str">
        <f>IFERROR(VLOOKUP(Proc[[#This Row],[App]],Table2[],3,0),"open")</f>
        <v>ok</v>
      </c>
      <c r="C2885" s="124" t="s">
        <v>369</v>
      </c>
      <c r="D2885" t="s">
        <v>4883</v>
      </c>
      <c r="E2885" s="124" t="s">
        <v>4902</v>
      </c>
      <c r="F2885" s="125" t="s">
        <v>4902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25" t="str">
        <f>IF(Proc[[#This Row],[Author]]="Marcela Urrego",VLOOKUP(LEFT(Proc[[#This Row],[Requested]],1),Table3[#All],2,0),VLOOKUP(Proc[[#This Row],[Author]],Table4[],2,0))</f>
        <v>MGF</v>
      </c>
      <c r="L2885" s="125" t="s">
        <v>4897</v>
      </c>
      <c r="M2885" s="115">
        <v>45861.910150462965</v>
      </c>
      <c r="N2885" s="113"/>
      <c r="O2885" s="113"/>
      <c r="P2885" s="115" t="str">
        <f ca="1">IF(Proc[[#This Row],[DaysAgeing]]&gt;5,"yep","on track")</f>
        <v>on track</v>
      </c>
      <c r="Q2885" s="3">
        <f ca="1">IF(Proc[[#This Row],[DateClosed]]="",ABS(NETWORKDAYS(Proc[[#This Row],[DateOpened]],TODAY()))-1,ABS(NETWORKDAYS(Proc[[#This Row],[DateOpened]],Proc[[#This Row],[DateClosed]]))-1)</f>
        <v>5</v>
      </c>
      <c r="R2885" s="115" t="s">
        <v>515</v>
      </c>
      <c r="S2885" s="125"/>
    </row>
    <row r="2886" spans="1:19" hidden="1">
      <c r="A2886" s="124" t="s">
        <v>4869</v>
      </c>
      <c r="B2886" s="125" t="str">
        <f>IFERROR(VLOOKUP(Proc[[#This Row],[App]],Table2[],3,0),"open")</f>
        <v>ok</v>
      </c>
      <c r="C2886" s="124" t="s">
        <v>369</v>
      </c>
      <c r="D2886" t="s">
        <v>4884</v>
      </c>
      <c r="E2886" s="124" t="s">
        <v>4902</v>
      </c>
      <c r="F2886" s="125" t="s">
        <v>4902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25" t="str">
        <f>IF(Proc[[#This Row],[Author]]="Marcela Urrego",VLOOKUP(LEFT(Proc[[#This Row],[Requested]],1),Table3[#All],2,0),VLOOKUP(Proc[[#This Row],[Author]],Table4[],2,0))</f>
        <v>MGF</v>
      </c>
      <c r="L2886" s="125" t="s">
        <v>4897</v>
      </c>
      <c r="M2886" s="115">
        <v>45861.910150462965</v>
      </c>
      <c r="N2886" s="113"/>
      <c r="O2886" s="113"/>
      <c r="P2886" s="115" t="str">
        <f ca="1">IF(Proc[[#This Row],[DaysAgeing]]&gt;5,"yep","on track")</f>
        <v>on track</v>
      </c>
      <c r="Q2886" s="3">
        <f ca="1">IF(Proc[[#This Row],[DateClosed]]="",ABS(NETWORKDAYS(Proc[[#This Row],[DateOpened]],TODAY()))-1,ABS(NETWORKDAYS(Proc[[#This Row],[DateOpened]],Proc[[#This Row],[DateClosed]]))-1)</f>
        <v>5</v>
      </c>
      <c r="R2886" s="115" t="s">
        <v>515</v>
      </c>
      <c r="S2886" s="125"/>
    </row>
    <row r="2887" spans="1:19" hidden="1">
      <c r="A2887" s="124" t="s">
        <v>4869</v>
      </c>
      <c r="B2887" s="125" t="str">
        <f>IFERROR(VLOOKUP(Proc[[#This Row],[App]],Table2[],3,0),"open")</f>
        <v>ok</v>
      </c>
      <c r="C2887" s="124" t="s">
        <v>369</v>
      </c>
      <c r="D2887" t="s">
        <v>4885</v>
      </c>
      <c r="E2887" s="124" t="s">
        <v>4902</v>
      </c>
      <c r="F2887" s="125" t="s">
        <v>4902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25" t="str">
        <f>IF(Proc[[#This Row],[Author]]="Marcela Urrego",VLOOKUP(LEFT(Proc[[#This Row],[Requested]],1),Table3[#All],2,0),VLOOKUP(Proc[[#This Row],[Author]],Table4[],2,0))</f>
        <v>MGF</v>
      </c>
      <c r="L2887" s="125" t="s">
        <v>4897</v>
      </c>
      <c r="M2887" s="115">
        <v>45861.910150462965</v>
      </c>
      <c r="N2887" s="113"/>
      <c r="O2887" s="113"/>
      <c r="P2887" s="115" t="str">
        <f ca="1">IF(Proc[[#This Row],[DaysAgeing]]&gt;5,"yep","on track")</f>
        <v>on track</v>
      </c>
      <c r="Q2887" s="3">
        <f ca="1">IF(Proc[[#This Row],[DateClosed]]="",ABS(NETWORKDAYS(Proc[[#This Row],[DateOpened]],TODAY()))-1,ABS(NETWORKDAYS(Proc[[#This Row],[DateOpened]],Proc[[#This Row],[DateClosed]]))-1)</f>
        <v>5</v>
      </c>
      <c r="R2887" s="115" t="s">
        <v>515</v>
      </c>
      <c r="S2887" s="125"/>
    </row>
    <row r="2888" spans="1:19" hidden="1">
      <c r="A2888" s="124" t="s">
        <v>4869</v>
      </c>
      <c r="B2888" s="125" t="str">
        <f>IFERROR(VLOOKUP(Proc[[#This Row],[App]],Table2[],3,0),"open")</f>
        <v>ok</v>
      </c>
      <c r="C2888" s="124" t="s">
        <v>369</v>
      </c>
      <c r="D2888" t="s">
        <v>4886</v>
      </c>
      <c r="E2888" t="s">
        <v>4902</v>
      </c>
      <c r="F2888" s="125" t="s">
        <v>4902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25" t="str">
        <f>IF(Proc[[#This Row],[Author]]="Marcela Urrego",VLOOKUP(LEFT(Proc[[#This Row],[Requested]],1),Table3[#All],2,0),VLOOKUP(Proc[[#This Row],[Author]],Table4[],2,0))</f>
        <v>MGF</v>
      </c>
      <c r="L2888" s="125" t="s">
        <v>4897</v>
      </c>
      <c r="M2888" s="115">
        <v>45861.910150462965</v>
      </c>
      <c r="N2888" s="113"/>
      <c r="O2888" s="113"/>
      <c r="P2888" s="115" t="str">
        <f ca="1">IF(Proc[[#This Row],[DaysAgeing]]&gt;5,"yep","on track")</f>
        <v>on track</v>
      </c>
      <c r="Q2888" s="3">
        <f ca="1">IF(Proc[[#This Row],[DateClosed]]="",ABS(NETWORKDAYS(Proc[[#This Row],[DateOpened]],TODAY()))-1,ABS(NETWORKDAYS(Proc[[#This Row],[DateOpened]],Proc[[#This Row],[DateClosed]]))-1)</f>
        <v>5</v>
      </c>
      <c r="R2888" s="115" t="s">
        <v>515</v>
      </c>
      <c r="S2888" s="125"/>
    </row>
    <row r="2889" spans="1:19" hidden="1">
      <c r="A2889" s="124" t="s">
        <v>4869</v>
      </c>
      <c r="B2889" s="125" t="str">
        <f>IFERROR(VLOOKUP(Proc[[#This Row],[App]],Table2[],3,0),"open")</f>
        <v>ok</v>
      </c>
      <c r="C2889" s="124" t="s">
        <v>369</v>
      </c>
      <c r="D2889" t="s">
        <v>4887</v>
      </c>
      <c r="E2889" s="124" t="s">
        <v>4902</v>
      </c>
      <c r="F2889" s="125" t="s">
        <v>4902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25" t="str">
        <f>IF(Proc[[#This Row],[Author]]="Marcela Urrego",VLOOKUP(LEFT(Proc[[#This Row],[Requested]],1),Table3[#All],2,0),VLOOKUP(Proc[[#This Row],[Author]],Table4[],2,0))</f>
        <v>MGF</v>
      </c>
      <c r="L2889" s="125" t="s">
        <v>4897</v>
      </c>
      <c r="M2889" s="115">
        <v>45861.910150462965</v>
      </c>
      <c r="N2889" s="113"/>
      <c r="O2889" s="113"/>
      <c r="P2889" s="115" t="str">
        <f ca="1">IF(Proc[[#This Row],[DaysAgeing]]&gt;5,"yep","on track")</f>
        <v>on track</v>
      </c>
      <c r="Q2889" s="3">
        <f ca="1">IF(Proc[[#This Row],[DateClosed]]="",ABS(NETWORKDAYS(Proc[[#This Row],[DateOpened]],TODAY()))-1,ABS(NETWORKDAYS(Proc[[#This Row],[DateOpened]],Proc[[#This Row],[DateClosed]]))-1)</f>
        <v>5</v>
      </c>
      <c r="R2889" s="115" t="s">
        <v>515</v>
      </c>
      <c r="S2889" s="125"/>
    </row>
    <row r="2890" spans="1:19" hidden="1">
      <c r="A2890" t="s">
        <v>4895</v>
      </c>
      <c r="B2890" s="125" t="str">
        <f>IFERROR(VLOOKUP(Proc[[#This Row],[App]],Table2[],3,0),"open")</f>
        <v>ok</v>
      </c>
      <c r="C2890" s="124" t="s">
        <v>369</v>
      </c>
      <c r="D2890" t="s">
        <v>4888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25" t="str">
        <f>IF(Proc[[#This Row],[Author]]="Marcela Urrego",VLOOKUP(LEFT(Proc[[#This Row],[Requested]],1),Table3[#All],2,0),VLOOKUP(Proc[[#This Row],[Author]],Table4[],2,0))</f>
        <v>LS</v>
      </c>
      <c r="L2890" s="125" t="s">
        <v>4897</v>
      </c>
      <c r="M2890" s="113">
        <v>45861</v>
      </c>
      <c r="N2890" s="113"/>
      <c r="O2890" s="113"/>
      <c r="P2890" s="115" t="str">
        <f ca="1">IF(Proc[[#This Row],[DaysAgeing]]&gt;5,"yep","on track")</f>
        <v>on track</v>
      </c>
      <c r="Q2890" s="3">
        <f ca="1">IF(Proc[[#This Row],[DateClosed]]="",ABS(NETWORKDAYS(Proc[[#This Row],[DateOpened]],TODAY()))-1,ABS(NETWORKDAYS(Proc[[#This Row],[DateOpened]],Proc[[#This Row],[DateClosed]]))-1)</f>
        <v>5</v>
      </c>
      <c r="R2890" s="115" t="s">
        <v>489</v>
      </c>
      <c r="S2890" s="125"/>
    </row>
    <row r="2891" spans="1:19" hidden="1">
      <c r="A2891" s="124" t="s">
        <v>4895</v>
      </c>
      <c r="B2891" s="125" t="str">
        <f>IFERROR(VLOOKUP(Proc[[#This Row],[App]],Table2[],3,0),"open")</f>
        <v>ok</v>
      </c>
      <c r="C2891" s="124" t="s">
        <v>369</v>
      </c>
      <c r="D2891" t="s">
        <v>4896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25" t="str">
        <f>IF(Proc[[#This Row],[Author]]="Marcela Urrego",VLOOKUP(LEFT(Proc[[#This Row],[Requested]],1),Table3[#All],2,0),VLOOKUP(Proc[[#This Row],[Author]],Table4[],2,0))</f>
        <v>LS</v>
      </c>
      <c r="L2891" s="125" t="s">
        <v>4897</v>
      </c>
      <c r="M2891" s="113">
        <v>45861</v>
      </c>
      <c r="N2891" s="113"/>
      <c r="O2891" s="113"/>
      <c r="P2891" s="115" t="str">
        <f ca="1">IF(Proc[[#This Row],[DaysAgeing]]&gt;5,"yep","on track")</f>
        <v>on track</v>
      </c>
      <c r="Q2891" s="3">
        <f ca="1">IF(Proc[[#This Row],[DateClosed]]="",ABS(NETWORKDAYS(Proc[[#This Row],[DateOpened]],TODAY()))-1,ABS(NETWORKDAYS(Proc[[#This Row],[DateOpened]],Proc[[#This Row],[DateClosed]]))-1)</f>
        <v>5</v>
      </c>
      <c r="R2891" s="115" t="s">
        <v>489</v>
      </c>
      <c r="S2891" s="125"/>
    </row>
    <row r="2892" spans="1:19" hidden="1">
      <c r="A2892" s="124" t="s">
        <v>4895</v>
      </c>
      <c r="B2892" s="125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4893</v>
      </c>
      <c r="F2892" s="125" t="s">
        <v>4893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25" t="str">
        <f>IF(Proc[[#This Row],[Author]]="Marcela Urrego",VLOOKUP(LEFT(Proc[[#This Row],[Requested]],1),Table3[#All],2,0),VLOOKUP(Proc[[#This Row],[Author]],Table4[],2,0))</f>
        <v>LS</v>
      </c>
      <c r="L2892" s="125" t="s">
        <v>4897</v>
      </c>
      <c r="M2892" s="113">
        <v>45861</v>
      </c>
      <c r="N2892" s="113"/>
      <c r="O2892" s="113"/>
      <c r="P2892" s="115" t="str">
        <f ca="1">IF(Proc[[#This Row],[DaysAgeing]]&gt;5,"yep","on track")</f>
        <v>on track</v>
      </c>
      <c r="Q2892" s="3">
        <f ca="1">IF(Proc[[#This Row],[DateClosed]]="",ABS(NETWORKDAYS(Proc[[#This Row],[DateOpened]],TODAY()))-1,ABS(NETWORKDAYS(Proc[[#This Row],[DateOpened]],Proc[[#This Row],[DateClosed]]))-1)</f>
        <v>5</v>
      </c>
      <c r="R2892" s="115" t="s">
        <v>489</v>
      </c>
      <c r="S2892" s="125"/>
    </row>
    <row r="2893" spans="1:19" hidden="1">
      <c r="A2893" s="124" t="s">
        <v>4895</v>
      </c>
      <c r="B2893" s="125" t="str">
        <f>IFERROR(VLOOKUP(Proc[[#This Row],[App]],Table2[],3,0),"open")</f>
        <v>ok</v>
      </c>
      <c r="C2893" s="124" t="s">
        <v>369</v>
      </c>
      <c r="D2893" t="s">
        <v>4889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25" t="str">
        <f>IF(Proc[[#This Row],[Author]]="Marcela Urrego",VLOOKUP(LEFT(Proc[[#This Row],[Requested]],1),Table3[#All],2,0),VLOOKUP(Proc[[#This Row],[Author]],Table4[],2,0))</f>
        <v>LS</v>
      </c>
      <c r="L2893" s="125" t="s">
        <v>4897</v>
      </c>
      <c r="M2893" s="113">
        <v>45861</v>
      </c>
      <c r="N2893" s="113"/>
      <c r="O2893" s="113"/>
      <c r="P2893" s="115" t="str">
        <f ca="1">IF(Proc[[#This Row],[DaysAgeing]]&gt;5,"yep","on track")</f>
        <v>on track</v>
      </c>
      <c r="Q2893" s="3">
        <f ca="1">IF(Proc[[#This Row],[DateClosed]]="",ABS(NETWORKDAYS(Proc[[#This Row],[DateOpened]],TODAY()))-1,ABS(NETWORKDAYS(Proc[[#This Row],[DateOpened]],Proc[[#This Row],[DateClosed]]))-1)</f>
        <v>5</v>
      </c>
      <c r="R2893" s="115" t="s">
        <v>489</v>
      </c>
      <c r="S2893" s="125"/>
    </row>
    <row r="2894" spans="1:19" hidden="1">
      <c r="A2894" s="124" t="s">
        <v>4895</v>
      </c>
      <c r="B2894" s="125" t="str">
        <f>IFERROR(VLOOKUP(Proc[[#This Row],[App]],Table2[],3,0),"open")</f>
        <v>ok</v>
      </c>
      <c r="C2894" s="124" t="s">
        <v>369</v>
      </c>
      <c r="D2894" t="s">
        <v>4890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25" t="str">
        <f>IF(Proc[[#This Row],[Author]]="Marcela Urrego",VLOOKUP(LEFT(Proc[[#This Row],[Requested]],1),Table3[#All],2,0),VLOOKUP(Proc[[#This Row],[Author]],Table4[],2,0))</f>
        <v>LS</v>
      </c>
      <c r="L2894" s="125" t="s">
        <v>4897</v>
      </c>
      <c r="M2894" s="113">
        <v>45861</v>
      </c>
      <c r="N2894" s="113"/>
      <c r="O2894" s="113"/>
      <c r="P2894" s="115" t="str">
        <f ca="1">IF(Proc[[#This Row],[DaysAgeing]]&gt;5,"yep","on track")</f>
        <v>on track</v>
      </c>
      <c r="Q2894" s="3">
        <f ca="1">IF(Proc[[#This Row],[DateClosed]]="",ABS(NETWORKDAYS(Proc[[#This Row],[DateOpened]],TODAY()))-1,ABS(NETWORKDAYS(Proc[[#This Row],[DateOpened]],Proc[[#This Row],[DateClosed]]))-1)</f>
        <v>5</v>
      </c>
      <c r="R2894" s="115" t="s">
        <v>489</v>
      </c>
      <c r="S2894" s="125"/>
    </row>
    <row r="2895" spans="1:19" hidden="1">
      <c r="A2895" s="124" t="s">
        <v>4895</v>
      </c>
      <c r="B2895" s="125" t="str">
        <f>IFERROR(VLOOKUP(Proc[[#This Row],[App]],Table2[],3,0),"open")</f>
        <v>ok</v>
      </c>
      <c r="C2895" s="124" t="s">
        <v>369</v>
      </c>
      <c r="D2895" t="s">
        <v>4891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25" t="str">
        <f>IF(Proc[[#This Row],[Author]]="Marcela Urrego",VLOOKUP(LEFT(Proc[[#This Row],[Requested]],1),Table3[#All],2,0),VLOOKUP(Proc[[#This Row],[Author]],Table4[],2,0))</f>
        <v>LS</v>
      </c>
      <c r="L2895" s="125" t="s">
        <v>4897</v>
      </c>
      <c r="M2895" s="113">
        <v>45861</v>
      </c>
      <c r="N2895" s="113"/>
      <c r="O2895" s="113"/>
      <c r="P2895" s="115" t="str">
        <f ca="1">IF(Proc[[#This Row],[DaysAgeing]]&gt;5,"yep","on track")</f>
        <v>on track</v>
      </c>
      <c r="Q2895" s="3">
        <f ca="1">IF(Proc[[#This Row],[DateClosed]]="",ABS(NETWORKDAYS(Proc[[#This Row],[DateOpened]],TODAY()))-1,ABS(NETWORKDAYS(Proc[[#This Row],[DateOpened]],Proc[[#This Row],[DateClosed]]))-1)</f>
        <v>5</v>
      </c>
      <c r="R2895" s="115" t="s">
        <v>489</v>
      </c>
      <c r="S2895" s="125"/>
    </row>
    <row r="2896" spans="1:19" hidden="1">
      <c r="A2896" s="124" t="s">
        <v>4895</v>
      </c>
      <c r="B2896" s="125" t="str">
        <f>IFERROR(VLOOKUP(Proc[[#This Row],[App]],Table2[],3,0),"open")</f>
        <v>ok</v>
      </c>
      <c r="C2896" s="124" t="s">
        <v>369</v>
      </c>
      <c r="D2896" t="s">
        <v>4892</v>
      </c>
      <c r="E2896" s="124" t="s">
        <v>4894</v>
      </c>
      <c r="F2896" s="125" t="s">
        <v>4894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25" t="str">
        <f>IF(Proc[[#This Row],[Author]]="Marcela Urrego",VLOOKUP(LEFT(Proc[[#This Row],[Requested]],1),Table3[#All],2,0),VLOOKUP(Proc[[#This Row],[Author]],Table4[],2,0))</f>
        <v>LS</v>
      </c>
      <c r="L2896" s="125" t="s">
        <v>4897</v>
      </c>
      <c r="M2896" s="113">
        <v>45861</v>
      </c>
      <c r="N2896" s="113"/>
      <c r="O2896" s="113"/>
      <c r="P2896" s="115" t="str">
        <f ca="1">IF(Proc[[#This Row],[DaysAgeing]]&gt;5,"yep","on track")</f>
        <v>on track</v>
      </c>
      <c r="Q2896" s="3">
        <f ca="1">IF(Proc[[#This Row],[DateClosed]]="",ABS(NETWORKDAYS(Proc[[#This Row],[DateOpened]],TODAY()))-1,ABS(NETWORKDAYS(Proc[[#This Row],[DateOpened]],Proc[[#This Row],[DateClosed]]))-1)</f>
        <v>5</v>
      </c>
      <c r="R2896" s="115" t="s">
        <v>489</v>
      </c>
      <c r="S2896" s="125"/>
    </row>
    <row r="2897" spans="1:19" hidden="1">
      <c r="A2897" t="s">
        <v>4898</v>
      </c>
      <c r="B2897" s="125" t="str">
        <f>IFERROR(VLOOKUP(Proc[[#This Row],[App]],Table2[],3,0),"open")</f>
        <v>ok</v>
      </c>
      <c r="C2897" s="124" t="s">
        <v>369</v>
      </c>
      <c r="D2897" t="s">
        <v>4900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25" t="str">
        <f>IF(Proc[[#This Row],[Author]]="Marcela Urrego",VLOOKUP(LEFT(Proc[[#This Row],[Requested]],1),Table3[#All],2,0),VLOOKUP(Proc[[#This Row],[Author]],Table4[],2,0))</f>
        <v>LS</v>
      </c>
      <c r="L2897" s="125" t="s">
        <v>4897</v>
      </c>
      <c r="M2897" s="113">
        <v>45861</v>
      </c>
      <c r="N2897" s="113"/>
      <c r="O2897" s="113"/>
      <c r="P2897" s="115" t="str">
        <f ca="1">IF(Proc[[#This Row],[DaysAgeing]]&gt;5,"yep","on track")</f>
        <v>on track</v>
      </c>
      <c r="Q2897" s="3">
        <f ca="1">IF(Proc[[#This Row],[DateClosed]]="",ABS(NETWORKDAYS(Proc[[#This Row],[DateOpened]],TODAY()))-1,ABS(NETWORKDAYS(Proc[[#This Row],[DateOpened]],Proc[[#This Row],[DateClosed]]))-1)</f>
        <v>5</v>
      </c>
      <c r="R2897" s="115" t="s">
        <v>972</v>
      </c>
      <c r="S2897" s="125"/>
    </row>
    <row r="2898" spans="1:19" hidden="1">
      <c r="A2898" s="124" t="s">
        <v>4898</v>
      </c>
      <c r="B2898" s="125" t="str">
        <f>IFERROR(VLOOKUP(Proc[[#This Row],[App]],Table2[],3,0),"open")</f>
        <v>ok</v>
      </c>
      <c r="C2898" s="124" t="s">
        <v>369</v>
      </c>
      <c r="D2898" t="s">
        <v>4901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25" t="str">
        <f>IF(Proc[[#This Row],[Author]]="Marcela Urrego",VLOOKUP(LEFT(Proc[[#This Row],[Requested]],1),Table3[#All],2,0),VLOOKUP(Proc[[#This Row],[Author]],Table4[],2,0))</f>
        <v>LS</v>
      </c>
      <c r="L2898" s="125" t="s">
        <v>4897</v>
      </c>
      <c r="M2898" s="113">
        <v>45861</v>
      </c>
      <c r="N2898" s="113"/>
      <c r="O2898" s="113"/>
      <c r="P2898" s="115" t="str">
        <f ca="1">IF(Proc[[#This Row],[DaysAgeing]]&gt;5,"yep","on track")</f>
        <v>on track</v>
      </c>
      <c r="Q2898" s="3">
        <f ca="1">IF(Proc[[#This Row],[DateClosed]]="",ABS(NETWORKDAYS(Proc[[#This Row],[DateOpened]],TODAY()))-1,ABS(NETWORKDAYS(Proc[[#This Row],[DateOpened]],Proc[[#This Row],[DateClosed]]))-1)</f>
        <v>5</v>
      </c>
      <c r="R2898" s="115" t="s">
        <v>972</v>
      </c>
      <c r="S2898" s="125"/>
    </row>
    <row r="2899" spans="1:19" hidden="1">
      <c r="A2899" s="124" t="s">
        <v>4898</v>
      </c>
      <c r="B2899" s="125" t="str">
        <f>IFERROR(VLOOKUP(Proc[[#This Row],[App]],Table2[],3,0),"open")</f>
        <v>ok</v>
      </c>
      <c r="C2899" s="124" t="s">
        <v>369</v>
      </c>
      <c r="D2899" t="s">
        <v>4899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25" t="str">
        <f>IF(Proc[[#This Row],[Author]]="Marcela Urrego",VLOOKUP(LEFT(Proc[[#This Row],[Requested]],1),Table3[#All],2,0),VLOOKUP(Proc[[#This Row],[Author]],Table4[],2,0))</f>
        <v>LS</v>
      </c>
      <c r="L2899" s="125" t="s">
        <v>4897</v>
      </c>
      <c r="M2899" s="113">
        <v>45861</v>
      </c>
      <c r="N2899" s="113"/>
      <c r="O2899" s="113"/>
      <c r="P2899" s="115" t="str">
        <f ca="1">IF(Proc[[#This Row],[DaysAgeing]]&gt;5,"yep","on track")</f>
        <v>on track</v>
      </c>
      <c r="Q2899" s="3">
        <f ca="1">IF(Proc[[#This Row],[DateClosed]]="",ABS(NETWORKDAYS(Proc[[#This Row],[DateOpened]],TODAY()))-1,ABS(NETWORKDAYS(Proc[[#This Row],[DateOpened]],Proc[[#This Row],[DateClosed]]))-1)</f>
        <v>5</v>
      </c>
      <c r="R2899" s="115" t="s">
        <v>972</v>
      </c>
      <c r="S2899" s="125"/>
    </row>
    <row r="2900" spans="1:19" hidden="1">
      <c r="A2900" t="s">
        <v>4905</v>
      </c>
      <c r="B2900" s="125" t="str">
        <f>IFERROR(VLOOKUP(Proc[[#This Row],[App]],Table2[],3,0),"open")</f>
        <v>ok</v>
      </c>
      <c r="C2900" t="s">
        <v>369</v>
      </c>
      <c r="D2900" t="s">
        <v>4903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4913</v>
      </c>
      <c r="J2900" s="125" t="b">
        <f>Proc[[#This Row],[Requested]]=Proc[[#This Row],[CurrentParent]]</f>
        <v>1</v>
      </c>
      <c r="K2900" s="125" t="str">
        <f>IF(Proc[[#This Row],[Author]]="Marcela Urrego",VLOOKUP(LEFT(Proc[[#This Row],[Requested]],1),Table3[#All],2,0),VLOOKUP(Proc[[#This Row],[Author]],Table4[],2,0))</f>
        <v>MGF</v>
      </c>
      <c r="L2900" s="125" t="s">
        <v>4897</v>
      </c>
      <c r="M2900" s="115">
        <v>45862.516793981478</v>
      </c>
      <c r="N2900" s="113"/>
      <c r="O2900" s="113"/>
      <c r="P2900" s="115" t="str">
        <f ca="1">IF(Proc[[#This Row],[DaysAgeing]]&gt;5,"yep","on track")</f>
        <v>on track</v>
      </c>
      <c r="Q2900" s="3">
        <f ca="1">IF(Proc[[#This Row],[DateClosed]]="",ABS(NETWORKDAYS(Proc[[#This Row],[DateOpened]],TODAY()))-1,ABS(NETWORKDAYS(Proc[[#This Row],[DateOpened]],Proc[[#This Row],[DateClosed]]))-1)</f>
        <v>4</v>
      </c>
      <c r="R2900" s="115" t="s">
        <v>515</v>
      </c>
      <c r="S2900" s="125"/>
    </row>
    <row r="2901" spans="1:19" hidden="1">
      <c r="A2901" t="s">
        <v>4905</v>
      </c>
      <c r="B2901" s="125" t="str">
        <f>IFERROR(VLOOKUP(Proc[[#This Row],[App]],Table2[],3,0),"open")</f>
        <v>ok</v>
      </c>
      <c r="C2901" s="124" t="s">
        <v>369</v>
      </c>
      <c r="D2901" t="s">
        <v>4904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4913</v>
      </c>
      <c r="J2901" s="125" t="b">
        <f>Proc[[#This Row],[Requested]]=Proc[[#This Row],[CurrentParent]]</f>
        <v>1</v>
      </c>
      <c r="K2901" s="125" t="str">
        <f>IF(Proc[[#This Row],[Author]]="Marcela Urrego",VLOOKUP(LEFT(Proc[[#This Row],[Requested]],1),Table3[#All],2,0),VLOOKUP(Proc[[#This Row],[Author]],Table4[],2,0))</f>
        <v>MGF</v>
      </c>
      <c r="L2901" s="125" t="s">
        <v>4897</v>
      </c>
      <c r="M2901" s="115">
        <v>45862.516793981478</v>
      </c>
      <c r="N2901" s="113"/>
      <c r="O2901" s="113"/>
      <c r="P2901" s="115" t="str">
        <f ca="1">IF(Proc[[#This Row],[DaysAgeing]]&gt;5,"yep","on track")</f>
        <v>on track</v>
      </c>
      <c r="Q2901" s="3">
        <f ca="1">IF(Proc[[#This Row],[DateClosed]]="",ABS(NETWORKDAYS(Proc[[#This Row],[DateOpened]],TODAY()))-1,ABS(NETWORKDAYS(Proc[[#This Row],[DateOpened]],Proc[[#This Row],[DateClosed]]))-1)</f>
        <v>4</v>
      </c>
      <c r="R2901" s="115" t="s">
        <v>515</v>
      </c>
      <c r="S2901" s="125"/>
    </row>
    <row r="2902" spans="1:19" hidden="1">
      <c r="A2902" t="s">
        <v>4906</v>
      </c>
      <c r="B2902" s="125" t="str">
        <f>IFERROR(VLOOKUP(Proc[[#This Row],[App]],Table2[],3,0),"open")</f>
        <v>ok</v>
      </c>
      <c r="C2902" s="124" t="s">
        <v>369</v>
      </c>
      <c r="D2902" t="s">
        <v>4903</v>
      </c>
      <c r="E2902" t="s">
        <v>4908</v>
      </c>
      <c r="F2902" s="125" t="s">
        <v>4908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25" t="str">
        <f>IF(Proc[[#This Row],[Author]]="Marcela Urrego",VLOOKUP(LEFT(Proc[[#This Row],[Requested]],1),Table3[#All],2,0),VLOOKUP(Proc[[#This Row],[Author]],Table4[],2,0))</f>
        <v>MGF</v>
      </c>
      <c r="L2902" s="125" t="s">
        <v>4897</v>
      </c>
      <c r="M2902" s="115">
        <v>45866.516793981478</v>
      </c>
      <c r="N2902" s="113"/>
      <c r="O2902" s="113"/>
      <c r="P2902" s="115" t="str">
        <f ca="1">IF(Proc[[#This Row],[DaysAgeing]]&gt;5,"yep","on track")</f>
        <v>on track</v>
      </c>
      <c r="Q2902" s="3">
        <f ca="1">IF(Proc[[#This Row],[DateClosed]]="",ABS(NETWORKDAYS(Proc[[#This Row],[DateOpened]],TODAY()))-1,ABS(NETWORKDAYS(Proc[[#This Row],[DateOpened]],Proc[[#This Row],[DateClosed]]))-1)</f>
        <v>2</v>
      </c>
      <c r="R2902" s="115" t="s">
        <v>515</v>
      </c>
      <c r="S2902" s="125"/>
    </row>
    <row r="2903" spans="1:19" hidden="1">
      <c r="A2903" s="124" t="s">
        <v>4906</v>
      </c>
      <c r="B2903" s="125" t="str">
        <f>IFERROR(VLOOKUP(Proc[[#This Row],[App]],Table2[],3,0),"open")</f>
        <v>ok</v>
      </c>
      <c r="C2903" s="124" t="s">
        <v>369</v>
      </c>
      <c r="D2903" t="s">
        <v>4904</v>
      </c>
      <c r="E2903" t="s">
        <v>4908</v>
      </c>
      <c r="F2903" s="125" t="s">
        <v>4908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25" t="str">
        <f>IF(Proc[[#This Row],[Author]]="Marcela Urrego",VLOOKUP(LEFT(Proc[[#This Row],[Requested]],1),Table3[#All],2,0),VLOOKUP(Proc[[#This Row],[Author]],Table4[],2,0))</f>
        <v>MGF</v>
      </c>
      <c r="L2903" s="125" t="s">
        <v>4897</v>
      </c>
      <c r="M2903" s="115">
        <v>45866.516793981478</v>
      </c>
      <c r="N2903" s="113"/>
      <c r="O2903" s="113"/>
      <c r="P2903" s="115" t="str">
        <f ca="1">IF(Proc[[#This Row],[DaysAgeing]]&gt;5,"yep","on track")</f>
        <v>on track</v>
      </c>
      <c r="Q2903" s="3">
        <f ca="1">IF(Proc[[#This Row],[DateClosed]]="",ABS(NETWORKDAYS(Proc[[#This Row],[DateOpened]],TODAY()))-1,ABS(NETWORKDAYS(Proc[[#This Row],[DateOpened]],Proc[[#This Row],[DateClosed]]))-1)</f>
        <v>2</v>
      </c>
      <c r="R2903" s="115" t="s">
        <v>515</v>
      </c>
      <c r="S2903" s="125"/>
    </row>
    <row r="2904" spans="1:19" hidden="1">
      <c r="A2904" s="124" t="s">
        <v>4906</v>
      </c>
      <c r="B2904" s="125" t="str">
        <f>IFERROR(VLOOKUP(Proc[[#This Row],[App]],Table2[],3,0),"open")</f>
        <v>ok</v>
      </c>
      <c r="C2904" s="124" t="s">
        <v>369</v>
      </c>
      <c r="D2904" t="s">
        <v>4907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25" t="str">
        <f>IF(Proc[[#This Row],[Author]]="Marcela Urrego",VLOOKUP(LEFT(Proc[[#This Row],[Requested]],1),Table3[#All],2,0),VLOOKUP(Proc[[#This Row],[Author]],Table4[],2,0))</f>
        <v>MGF</v>
      </c>
      <c r="L2904" s="125" t="s">
        <v>4897</v>
      </c>
      <c r="M2904" s="115">
        <v>45866.516793981478</v>
      </c>
      <c r="N2904" s="113"/>
      <c r="O2904" s="113"/>
      <c r="P2904" s="115" t="str">
        <f ca="1">IF(Proc[[#This Row],[DaysAgeing]]&gt;5,"yep","on track")</f>
        <v>on track</v>
      </c>
      <c r="Q2904" s="3">
        <f ca="1">IF(Proc[[#This Row],[DateClosed]]="",ABS(NETWORKDAYS(Proc[[#This Row],[DateOpened]],TODAY()))-1,ABS(NETWORKDAYS(Proc[[#This Row],[DateOpened]],Proc[[#This Row],[DateClosed]]))-1)</f>
        <v>2</v>
      </c>
      <c r="R2904" s="115" t="s">
        <v>515</v>
      </c>
      <c r="S2904" s="125"/>
    </row>
    <row r="2905" spans="1:19" hidden="1">
      <c r="A2905" t="s">
        <v>4909</v>
      </c>
      <c r="B2905" s="125" t="str">
        <f>IFERROR(VLOOKUP(Proc[[#This Row],[App]],Table2[],3,0),"open")</f>
        <v>ok</v>
      </c>
      <c r="C2905" s="124" t="s">
        <v>369</v>
      </c>
      <c r="D2905" t="s">
        <v>3130</v>
      </c>
      <c r="E2905" t="s">
        <v>4923</v>
      </c>
      <c r="F2905" s="125" t="s">
        <v>4923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25" t="str">
        <f>IF(Proc[[#This Row],[Author]]="Marcela Urrego",VLOOKUP(LEFT(Proc[[#This Row],[Requested]],1),Table3[#All],2,0),VLOOKUP(Proc[[#This Row],[Author]],Table4[],2,0))</f>
        <v>LS</v>
      </c>
      <c r="L2905" s="125" t="s">
        <v>4897</v>
      </c>
      <c r="M2905" s="115">
        <v>45866.516793981478</v>
      </c>
      <c r="N2905" s="113"/>
      <c r="O2905" s="113"/>
      <c r="P2905" s="115" t="str">
        <f ca="1">IF(Proc[[#This Row],[DaysAgeing]]&gt;5,"yep","on track")</f>
        <v>on track</v>
      </c>
      <c r="Q2905" s="3">
        <f ca="1">IF(Proc[[#This Row],[DateClosed]]="",ABS(NETWORKDAYS(Proc[[#This Row],[DateOpened]],TODAY()))-1,ABS(NETWORKDAYS(Proc[[#This Row],[DateOpened]],Proc[[#This Row],[DateClosed]]))-1)</f>
        <v>2</v>
      </c>
      <c r="R2905" s="115" t="s">
        <v>489</v>
      </c>
      <c r="S2905" s="125"/>
    </row>
    <row r="2906" spans="1:19" hidden="1">
      <c r="A2906" s="124" t="s">
        <v>4909</v>
      </c>
      <c r="B2906" s="125" t="str">
        <f>IFERROR(VLOOKUP(Proc[[#This Row],[App]],Table2[],3,0),"open")</f>
        <v>ok</v>
      </c>
      <c r="C2906" s="124" t="s">
        <v>369</v>
      </c>
      <c r="D2906" t="s">
        <v>3160</v>
      </c>
      <c r="E2906" t="s">
        <v>4923</v>
      </c>
      <c r="F2906" s="125" t="s">
        <v>4923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25" t="str">
        <f>IF(Proc[[#This Row],[Author]]="Marcela Urrego",VLOOKUP(LEFT(Proc[[#This Row],[Requested]],1),Table3[#All],2,0),VLOOKUP(Proc[[#This Row],[Author]],Table4[],2,0))</f>
        <v>LS</v>
      </c>
      <c r="L2906" s="125" t="s">
        <v>4897</v>
      </c>
      <c r="M2906" s="115">
        <v>45866.516793981478</v>
      </c>
      <c r="N2906" s="113"/>
      <c r="O2906" s="113"/>
      <c r="P2906" s="115" t="str">
        <f ca="1">IF(Proc[[#This Row],[DaysAgeing]]&gt;5,"yep","on track")</f>
        <v>on track</v>
      </c>
      <c r="Q2906" s="3">
        <f ca="1">IF(Proc[[#This Row],[DateClosed]]="",ABS(NETWORKDAYS(Proc[[#This Row],[DateOpened]],TODAY()))-1,ABS(NETWORKDAYS(Proc[[#This Row],[DateOpened]],Proc[[#This Row],[DateClosed]]))-1)</f>
        <v>2</v>
      </c>
      <c r="R2906" s="115" t="s">
        <v>489</v>
      </c>
      <c r="S2906" s="125"/>
    </row>
    <row r="2907" spans="1:19" hidden="1">
      <c r="A2907" t="s">
        <v>4910</v>
      </c>
      <c r="B2907" s="125" t="str">
        <f>IFERROR(VLOOKUP(Proc[[#This Row],[App]],Table2[],3,0),"open")</f>
        <v>ok</v>
      </c>
      <c r="C2907" s="124" t="s">
        <v>369</v>
      </c>
      <c r="D2907" t="s">
        <v>4911</v>
      </c>
      <c r="E2907" t="s">
        <v>4912</v>
      </c>
      <c r="F2907" s="125" t="s">
        <v>4912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25" t="str">
        <f>IF(Proc[[#This Row],[Author]]="Marcela Urrego",VLOOKUP(LEFT(Proc[[#This Row],[Requested]],1),Table3[#All],2,0),VLOOKUP(Proc[[#This Row],[Author]],Table4[],2,0))</f>
        <v>LS</v>
      </c>
      <c r="L2907" s="125" t="s">
        <v>4897</v>
      </c>
      <c r="M2907" s="115">
        <v>45866.516793981478</v>
      </c>
      <c r="N2907" s="113"/>
      <c r="O2907" s="113"/>
      <c r="P2907" s="115" t="str">
        <f ca="1">IF(Proc[[#This Row],[DaysAgeing]]&gt;5,"yep","on track")</f>
        <v>on track</v>
      </c>
      <c r="Q2907" s="3">
        <f ca="1">IF(Proc[[#This Row],[DateClosed]]="",ABS(NETWORKDAYS(Proc[[#This Row],[DateOpened]],TODAY()))-1,ABS(NETWORKDAYS(Proc[[#This Row],[DateOpened]],Proc[[#This Row],[DateClosed]]))-1)</f>
        <v>2</v>
      </c>
      <c r="R2907" s="115" t="s">
        <v>972</v>
      </c>
      <c r="S2907" s="125"/>
    </row>
    <row r="2908" spans="1:19">
      <c r="A2908" t="s">
        <v>4920</v>
      </c>
      <c r="B2908" s="125" t="str">
        <f>IFERROR(VLOOKUP(Proc[[#This Row],[App]],Table2[],3,0),"open")</f>
        <v>open</v>
      </c>
      <c r="C2908" t="s">
        <v>375</v>
      </c>
      <c r="D2908" t="s">
        <v>4914</v>
      </c>
      <c r="E2908" t="s">
        <v>4917</v>
      </c>
      <c r="F2908" s="125" t="s">
        <v>4924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0</v>
      </c>
      <c r="K2908" s="125" t="str">
        <f>IF(Proc[[#This Row],[Author]]="Marcela Urrego",VLOOKUP(LEFT(Proc[[#This Row],[Requested]],1),Table3[#All],2,0),VLOOKUP(Proc[[#This Row],[Author]],Table4[],2,0))</f>
        <v>HC</v>
      </c>
      <c r="L2908" s="125" t="s">
        <v>4897</v>
      </c>
      <c r="M2908" s="115">
        <v>45866.516793981478</v>
      </c>
      <c r="N2908" s="113"/>
      <c r="O2908" s="113"/>
      <c r="P2908" s="115" t="str">
        <f ca="1">IF(Proc[[#This Row],[DaysAgeing]]&gt;5,"yep","on track")</f>
        <v>on track</v>
      </c>
      <c r="Q2908" s="3">
        <f ca="1">IF(Proc[[#This Row],[DateClosed]]="",ABS(NETWORKDAYS(Proc[[#This Row],[DateOpened]],TODAY()))-1,ABS(NETWORKDAYS(Proc[[#This Row],[DateOpened]],Proc[[#This Row],[DateClosed]]))-1)</f>
        <v>2</v>
      </c>
      <c r="R2908" s="115" t="s">
        <v>764</v>
      </c>
      <c r="S2908" s="125"/>
    </row>
    <row r="2909" spans="1:19">
      <c r="A2909" s="124" t="s">
        <v>4920</v>
      </c>
      <c r="B2909" s="125" t="str">
        <f>IFERROR(VLOOKUP(Proc[[#This Row],[App]],Table2[],3,0),"open")</f>
        <v>open</v>
      </c>
      <c r="C2909" s="124" t="s">
        <v>375</v>
      </c>
      <c r="D2909" t="s">
        <v>4915</v>
      </c>
      <c r="E2909" t="s">
        <v>4918</v>
      </c>
      <c r="F2909" s="125" t="s">
        <v>4925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0</v>
      </c>
      <c r="K2909" s="125" t="str">
        <f>IF(Proc[[#This Row],[Author]]="Marcela Urrego",VLOOKUP(LEFT(Proc[[#This Row],[Requested]],1),Table3[#All],2,0),VLOOKUP(Proc[[#This Row],[Author]],Table4[],2,0))</f>
        <v>HC</v>
      </c>
      <c r="L2909" s="125" t="s">
        <v>4897</v>
      </c>
      <c r="M2909" s="115">
        <v>45866.516793981478</v>
      </c>
      <c r="N2909" s="113"/>
      <c r="O2909" s="113"/>
      <c r="P2909" s="115" t="str">
        <f ca="1">IF(Proc[[#This Row],[DaysAgeing]]&gt;5,"yep","on track")</f>
        <v>on track</v>
      </c>
      <c r="Q2909" s="3">
        <f ca="1">IF(Proc[[#This Row],[DateClosed]]="",ABS(NETWORKDAYS(Proc[[#This Row],[DateOpened]],TODAY()))-1,ABS(NETWORKDAYS(Proc[[#This Row],[DateOpened]],Proc[[#This Row],[DateClosed]]))-1)</f>
        <v>2</v>
      </c>
      <c r="R2909" s="115" t="s">
        <v>764</v>
      </c>
      <c r="S2909" s="125"/>
    </row>
    <row r="2910" spans="1:19">
      <c r="A2910" s="124" t="s">
        <v>4920</v>
      </c>
      <c r="B2910" s="125" t="str">
        <f>IFERROR(VLOOKUP(Proc[[#This Row],[App]],Table2[],3,0),"open")</f>
        <v>open</v>
      </c>
      <c r="C2910" s="124" t="s">
        <v>375</v>
      </c>
      <c r="D2910" t="s">
        <v>4916</v>
      </c>
      <c r="E2910" t="s">
        <v>4919</v>
      </c>
      <c r="F2910" s="125" t="s">
        <v>4926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0</v>
      </c>
      <c r="K2910" s="125" t="str">
        <f>IF(Proc[[#This Row],[Author]]="Marcela Urrego",VLOOKUP(LEFT(Proc[[#This Row],[Requested]],1),Table3[#All],2,0),VLOOKUP(Proc[[#This Row],[Author]],Table4[],2,0))</f>
        <v>HC</v>
      </c>
      <c r="L2910" s="125" t="s">
        <v>4897</v>
      </c>
      <c r="M2910" s="115">
        <v>45866.516793981478</v>
      </c>
      <c r="N2910" s="113"/>
      <c r="O2910" s="113"/>
      <c r="P2910" s="115" t="str">
        <f ca="1">IF(Proc[[#This Row],[DaysAgeing]]&gt;5,"yep","on track")</f>
        <v>on track</v>
      </c>
      <c r="Q2910" s="3">
        <f ca="1">IF(Proc[[#This Row],[DateClosed]]="",ABS(NETWORKDAYS(Proc[[#This Row],[DateOpened]],TODAY()))-1,ABS(NETWORKDAYS(Proc[[#This Row],[DateOpened]],Proc[[#This Row],[DateClosed]]))-1)</f>
        <v>2</v>
      </c>
      <c r="R2910" s="115" t="s">
        <v>764</v>
      </c>
      <c r="S2910" s="125"/>
    </row>
    <row r="2911" spans="1:19">
      <c r="A2911" t="s">
        <v>4922</v>
      </c>
      <c r="B2911" s="125" t="str">
        <f>IFERROR(VLOOKUP(Proc[[#This Row],[App]],Table2[],3,0),"open")</f>
        <v>open</v>
      </c>
      <c r="C2911" s="124" t="s">
        <v>370</v>
      </c>
      <c r="D2911" t="s">
        <v>4921</v>
      </c>
      <c r="E2911" t="s">
        <v>4335</v>
      </c>
      <c r="F2911" s="125" t="s">
        <v>4927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0</v>
      </c>
      <c r="K2911" s="125" t="str">
        <f>IF(Proc[[#This Row],[Author]]="Marcela Urrego",VLOOKUP(LEFT(Proc[[#This Row],[Requested]],1),Table3[#All],2,0),VLOOKUP(Proc[[#This Row],[Author]],Table4[],2,0))</f>
        <v>HC</v>
      </c>
      <c r="L2911" s="125" t="s">
        <v>4897</v>
      </c>
      <c r="M2911" s="115">
        <v>45866.516793981478</v>
      </c>
      <c r="N2911" s="113"/>
      <c r="O2911" s="113"/>
      <c r="P2911" s="115" t="str">
        <f ca="1">IF(Proc[[#This Row],[DaysAgeing]]&gt;5,"yep","on track")</f>
        <v>on track</v>
      </c>
      <c r="Q2911" s="3">
        <f ca="1">IF(Proc[[#This Row],[DateClosed]]="",ABS(NETWORKDAYS(Proc[[#This Row],[DateOpened]],TODAY()))-1,ABS(NETWORKDAYS(Proc[[#This Row],[DateOpened]],Proc[[#This Row],[DateClosed]]))-1)</f>
        <v>2</v>
      </c>
      <c r="R2911" s="115" t="s">
        <v>410</v>
      </c>
      <c r="S2911" s="125"/>
    </row>
    <row r="2912" spans="1:19">
      <c r="A2912" t="s">
        <v>4940</v>
      </c>
      <c r="B2912" s="125" t="str">
        <f>IFERROR(VLOOKUP(Proc[[#This Row],[App]],Table2[],3,0),"open")</f>
        <v>open</v>
      </c>
      <c r="C2912" s="124" t="s">
        <v>370</v>
      </c>
      <c r="D2912" t="s">
        <v>4928</v>
      </c>
      <c r="E2912" t="s">
        <v>4934</v>
      </c>
      <c r="F2912" s="125"/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0</v>
      </c>
      <c r="K2912" s="125" t="str">
        <f>IF(Proc[[#This Row],[Author]]="Marcela Urrego",VLOOKUP(LEFT(Proc[[#This Row],[Requested]],1),Table3[#All],2,0),VLOOKUP(Proc[[#This Row],[Author]],Table4[],2,0))</f>
        <v>LS</v>
      </c>
      <c r="L2912" s="125" t="s">
        <v>4897</v>
      </c>
      <c r="M2912" s="113">
        <v>45868</v>
      </c>
      <c r="N2912" s="113"/>
      <c r="O2912" s="113"/>
      <c r="P2912" s="115" t="str">
        <f ca="1">IF(Proc[[#This Row],[DaysAgeing]]&gt;5,"yep","on track")</f>
        <v>on track</v>
      </c>
      <c r="Q2912" s="3">
        <f ca="1">IF(Proc[[#This Row],[DateClosed]]="",ABS(NETWORKDAYS(Proc[[#This Row],[DateOpened]],TODAY()))-1,ABS(NETWORKDAYS(Proc[[#This Row],[DateOpened]],Proc[[#This Row],[DateClosed]]))-1)</f>
        <v>0</v>
      </c>
      <c r="R2912" s="115" t="s">
        <v>972</v>
      </c>
      <c r="S2912" s="125"/>
    </row>
    <row r="2913" spans="1:19">
      <c r="A2913" s="124" t="s">
        <v>4940</v>
      </c>
      <c r="B2913" s="125" t="str">
        <f>IFERROR(VLOOKUP(Proc[[#This Row],[App]],Table2[],3,0),"open")</f>
        <v>open</v>
      </c>
      <c r="C2913" s="124" t="s">
        <v>370</v>
      </c>
      <c r="D2913" t="s">
        <v>4929</v>
      </c>
      <c r="E2913" t="s">
        <v>4935</v>
      </c>
      <c r="F2913" s="125"/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0</v>
      </c>
      <c r="K2913" s="125" t="str">
        <f>IF(Proc[[#This Row],[Author]]="Marcela Urrego",VLOOKUP(LEFT(Proc[[#This Row],[Requested]],1),Table3[#All],2,0),VLOOKUP(Proc[[#This Row],[Author]],Table4[],2,0))</f>
        <v>LS</v>
      </c>
      <c r="L2913" s="125" t="s">
        <v>4897</v>
      </c>
      <c r="M2913" s="113">
        <v>45868</v>
      </c>
      <c r="N2913" s="113"/>
      <c r="O2913" s="113"/>
      <c r="P2913" s="115" t="str">
        <f ca="1">IF(Proc[[#This Row],[DaysAgeing]]&gt;5,"yep","on track")</f>
        <v>on track</v>
      </c>
      <c r="Q2913" s="3">
        <f ca="1">IF(Proc[[#This Row],[DateClosed]]="",ABS(NETWORKDAYS(Proc[[#This Row],[DateOpened]],TODAY()))-1,ABS(NETWORKDAYS(Proc[[#This Row],[DateOpened]],Proc[[#This Row],[DateClosed]]))-1)</f>
        <v>0</v>
      </c>
      <c r="R2913" s="115" t="s">
        <v>972</v>
      </c>
      <c r="S2913" s="125"/>
    </row>
    <row r="2914" spans="1:19">
      <c r="A2914" s="124" t="s">
        <v>4940</v>
      </c>
      <c r="B2914" s="125" t="str">
        <f>IFERROR(VLOOKUP(Proc[[#This Row],[App]],Table2[],3,0),"open")</f>
        <v>open</v>
      </c>
      <c r="C2914" s="124" t="s">
        <v>370</v>
      </c>
      <c r="D2914" t="s">
        <v>4930</v>
      </c>
      <c r="E2914" t="s">
        <v>4936</v>
      </c>
      <c r="F2914" s="125"/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0</v>
      </c>
      <c r="K2914" s="125" t="str">
        <f>IF(Proc[[#This Row],[Author]]="Marcela Urrego",VLOOKUP(LEFT(Proc[[#This Row],[Requested]],1),Table3[#All],2,0),VLOOKUP(Proc[[#This Row],[Author]],Table4[],2,0))</f>
        <v>LS</v>
      </c>
      <c r="L2914" s="125" t="s">
        <v>4897</v>
      </c>
      <c r="M2914" s="113">
        <v>45868</v>
      </c>
      <c r="N2914" s="113"/>
      <c r="O2914" s="113"/>
      <c r="P2914" s="115" t="str">
        <f ca="1">IF(Proc[[#This Row],[DaysAgeing]]&gt;5,"yep","on track")</f>
        <v>on track</v>
      </c>
      <c r="Q2914" s="3">
        <f ca="1">IF(Proc[[#This Row],[DateClosed]]="",ABS(NETWORKDAYS(Proc[[#This Row],[DateOpened]],TODAY()))-1,ABS(NETWORKDAYS(Proc[[#This Row],[DateOpened]],Proc[[#This Row],[DateClosed]]))-1)</f>
        <v>0</v>
      </c>
      <c r="R2914" s="115" t="s">
        <v>972</v>
      </c>
      <c r="S2914" s="125"/>
    </row>
    <row r="2915" spans="1:19">
      <c r="A2915" s="124" t="s">
        <v>4940</v>
      </c>
      <c r="B2915" s="125" t="str">
        <f>IFERROR(VLOOKUP(Proc[[#This Row],[App]],Table2[],3,0),"open")</f>
        <v>open</v>
      </c>
      <c r="C2915" s="124" t="s">
        <v>370</v>
      </c>
      <c r="D2915" t="s">
        <v>4931</v>
      </c>
      <c r="E2915" t="s">
        <v>4937</v>
      </c>
      <c r="F2915" s="125"/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0</v>
      </c>
      <c r="K2915" s="125" t="str">
        <f>IF(Proc[[#This Row],[Author]]="Marcela Urrego",VLOOKUP(LEFT(Proc[[#This Row],[Requested]],1),Table3[#All],2,0),VLOOKUP(Proc[[#This Row],[Author]],Table4[],2,0))</f>
        <v>LS</v>
      </c>
      <c r="L2915" s="125" t="s">
        <v>4897</v>
      </c>
      <c r="M2915" s="113">
        <v>45868</v>
      </c>
      <c r="N2915" s="113"/>
      <c r="O2915" s="113"/>
      <c r="P2915" s="115" t="str">
        <f ca="1">IF(Proc[[#This Row],[DaysAgeing]]&gt;5,"yep","on track")</f>
        <v>on track</v>
      </c>
      <c r="Q2915" s="3">
        <f ca="1">IF(Proc[[#This Row],[DateClosed]]="",ABS(NETWORKDAYS(Proc[[#This Row],[DateOpened]],TODAY()))-1,ABS(NETWORKDAYS(Proc[[#This Row],[DateOpened]],Proc[[#This Row],[DateClosed]]))-1)</f>
        <v>0</v>
      </c>
      <c r="R2915" s="115" t="s">
        <v>972</v>
      </c>
      <c r="S2915" s="125"/>
    </row>
    <row r="2916" spans="1:19">
      <c r="A2916" s="124" t="s">
        <v>4940</v>
      </c>
      <c r="B2916" s="125" t="str">
        <f>IFERROR(VLOOKUP(Proc[[#This Row],[App]],Table2[],3,0),"open")</f>
        <v>open</v>
      </c>
      <c r="C2916" s="124" t="s">
        <v>370</v>
      </c>
      <c r="D2916" t="s">
        <v>4932</v>
      </c>
      <c r="E2916" t="s">
        <v>2206</v>
      </c>
      <c r="F2916" s="125"/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0</v>
      </c>
      <c r="K2916" s="125" t="str">
        <f>IF(Proc[[#This Row],[Author]]="Marcela Urrego",VLOOKUP(LEFT(Proc[[#This Row],[Requested]],1),Table3[#All],2,0),VLOOKUP(Proc[[#This Row],[Author]],Table4[],2,0))</f>
        <v>LS</v>
      </c>
      <c r="L2916" s="125" t="s">
        <v>4897</v>
      </c>
      <c r="M2916" s="113">
        <v>45868</v>
      </c>
      <c r="N2916" s="113"/>
      <c r="O2916" s="113"/>
      <c r="P2916" s="115" t="str">
        <f ca="1">IF(Proc[[#This Row],[DaysAgeing]]&gt;5,"yep","on track")</f>
        <v>on track</v>
      </c>
      <c r="Q2916" s="3">
        <f ca="1">IF(Proc[[#This Row],[DateClosed]]="",ABS(NETWORKDAYS(Proc[[#This Row],[DateOpened]],TODAY()))-1,ABS(NETWORKDAYS(Proc[[#This Row],[DateOpened]],Proc[[#This Row],[DateClosed]]))-1)</f>
        <v>0</v>
      </c>
      <c r="R2916" s="115" t="s">
        <v>972</v>
      </c>
      <c r="S2916" s="125"/>
    </row>
    <row r="2917" spans="1:19">
      <c r="A2917" s="124" t="s">
        <v>4940</v>
      </c>
      <c r="B2917" s="125" t="str">
        <f>IFERROR(VLOOKUP(Proc[[#This Row],[App]],Table2[],3,0),"open")</f>
        <v>open</v>
      </c>
      <c r="C2917" s="124" t="s">
        <v>370</v>
      </c>
      <c r="D2917" t="s">
        <v>4933</v>
      </c>
      <c r="E2917" t="s">
        <v>4938</v>
      </c>
      <c r="F2917" s="125"/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0</v>
      </c>
      <c r="K2917" s="125" t="str">
        <f>IF(Proc[[#This Row],[Author]]="Marcela Urrego",VLOOKUP(LEFT(Proc[[#This Row],[Requested]],1),Table3[#All],2,0),VLOOKUP(Proc[[#This Row],[Author]],Table4[],2,0))</f>
        <v>LS</v>
      </c>
      <c r="L2917" s="125" t="s">
        <v>4897</v>
      </c>
      <c r="M2917" s="113">
        <v>45868</v>
      </c>
      <c r="N2917" s="113"/>
      <c r="O2917" s="113"/>
      <c r="P2917" s="115" t="str">
        <f ca="1">IF(Proc[[#This Row],[DaysAgeing]]&gt;5,"yep","on track")</f>
        <v>on track</v>
      </c>
      <c r="Q2917" s="3">
        <f ca="1">IF(Proc[[#This Row],[DateClosed]]="",ABS(NETWORKDAYS(Proc[[#This Row],[DateOpened]],TODAY()))-1,ABS(NETWORKDAYS(Proc[[#This Row],[DateOpened]],Proc[[#This Row],[DateClosed]]))-1)</f>
        <v>0</v>
      </c>
      <c r="R2917" s="115" t="s">
        <v>972</v>
      </c>
      <c r="S2917" s="125"/>
    </row>
    <row r="2918" spans="1:19">
      <c r="A2918" s="124" t="s">
        <v>4940</v>
      </c>
      <c r="B2918" s="125" t="str">
        <f>IFERROR(VLOOKUP(Proc[[#This Row],[App]],Table2[],3,0),"open")</f>
        <v>open</v>
      </c>
      <c r="C2918" s="124" t="s">
        <v>370</v>
      </c>
      <c r="D2918" t="s">
        <v>4939</v>
      </c>
      <c r="E2918" t="s">
        <v>2815</v>
      </c>
      <c r="F2918" s="125"/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0</v>
      </c>
      <c r="K2918" s="125" t="str">
        <f>IF(Proc[[#This Row],[Author]]="Marcela Urrego",VLOOKUP(LEFT(Proc[[#This Row],[Requested]],1),Table3[#All],2,0),VLOOKUP(Proc[[#This Row],[Author]],Table4[],2,0))</f>
        <v>LS</v>
      </c>
      <c r="L2918" s="125" t="s">
        <v>4897</v>
      </c>
      <c r="M2918" s="113">
        <v>45868</v>
      </c>
      <c r="N2918" s="113"/>
      <c r="O2918" s="113"/>
      <c r="P2918" s="115" t="str">
        <f ca="1">IF(Proc[[#This Row],[DaysAgeing]]&gt;5,"yep","on track")</f>
        <v>on track</v>
      </c>
      <c r="Q2918" s="3">
        <f ca="1">IF(Proc[[#This Row],[DateClosed]]="",ABS(NETWORKDAYS(Proc[[#This Row],[DateOpened]],TODAY()))-1,ABS(NETWORKDAYS(Proc[[#This Row],[DateOpened]],Proc[[#This Row],[DateClosed]]))-1)</f>
        <v>0</v>
      </c>
      <c r="R2918" s="115" t="s">
        <v>972</v>
      </c>
      <c r="S2918" s="125"/>
    </row>
  </sheetData>
  <phoneticPr fontId="0" type="noConversion"/>
  <conditionalFormatting sqref="D642">
    <cfRule type="duplicateValues" dxfId="5" priority="3"/>
  </conditionalFormatting>
  <conditionalFormatting sqref="D1017:D1042">
    <cfRule type="duplicateValues" dxfId="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G2:G2918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32AD7-5D92-4001-9904-BCBC5D639F26}">
  <sheetPr codeName="Sheet11"/>
  <dimension ref="A1:B12"/>
  <sheetViews>
    <sheetView workbookViewId="0">
      <selection activeCell="H21" sqref="H21"/>
    </sheetView>
  </sheetViews>
  <sheetFormatPr defaultRowHeight="15"/>
  <cols>
    <col min="8" max="8" width="21.5703125" bestFit="1" customWidth="1"/>
  </cols>
  <sheetData>
    <row r="1" spans="1:2">
      <c r="A1" t="s">
        <v>2319</v>
      </c>
      <c r="B1" t="e">
        <f ca="1">ELPAR("rc-2025:mCostObject_2025",A1,1)</f>
        <v>#NAME?</v>
      </c>
    </row>
    <row r="2" spans="1:2">
      <c r="A2" t="s">
        <v>4914</v>
      </c>
      <c r="B2" t="s">
        <v>4941</v>
      </c>
    </row>
    <row r="3" spans="1:2">
      <c r="A3" t="s">
        <v>4915</v>
      </c>
      <c r="B3" t="s">
        <v>4942</v>
      </c>
    </row>
    <row r="4" spans="1:2">
      <c r="A4" t="s">
        <v>4916</v>
      </c>
      <c r="B4" t="s">
        <v>4926</v>
      </c>
    </row>
    <row r="5" spans="1:2">
      <c r="A5" t="s">
        <v>4921</v>
      </c>
      <c r="B5" t="s">
        <v>4927</v>
      </c>
    </row>
    <row r="6" spans="1:2">
      <c r="A6" t="s">
        <v>4928</v>
      </c>
      <c r="B6" t="s">
        <v>4943</v>
      </c>
    </row>
    <row r="7" spans="1:2">
      <c r="A7" t="s">
        <v>4929</v>
      </c>
      <c r="B7" t="s">
        <v>4944</v>
      </c>
    </row>
    <row r="8" spans="1:2">
      <c r="A8" t="s">
        <v>4930</v>
      </c>
      <c r="B8" s="124" t="s">
        <v>4945</v>
      </c>
    </row>
    <row r="9" spans="1:2">
      <c r="A9" t="s">
        <v>4931</v>
      </c>
      <c r="B9" s="124" t="s">
        <v>4946</v>
      </c>
    </row>
    <row r="10" spans="1:2">
      <c r="A10" t="s">
        <v>4932</v>
      </c>
      <c r="B10" t="s">
        <v>4947</v>
      </c>
    </row>
    <row r="11" spans="1:2">
      <c r="A11" t="s">
        <v>4933</v>
      </c>
      <c r="B11" t="s">
        <v>4943</v>
      </c>
    </row>
    <row r="12" spans="1:2">
      <c r="A12" t="s">
        <v>4939</v>
      </c>
      <c r="B12" t="s">
        <v>4948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1"/>
  <sheetViews>
    <sheetView topLeftCell="A76" workbookViewId="0">
      <selection activeCell="B89" sqref="B89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4419</v>
      </c>
      <c r="B129" s="103" t="s">
        <v>569</v>
      </c>
    </row>
    <row r="130" spans="1:2">
      <c r="A130" t="s">
        <v>4823</v>
      </c>
      <c r="B130" s="117" t="s">
        <v>568</v>
      </c>
    </row>
    <row r="131" spans="1:2">
      <c r="A131" t="s">
        <v>4822</v>
      </c>
      <c r="B131" s="117" t="s">
        <v>568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2025-07-30T13:52:26Z</dcterms:modified>
  <cp:category/>
  <cp:contentStatus/>
</cp:coreProperties>
</file>