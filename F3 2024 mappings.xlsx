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3438EE15-AE4A-4D48-A39F-ABE590B350A8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48" i="1" l="1"/>
  <c r="H4448" i="1"/>
  <c r="J4448" i="1"/>
  <c r="K4448" i="1"/>
  <c r="Q4448" i="1"/>
  <c r="P4448" i="1" s="1"/>
  <c r="B4447" i="1"/>
  <c r="H4447" i="1"/>
  <c r="J4447" i="1"/>
  <c r="K4447" i="1"/>
  <c r="Q4447" i="1"/>
  <c r="P4447" i="1" s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  <c r="J4444" i="1"/>
  <c r="J4432" i="1"/>
  <c r="J4434" i="1"/>
  <c r="J4443" i="1"/>
  <c r="J4433" i="1"/>
  <c r="J4446" i="1"/>
  <c r="J4428" i="1"/>
  <c r="J4436" i="1"/>
  <c r="J4439" i="1"/>
  <c r="J4445" i="1"/>
  <c r="J4427" i="1"/>
  <c r="J4429" i="1"/>
  <c r="J4430" i="1"/>
  <c r="J4435" i="1"/>
  <c r="J4437" i="1"/>
  <c r="J4431" i="1"/>
  <c r="J4426" i="1"/>
  <c r="J4438" i="1"/>
  <c r="J4424" i="1"/>
  <c r="J4425" i="1"/>
  <c r="J4423" i="1"/>
  <c r="J4440" i="1"/>
  <c r="J4441" i="1"/>
  <c r="J444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<sst xmlns="http://schemas.openxmlformats.org/spreadsheetml/2006/main" count="39546" uniqueCount="6610">
  <si>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</si>
  <si>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</si>
  <si>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</si>
  <si>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</si>
  <si>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</si>
  <si>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</si>
  <si>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</si>
  <si>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</si>
  <si>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</si>
  <si>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</si>
  <si>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</si>
  <si>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</si>
  <si>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</si>
  <si>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</si>
  <si>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</si>
  <si>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</si>
  <si>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</si>
  <si>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</si>
  <si>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</si>
  <si>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</si>
  <si>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</si>
  <si>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</si>
  <si>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</si>
  <si>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</si>
  <si>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</si>
  <si>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</si>
  <si>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</si>
  <si>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</si>
  <si>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</si>
  <si>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</si>
  <si>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</si>
  <si>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</si>
  <si>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</si>
  <si>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</si>
  <si>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</si>
  <si>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</si>
  <si>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</si>
  <si>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</si>
  <si>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</si>
  <si>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</si>
  <si>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</si>
  <si>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</si>
  <si>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</si>
  <si>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</si>
  <si>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</si>
  <si>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</si>
  <si>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</si>
  <si>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</si>
  <si>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</si>
  <si>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</si>
  <si>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</si>
  <si>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</si>
  <si>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</si>
  <si>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</si>
  <si>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</si>
  <si>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</si>
  <si>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</si>
  <si>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</si>
  <si>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</si>
  <si>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</si>
  <si>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</si>
  <si>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</si>
  <si>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</si>
  <si>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</si>
  <si>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</si>
  <si>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</si>
  <si>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</si>
  <si>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</si>
  <si>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</si>
  <si>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</si>
  <si>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</si>
  <si>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</si>
  <si>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</si>
  <si>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</si>
  <si>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</si>
  <si>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</si>
  <si>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</si>
  <si>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</si>
  <si>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</si>
  <si>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</si>
  <si>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</si>
  <si>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</si>
  <si>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</si>
  <si>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</si>
  <si>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</si>
  <si>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</si>
  <si>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</si>
  <si>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</si>
  <si>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</si>
  <si>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</si>
  <si>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</si>
  <si>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</si>
  <si>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</si>
  <si>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</si>
  <si>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</si>
  <si>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</si>
  <si>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</si>
  <si>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</si>
  <si>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</si>
  <si>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</si>
  <si>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</si>
  <si>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</si>
  <si>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</si>
  <si>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</si>
  <si>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</si>
  <si>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</si>
  <si>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</si>
  <si>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</si>
  <si>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</si>
  <si>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</si>
  <si>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</si>
  <si>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</si>
  <si>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</si>
  <si>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</si>
  <si>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</si>
  <si>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</si>
  <si>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</si>
  <si>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</si>
  <si>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</si>
  <si>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</si>
  <si>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</si>
  <si>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</si>
  <si>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</si>
  <si>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</si>
  <si>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</si>
  <si>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</si>
  <si>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</si>
  <si>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</si>
  <si>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</si>
  <si>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</si>
  <si>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</si>
  <si>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</si>
  <si>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</si>
  <si>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</si>
  <si>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</si>
  <si>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</si>
  <si>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</si>
  <si>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</si>
  <si>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</si>
  <si>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</si>
  <si>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</si>
  <si>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</si>
  <si>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</si>
  <si>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</si>
  <si>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</si>
  <si>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</si>
  <si>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</si>
  <si>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</si>
  <si>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</si>
  <si>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</si>
  <si>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</si>
  <si>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</si>
  <si>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</si>
  <si>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</si>
  <si>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</si>
  <si>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</si>
  <si>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</si>
  <si>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</si>
  <si>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</si>
  <si>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</si>
  <si>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</si>
  <si>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</si>
  <si>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</si>
  <si>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</si>
  <si>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</si>
  <si>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</si>
  <si>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</si>
  <si>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</si>
  <si>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</si>
  <si>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</si>
  <si>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</si>
  <si>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</si>
  <si>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</si>
  <si>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</si>
  <si>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</si>
  <si>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</si>
  <si>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</si>
  <si>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</si>
  <si>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</si>
  <si>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</si>
  <si>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</si>
  <si>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</si>
  <si>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</si>
  <si>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</si>
  <si>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</si>
  <si>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</si>
  <si>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</si>
  <si>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</si>
  <si>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</si>
  <si>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</si>
  <si>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</si>
  <si>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</si>
  <si>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</si>
  <si>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</si>
  <si>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</si>
  <si>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</si>
  <si>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</si>
  <si>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</si>
  <si>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</si>
  <si>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</si>
  <si>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</si>
  <si>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</si>
  <si>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</si>
  <si>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</si>
  <si>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</si>
  <si>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</si>
  <si>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</si>
  <si>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</si>
  <si>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</si>
  <si>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</si>
  <si>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</si>
  <si>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</si>
  <si>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</si>
  <si>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</si>
  <si>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</si>
  <si>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</si>
  <si>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</si>
  <si>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</si>
  <si>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</si>
  <si>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</si>
  <si>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</si>
  <si>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</si>
  <si>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</si>
  <si>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</si>
  <si>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</si>
  <si>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</si>
  <si>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</si>
  <si>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</si>
  <si>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</si>
  <si>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</si>
  <si>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</si>
  <si>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</si>
  <si>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</si>
  <si>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</si>
  <si>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</si>
  <si>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</si>
  <si>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</si>
  <si>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</si>
  <si>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</si>
  <si>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</si>
  <si>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</si>
  <si>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</si>
  <si>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</si>
  <si>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</si>
  <si>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</si>
  <si>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</si>
  <si>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</si>
  <si>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</si>
  <si>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</si>
  <si>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</si>
  <si>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</si>
  <si>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</si>
  <si>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</si>
  <si>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</si>
  <si>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</si>
  <si>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</si>
  <si>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</si>
  <si>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</si>
  <si>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</si>
  <si>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</si>
  <si>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</si>
  <si>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</si>
  <si>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</si>
  <si>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</si>
  <si>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</si>
  <si>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</si>
  <si>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</si>
  <si>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</si>
  <si>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</si>
  <si>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</si>
  <si>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</si>
  <si>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</si>
  <si>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</si>
  <si>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</si>
  <si>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</si>
  <si>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</si>
  <si>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</si>
  <si>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</si>
  <si>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</si>
  <si>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</si>
  <si>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</si>
  <si>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</si>
  <si>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</si>
  <si>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</si>
  <si>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</si>
  <si>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</si>
  <si>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</si>
  <si>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</si>
  <si>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</si>
  <si>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</si>
  <si>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</si>
  <si>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</si>
  <si>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</si>
  <si>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</si>
  <si>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</si>
  <si>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</si>
  <si>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</si>
  <si>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</si>
  <si>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</si>
  <si>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</si>
  <si>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</si>
  <si>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</si>
  <si>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</si>
  <si>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</si>
  <si>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</si>
  <si>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</si>
  <si>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</si>
  <si>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</si>
  <si>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</si>
  <si>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</si>
  <si>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</si>
  <si>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</si>
  <si>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</si>
  <si>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</si>
  <si>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</si>
  <si>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</si>
  <si>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</si>
  <si>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</si>
  <si>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</si>
  <si>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</si>
  <si>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</si>
  <si>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</si>
  <si>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</si>
  <si>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</si>
  <si>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</si>
  <si>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</si>
  <si>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</si>
  <si>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</si>
  <si>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</si>
  <si>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</si>
  <si>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</si>
  <si>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</si>
  <si>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</si>
  <si>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</si>
  <si>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</si>
  <si>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</si>
  <si>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</si>
  <si>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</si>
  <si>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</si>
  <si>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</si>
  <si>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</si>
  <si>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</si>
  <si>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</si>
  <si>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</si>
  <si>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</si>
  <si>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</si>
  <si>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</si>
  <si>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</si>
  <si>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</si>
  <si>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</si>
  <si>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</si>
  <si>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</si>
  <si>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</si>
  <si>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</si>
  <si>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</si>
  <si>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</si>
  <si>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</si>
  <si>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</si>
  <si>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</si>
  <si>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</si>
  <si>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</si>
  <si>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</si>
  <si>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</si>
  <si>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</si>
  <si>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</si>
  <si>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</si>
  <si>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</si>
  <si>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</si>
  <si>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</si>
  <si>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</si>
  <si>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</si>
  <si>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</si>
  <si>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</si>
  <si>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</si>
  <si>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</si>
  <si>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</si>
  <si>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</si>
  <si>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</si>
  <si>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</si>
  <si>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</si>
  <si>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</si>
  <si>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</si>
  <si>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</si>
  <si>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</si>
  <si>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</si>
  <si>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</si>
  <si>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</si>
  <si>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</si>
  <si>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</si>
  <si>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</si>
  <si>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</si>
  <si>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</si>
  <si>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</si>
  <si>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</si>
  <si>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</si>
  <si>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</si>
  <si>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</si>
  <si>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</si>
  <si>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</si>
  <si>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</si>
  <si>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</si>
  <si>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</si>
  <si>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</si>
  <si>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</si>
  <si>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</si>
  <si>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</si>
  <si>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</si>
  <si>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</si>
  <si>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</si>
  <si>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</si>
  <si>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</si>
  <si>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</si>
  <si>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</si>
  <si>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</si>
  <si>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</si>
  <si>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</si>
  <si>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</si>
  <si>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</si>
  <si>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</si>
  <si>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</si>
  <si>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</si>
  <si>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</si>
  <si>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</si>
  <si>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</si>
  <si>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</si>
  <si>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</si>
  <si>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</si>
  <si>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</si>
  <si>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</si>
  <si>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</si>
  <si>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</si>
  <si>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</si>
  <si>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</si>
  <si>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</si>
  <si>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</si>
  <si>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</si>
  <si>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</si>
  <si>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</si>
  <si>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</si>
  <si>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</si>
  <si>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</si>
  <si>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</si>
  <si>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</si>
  <si>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</si>
  <si>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</si>
  <si>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</si>
  <si>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</si>
  <si>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</si>
  <si>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</si>
  <si>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</si>
  <si>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</si>
  <si>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</si>
  <si>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</si>
  <si>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</si>
  <si>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</si>
  <si>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</si>
  <si>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</si>
  <si>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</si>
  <si>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</si>
  <si>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</si>
  <si>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</si>
  <si>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</si>
  <si>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</si>
  <si>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</si>
  <si>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</si>
  <si>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</si>
  <si>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</si>
  <si>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</si>
  <si>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</si>
  <si>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</si>
  <si>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</si>
  <si>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</si>
  <si>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</si>
  <si>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</si>
  <si>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</si>
  <si>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</si>
  <si>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</si>
  <si>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</si>
  <si>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</si>
  <si>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</si>
  <si>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</si>
  <si>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</si>
  <si>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</si>
  <si>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</si>
  <si>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</si>
  <si>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</si>
  <si>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</si>
  <si>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</si>
  <si>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</si>
  <si>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</si>
  <si>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</si>
  <si>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</si>
  <si>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</si>
  <si>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</si>
  <si>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</si>
  <si>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</si>
  <si>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</si>
  <si>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</si>
  <si>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</si>
  <si>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</si>
  <si>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</si>
  <si>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</si>
  <si>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</si>
  <si>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</si>
  <si>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</si>
  <si>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</si>
  <si>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</si>
  <si>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</si>
  <si>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</si>
  <si>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</si>
  <si>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</si>
  <si>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</si>
  <si>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</si>
  <si>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</si>
  <si>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</si>
  <si>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</si>
  <si>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</si>
  <si>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</si>
  <si>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</si>
  <si>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</si>
  <si>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</si>
  <si>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</si>
  <si>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</si>
  <si>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</si>
  <si>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</si>
  <si>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</si>
  <si>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</si>
  <si>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</si>
  <si>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</si>
  <si>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</si>
  <si>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</si>
  <si>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</si>
  <si>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</si>
  <si>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</si>
  <si>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</si>
  <si>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</si>
  <si>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</si>
  <si>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</si>
  <si>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</si>
  <si>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</si>
  <si>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</si>
  <si>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</si>
  <si>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</si>
  <si>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</si>
  <si>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</si>
  <si>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</si>
  <si>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</si>
  <si>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</si>
  <si>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</si>
  <si>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</si>
  <si>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</si>
  <si>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</si>
  <si>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</si>
  <si>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</si>
  <si>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</si>
  <si>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</si>
  <si>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</si>
  <si>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</si>
  <si>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</si>
  <si>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</si>
  <si>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</si>
  <si>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</si>
  <si>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</si>
  <si>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</si>
  <si>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</si>
  <si>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</si>
  <si>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</si>
  <si>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</si>
  <si>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</si>
  <si>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</si>
  <si>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</si>
  <si>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</si>
  <si>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</si>
  <si>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</si>
  <si>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</si>
  <si>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</si>
  <si>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</si>
  <si>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</si>
  <si>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</si>
  <si>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</si>
  <si>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</si>
  <si>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</si>
  <si>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</si>
  <si>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</si>
  <si>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</si>
  <si>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</si>
  <si>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</si>
  <si>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</si>
  <si>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</si>
  <si>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</si>
  <si>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</si>
  <si>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</si>
  <si>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</si>
  <si>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</si>
  <si>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</si>
  <si>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</si>
  <si>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</si>
  <si>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</si>
  <si>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</si>
  <si>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</si>
  <si>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</si>
  <si>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</si>
  <si>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</si>
  <si>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</si>
  <si>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</si>
  <si>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</si>
  <si>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</si>
  <si>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</si>
  <si>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</si>
  <si>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</si>
  <si>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</si>
  <si>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</si>
  <si>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</si>
  <si>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</si>
  <si>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</si>
  <si>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</si>
  <si>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</si>
  <si>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</si>
  <si>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</si>
  <si>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</si>
  <si>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</si>
  <si>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</si>
  <si>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</si>
  <si>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</si>
  <si>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</si>
  <si>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</si>
  <si>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</si>
  <si>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</si>
  <si>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</si>
  <si>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</si>
  <si>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</si>
  <si>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</si>
  <si>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</si>
  <si>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</si>
  <si>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</si>
  <si>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</si>
  <si>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</si>
  <si>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</si>
  <si>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</si>
  <si>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</si>
  <si>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</si>
  <si>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</si>
  <si>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</si>
  <si>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</si>
  <si>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</si>
  <si>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</si>
  <si>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</si>
  <si>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</si>
  <si>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</si>
  <si>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</si>
  <si>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</si>
  <si>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</si>
  <si>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</si>
  <si>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</si>
  <si>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</si>
  <si>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</si>
  <si>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</si>
  <si>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</si>
  <si>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</si>
  <si>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</si>
  <si>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</si>
  <si>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</si>
  <si>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</si>
  <si>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</si>
  <si>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</si>
  <si>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</si>
  <si>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</si>
  <si>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</si>
  <si>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</si>
  <si>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</si>
  <si>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</si>
  <si>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</si>
  <si>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</si>
  <si>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</si>
  <si>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</si>
  <si>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</si>
  <si>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</si>
  <si>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</si>
  <si>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</si>
  <si>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</si>
  <si>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</si>
  <si>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</si>
  <si>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</si>
  <si>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</si>
  <si>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</si>
  <si>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</si>
  <si>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</si>
  <si>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</si>
  <si>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</si>
  <si>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</si>
  <si>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</si>
  <si>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</si>
  <si>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</si>
  <si>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</si>
  <si>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</si>
  <si>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</si>
  <si>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</si>
  <si>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</si>
  <si>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</si>
  <si>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</si>
  <si>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</si>
  <si>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</si>
  <si>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</si>
  <si>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</si>
  <si>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</si>
  <si>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</si>
  <si>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</si>
  <si>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</si>
  <si>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</si>
  <si>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</si>
  <si>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</si>
  <si>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</si>
  <si>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</si>
  <si>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</si>
  <si>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</si>
  <si>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</si>
  <si>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</si>
  <si>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</si>
  <si>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</si>
  <si>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</si>
  <si>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</si>
  <si>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</si>
  <si>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</si>
  <si>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</si>
  <si>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</si>
  <si>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</si>
  <si>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</si>
  <si>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</si>
  <si>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</si>
  <si>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</si>
  <si>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</si>
  <si>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</si>
  <si>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</si>
  <si>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</si>
  <si>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</si>
  <si>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</si>
  <si>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</si>
  <si>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</si>
  <si>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</si>
  <si>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</si>
  <si>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</si>
  <si>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</si>
  <si>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</si>
  <si>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</si>
  <si>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</si>
  <si>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</si>
  <si>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</si>
  <si>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</si>
  <si>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</si>
  <si>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</si>
  <si>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</si>
  <si>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</si>
  <si>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</si>
  <si>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</si>
  <si>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</si>
  <si>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</si>
  <si>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</si>
  <si>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</si>
  <si>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</si>
  <si>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</si>
  <si>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</si>
  <si>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</si>
  <si>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</si>
  <si>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</si>
  <si>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</si>
  <si>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</si>
  <si>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</si>
  <si>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</si>
  <si>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</si>
  <si>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</si>
  <si>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</si>
  <si>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</si>
  <si>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</si>
  <si>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</si>
  <si>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</si>
  <si>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</si>
  <si>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</si>
  <si>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</si>
  <si>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</si>
  <si>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</si>
  <si>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</si>
  <si>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</si>
  <si>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</si>
  <si>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</si>
  <si>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</si>
  <si>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</si>
  <si>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</si>
  <si>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</si>
  <si>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</si>
  <si>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</si>
  <si>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</si>
  <si>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</si>
  <si>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</si>
  <si>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</si>
  <si>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</si>
  <si>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</si>
  <si>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</si>
  <si>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</si>
  <si>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</si>
  <si>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</si>
  <si>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</si>
  <si>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</si>
  <si>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</si>
  <si>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</si>
  <si>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</si>
  <si>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</si>
  <si>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</si>
  <si>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</si>
  <si>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</si>
  <si>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</si>
  <si>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</si>
  <si>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</si>
  <si>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</si>
  <si>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</si>
  <si>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</si>
  <si>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</si>
  <si>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</si>
  <si>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</si>
  <si>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</si>
  <si>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</si>
  <si>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</si>
  <si>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</si>
  <si>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</si>
  <si>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</si>
  <si>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</si>
  <si>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</si>
  <si>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</si>
  <si>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</si>
  <si>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</si>
  <si>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</si>
  <si>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</si>
  <si>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</si>
  <si>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</si>
  <si>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</si>
  <si>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</si>
  <si>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</si>
  <si>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</si>
  <si>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</si>
  <si>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</si>
  <si>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</si>
  <si>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</si>
  <si>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</si>
  <si>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</si>
  <si>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</si>
  <si>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</si>
  <si>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</si>
  <si>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</si>
  <si>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</si>
  <si>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</si>
  <si>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</si>
  <si>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</si>
  <si>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</si>
  <si>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</si>
  <si>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</si>
  <si>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</si>
  <si>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</si>
  <si>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</si>
  <si>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</si>
  <si>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</si>
  <si>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</si>
  <si>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</si>
  <si>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</si>
  <si>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</si>
  <si>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</si>
  <si>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</si>
  <si>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</si>
  <si>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</si>
  <si>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</si>
  <si>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</si>
  <si>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</si>
  <si>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</si>
  <si>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</si>
  <si>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</si>
  <si>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</si>
  <si>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</si>
  <si>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</si>
  <si>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</si>
  <si>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</si>
  <si>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</si>
  <si>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</si>
  <si>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</si>
  <si>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</si>
  <si>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</si>
  <si>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</si>
  <si>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</si>
  <si>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</si>
  <si>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</si>
  <si>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</si>
  <si>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</si>
  <si>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</si>
  <si>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</si>
  <si>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</si>
  <si>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</si>
  <si>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</si>
  <si>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</si>
  <si>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</si>
  <si>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</si>
  <si>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</si>
  <si>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</si>
  <si>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</si>
  <si>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</si>
  <si>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</si>
  <si>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</si>
  <si>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</si>
  <si>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</si>
  <si>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</si>
  <si>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</si>
  <si>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</si>
  <si>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</si>
  <si>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</si>
  <si>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</si>
  <si>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</si>
  <si>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</si>
  <si>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</si>
  <si>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</si>
  <si>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</si>
  <si>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</si>
  <si>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</si>
  <si>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</si>
  <si>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</si>
  <si>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</si>
  <si>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</si>
  <si>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</si>
  <si>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</si>
  <si>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</si>
  <si>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</si>
  <si>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</si>
  <si>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</si>
  <si>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</si>
  <si>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</si>
  <si>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</si>
  <si>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</si>
  <si>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</si>
  <si>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</si>
  <si>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</si>
  <si>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</si>
  <si>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</si>
  <si>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</si>
  <si>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</si>
  <si>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</si>
  <si>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</si>
  <si>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</si>
  <si>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</si>
  <si>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</si>
  <si>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</si>
  <si>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</si>
  <si>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</si>
  <si>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</si>
  <si>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</si>
  <si>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</si>
  <si>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</si>
  <si>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</si>
  <si>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</si>
  <si>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</si>
  <si>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</si>
  <si>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</si>
  <si>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</si>
  <si>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</si>
  <si>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</si>
  <si>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</si>
  <si>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</si>
  <si>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</si>
  <si>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</si>
  <si>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</si>
  <si>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</si>
  <si>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</si>
  <si>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</si>
  <si>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</si>
  <si>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</si>
  <si>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</si>
  <si>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</si>
  <si>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</si>
  <si>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</si>
  <si>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</si>
  <si>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</si>
  <si>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</si>
  <si>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</si>
  <si>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</si>
  <si>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</si>
  <si>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</si>
  <si>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</si>
  <si>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</si>
  <si>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</si>
  <si>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</si>
  <si>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</si>
  <si>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</si>
  <si>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</si>
  <si>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</si>
  <si>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</si>
  <si>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</si>
  <si>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</si>
  <si>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</si>
  <si>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</si>
  <si>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</si>
  <si>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</si>
  <si>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</si>
  <si>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</si>
  <si>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</si>
  <si>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</si>
  <si>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</si>
  <si>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</si>
  <si>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</si>
  <si>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</si>
  <si>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</si>
  <si>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</si>
  <si>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</si>
  <si>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</si>
  <si>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</si>
  <si>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</si>
  <si>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</si>
  <si>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</si>
  <si>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</si>
  <si>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</si>
  <si>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</si>
  <si>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</si>
  <si>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</si>
  <si>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</si>
  <si>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</si>
  <si>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</si>
  <si>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</si>
  <si>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</si>
  <si>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</si>
  <si>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</si>
  <si>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</si>
  <si>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</si>
  <si>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</si>
  <si>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</si>
  <si>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</si>
  <si>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</si>
  <si>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</si>
  <si>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</si>
  <si>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</si>
  <si>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</si>
  <si>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</si>
  <si>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</si>
  <si>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</si>
  <si>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</si>
  <si>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</si>
  <si>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</si>
  <si>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</si>
  <si>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</si>
  <si>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</si>
  <si>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</si>
  <si>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</si>
  <si>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</si>
  <si>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</si>
  <si>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</si>
  <si>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</si>
  <si>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</si>
  <si>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</si>
  <si>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</si>
  <si>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</si>
  <si>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</si>
  <si>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</si>
  <si>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</si>
  <si>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</si>
  <si>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</si>
  <si>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</si>
  <si>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</si>
  <si>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</si>
  <si>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</si>
  <si>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</si>
  <si>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</si>
  <si>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</si>
  <si>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</si>
  <si>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</si>
  <si>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</si>
  <si>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</si>
  <si>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</si>
  <si>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</si>
  <si>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</si>
  <si>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</si>
  <si>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</si>
  <si>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</si>
  <si>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</si>
  <si>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</si>
  <si>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</si>
  <si>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</si>
  <si>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</si>
  <si>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</si>
  <si>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</si>
  <si>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</si>
  <si>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</si>
  <si>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</si>
  <si>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</si>
  <si>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</si>
  <si>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</si>
  <si>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</si>
  <si>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</si>
  <si>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</si>
  <si>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</si>
  <si>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</si>
  <si>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</si>
  <si>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</si>
  <si>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</si>
  <si>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</si>
  <si>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</si>
  <si>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</si>
  <si>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</si>
  <si>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</si>
  <si>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</si>
  <si>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</si>
  <si>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</si>
  <si>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</si>
  <si>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</si>
  <si>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</si>
  <si>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</si>
  <si>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</si>
  <si>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</si>
  <si>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</si>
  <si>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</si>
  <si>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</si>
  <si>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</si>
  <si>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</si>
  <si>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</si>
  <si>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</si>
  <si>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</si>
  <si>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</si>
  <si>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</si>
  <si>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</si>
  <si>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</si>
  <si>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</si>
  <si>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</si>
  <si>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</si>
  <si>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</si>
  <si>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</si>
  <si>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</si>
  <si>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</si>
  <si>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</si>
  <si>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</si>
  <si>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</si>
  <si>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</si>
  <si>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</si>
  <si>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</si>
  <si>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</si>
  <si>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</si>
  <si>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</si>
  <si>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</si>
  <si>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</si>
  <si>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</si>
  <si>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</si>
  <si>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</si>
  <si>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</si>
  <si>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</si>
  <si>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</si>
  <si>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</si>
  <si>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</si>
  <si>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</si>
  <si>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</si>
  <si>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</si>
  <si>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</si>
  <si>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</si>
  <si>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</si>
  <si>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</si>
  <si>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</si>
  <si>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</si>
  <si>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</si>
  <si>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</si>
  <si>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</si>
  <si>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</si>
  <si>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</si>
  <si>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</si>
  <si>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</si>
  <si>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</si>
  <si>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</si>
  <si>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</si>
  <si>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</si>
  <si>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</si>
  <si>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</si>
  <si>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</si>
  <si>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</si>
  <si>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</si>
  <si>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</si>
  <si>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</si>
  <si>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</si>
  <si>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</si>
  <si>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</si>
  <si>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</si>
  <si>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</si>
  <si>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</si>
  <si>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</si>
  <si>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</si>
  <si>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</si>
  <si>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</si>
  <si>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</si>
  <si>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</si>
  <si>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</si>
  <si>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</si>
  <si>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</si>
  <si>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</si>
  <si>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</si>
  <si>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</si>
  <si>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</si>
  <si>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</si>
  <si>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</si>
  <si>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</si>
  <si>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</si>
  <si>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</si>
  <si>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</si>
  <si>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</si>
  <si>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</si>
  <si>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</si>
  <si>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</si>
  <si>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</si>
  <si>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</si>
  <si>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</si>
  <si>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</si>
  <si>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</si>
  <si>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</si>
  <si>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</si>
  <si>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</si>
  <si>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</si>
  <si>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</si>
  <si>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</si>
  <si>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</si>
  <si>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</si>
  <si>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</si>
  <si>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</si>
  <si>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</si>
  <si>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</si>
  <si>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</si>
  <si>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</si>
  <si>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</si>
  <si>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</si>
  <si>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</si>
  <si>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</si>
  <si>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</si>
  <si>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</si>
  <si>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</si>
  <si>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</si>
  <si>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</si>
  <si>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</si>
  <si>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</si>
  <si>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</si>
  <si>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</si>
  <si>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</si>
  <si>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</si>
  <si>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</si>
  <si>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</si>
  <si>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</si>
  <si>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</si>
  <si>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</si>
  <si>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</si>
  <si>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</si>
  <si>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</si>
  <si>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</si>
  <si>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</si>
  <si>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</si>
  <si>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</si>
  <si>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</si>
  <si>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</si>
  <si>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</si>
  <si>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</si>
  <si>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</si>
  <si>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</si>
  <si>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</si>
  <si>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</si>
  <si>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</si>
  <si>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</si>
  <si>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</si>
  <si>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</si>
  <si>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</si>
  <si>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</si>
  <si>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</si>
  <si>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</si>
  <si>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</si>
  <si>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</si>
  <si>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</si>
  <si>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</si>
  <si>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</si>
  <si>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</si>
  <si>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</si>
  <si>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</si>
  <si>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</si>
  <si>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</si>
  <si>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</si>
  <si>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</si>
  <si>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</si>
  <si>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</si>
  <si>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</si>
  <si>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</si>
  <si>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</si>
  <si>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</si>
  <si>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</si>
  <si>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</si>
  <si>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</si>
  <si>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</si>
  <si>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</si>
  <si>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</si>
  <si>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</si>
  <si>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</si>
  <si>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</si>
  <si>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</si>
  <si>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</si>
  <si>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</si>
  <si>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</si>
  <si>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</si>
  <si>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</si>
  <si>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</si>
  <si>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</si>
  <si>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</si>
  <si>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</si>
  <si>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</si>
  <si>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</si>
  <si>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</si>
  <si>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</si>
  <si>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</si>
  <si>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</si>
  <si>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</si>
  <si>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</si>
  <si>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</si>
  <si>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</si>
  <si>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</si>
  <si>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</si>
  <si>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</si>
  <si>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</si>
  <si>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</si>
  <si>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</si>
  <si>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</si>
  <si>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</si>
  <si>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</si>
  <si>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</si>
  <si>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</si>
  <si>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</si>
  <si>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</si>
  <si>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</si>
  <si>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</si>
  <si>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</si>
  <si>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</si>
  <si>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</si>
  <si>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</si>
  <si>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</si>
  <si>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</si>
  <si>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</si>
  <si>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</si>
  <si>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</si>
  <si>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</si>
  <si>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</si>
  <si>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</si>
  <si>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</si>
  <si>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</si>
  <si>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</si>
  <si>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</si>
  <si>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</si>
  <si>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</si>
  <si>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</si>
  <si>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</si>
  <si>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</si>
  <si>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</si>
  <si>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</si>
  <si>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</si>
  <si>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</si>
  <si>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</si>
  <si>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</si>
  <si>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</si>
  <si>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</si>
  <si>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</si>
  <si>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</si>
  <si>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</si>
  <si>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</si>
  <si>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</si>
  <si>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</si>
  <si>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</si>
  <si>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</si>
  <si>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</si>
  <si>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</si>
  <si>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</si>
  <si>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</si>
  <si>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</si>
  <si>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</si>
  <si>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</si>
  <si>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</si>
  <si>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</si>
  <si>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</si>
  <si>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</si>
  <si>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</si>
  <si>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</si>
  <si>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</si>
  <si>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</si>
  <si>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</si>
  <si>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</si>
  <si>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</si>
  <si>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</si>
  <si>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</si>
  <si>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</si>
  <si>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</si>
  <si>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</si>
  <si>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</si>
  <si>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</si>
  <si>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</si>
  <si>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</si>
  <si>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</si>
  <si>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</si>
  <si>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</si>
  <si>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</si>
  <si>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</si>
  <si>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</si>
  <si>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</si>
  <si>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</si>
  <si>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</si>
  <si>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</si>
  <si>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</si>
  <si>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</si>
  <si>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</si>
  <si>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</si>
  <si>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</si>
  <si>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</si>
  <si>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</si>
  <si>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</si>
  <si>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</si>
  <si>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</si>
  <si>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</si>
  <si>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</si>
  <si>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</si>
  <si>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</si>
  <si>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</si>
  <si>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</si>
  <si>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</si>
  <si>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</si>
  <si>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</si>
  <si>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</si>
  <si>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</si>
  <si>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</si>
  <si>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</si>
  <si>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</si>
  <si>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</si>
  <si>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</si>
  <si>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</si>
  <si>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</si>
  <si>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</si>
  <si>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</si>
  <si>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</si>
  <si>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</si>
  <si>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</si>
  <si>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</si>
  <si>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</si>
  <si>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</si>
  <si>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</si>
  <si>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</si>
  <si>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</si>
  <si>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</si>
  <si>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</si>
  <si>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</si>
  <si>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</si>
  <si>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</si>
  <si>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</si>
  <si>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</si>
  <si>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</si>
  <si>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</si>
  <si>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</si>
  <si>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</si>
  <si>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</si>
  <si>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</si>
  <si>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</si>
  <si>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</si>
  <si>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</si>
  <si>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</si>
  <si>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</si>
  <si>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</si>
  <si>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</si>
  <si>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</si>
  <si>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</si>
  <si>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</si>
  <si>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</si>
  <si>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</si>
  <si>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</si>
  <si>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</si>
  <si>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</si>
  <si>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</si>
  <si>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</si>
  <si>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</si>
  <si>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</si>
  <si>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</si>
  <si>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</si>
  <si>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</si>
  <si>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</si>
  <si>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</si>
  <si>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</si>
  <si>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</si>
  <si>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</si>
  <si>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</si>
  <si>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</si>
  <si>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</si>
  <si>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</si>
  <si>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</si>
  <si>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</si>
  <si>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</si>
  <si>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</si>
  <si>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</si>
  <si>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</si>
  <si>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</si>
  <si>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</si>
  <si>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</si>
  <si>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</si>
  <si>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</si>
  <si>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</si>
  <si>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</si>
  <si>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</si>
  <si>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</si>
  <si>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</si>
  <si>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</si>
  <si>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</si>
  <si>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</si>
  <si>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</si>
  <si>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</si>
  <si>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</si>
  <si>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</si>
  <si>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</si>
  <si>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</si>
  <si>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</si>
  <si>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</si>
  <si>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</si>
  <si>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</si>
  <si>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</si>
  <si>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</si>
  <si>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</si>
  <si>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</si>
  <si>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</si>
  <si>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</si>
  <si>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</si>
  <si>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</si>
  <si>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</si>
  <si>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</si>
  <si>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</si>
  <si>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</si>
  <si>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</si>
  <si>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</si>
  <si>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</si>
  <si>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</si>
  <si>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</si>
  <si>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</si>
  <si>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</si>
  <si>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</si>
  <si>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</si>
  <si>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</si>
  <si>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</si>
  <si>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</si>
  <si>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</si>
  <si>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</si>
  <si>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</si>
  <si>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</si>
  <si>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</si>
  <si>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</si>
  <si>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</si>
  <si>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</si>
  <si>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</si>
  <si>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</si>
  <si>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</si>
  <si>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</si>
  <si>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</si>
  <si>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</si>
  <si>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</si>
  <si>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</si>
  <si>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</si>
  <si>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</si>
  <si>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</si>
  <si>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</si>
  <si>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</si>
  <si>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</si>
  <si>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</si>
  <si>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</si>
  <si>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</si>
  <si>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</si>
  <si>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</si>
  <si>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</si>
  <si>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</si>
  <si>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</si>
  <si>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</si>
  <si>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</si>
  <si>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</si>
  <si>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</si>
  <si>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</si>
  <si>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</si>
  <si>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</si>
  <si>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</si>
  <si>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</si>
  <si>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</si>
  <si>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</si>
  <si>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</si>
  <si>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</si>
  <si>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</si>
  <si>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</si>
  <si>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</si>
  <si>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</si>
  <si>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</si>
  <si>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</si>
  <si>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</si>
  <si>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</si>
  <si>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</si>
  <si>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</si>
  <si>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</si>
  <si>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</si>
  <si>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</si>
  <si>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</si>
  <si>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</si>
  <si>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</si>
  <si>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</si>
  <si>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</si>
  <si>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</si>
  <si>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</si>
  <si>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</si>
  <si>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</si>
  <si>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</si>
  <si>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</si>
  <si>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</si>
  <si>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</si>
  <si>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</si>
  <si>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</si>
  <si>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</si>
  <si>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</si>
  <si>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</si>
  <si>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</si>
  <si>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</si>
  <si>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</si>
  <si>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</si>
  <si>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</si>
  <si>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</si>
  <si>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</si>
  <si>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</si>
  <si>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</si>
  <si>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</si>
  <si>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</si>
  <si>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</si>
  <si>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</si>
  <si>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</si>
  <si>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</si>
  <si>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</si>
  <si>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</si>
  <si>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</si>
  <si>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</si>
  <si>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</si>
  <si>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</si>
  <si>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</si>
  <si>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</si>
  <si>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</si>
  <si>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</si>
  <si>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</si>
  <si>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</si>
  <si>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</si>
  <si>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</si>
  <si>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</si>
  <si>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</si>
  <si>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</si>
  <si>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</si>
  <si>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</si>
  <si>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</si>
  <si>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</si>
  <si>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</si>
  <si>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</si>
  <si>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</si>
  <si>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</si>
  <si>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</si>
  <si>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</si>
  <si>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</si>
  <si>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</si>
  <si>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</si>
  <si>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</si>
  <si>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</si>
  <si>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</si>
  <si>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</si>
  <si>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</si>
  <si>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</si>
  <si>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</si>
  <si>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</si>
  <si>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</si>
  <si>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</si>
  <si>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</si>
  <si>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</si>
  <si>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</si>
  <si>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</si>
  <si>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</si>
  <si>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</si>
  <si>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</si>
  <si>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</si>
  <si>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</si>
  <si>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</si>
  <si>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</si>
  <si>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</si>
  <si>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</si>
  <si>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</si>
  <si>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</si>
  <si>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</si>
  <si>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</si>
  <si>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</si>
  <si>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</si>
  <si>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</si>
  <si>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</si>
  <si>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</si>
  <si>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</si>
  <si>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</si>
  <si>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</si>
  <si>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</si>
  <si>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</si>
  <si>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</si>
  <si>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</si>
  <si>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</si>
  <si>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</si>
  <si>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</si>
  <si>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</si>
  <si>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</si>
  <si>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</si>
  <si>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</si>
  <si>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</si>
  <si>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</si>
  <si>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</si>
  <si>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</si>
  <si>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</si>
  <si>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</si>
  <si>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</si>
  <si>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</si>
  <si>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</si>
  <si>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</si>
  <si>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</si>
  <si>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</si>
  <si>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</si>
  <si>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</si>
  <si>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</si>
  <si>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</si>
  <si>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</si>
  <si>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</si>
  <si>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</si>
  <si>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</si>
  <si>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</si>
  <si>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</si>
  <si>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</si>
  <si>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</si>
  <si>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</si>
  <si>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</si>
  <si>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</si>
  <si>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</si>
  <si>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</si>
  <si>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</si>
  <si>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</si>
  <si>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</si>
  <si>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</si>
  <si>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</si>
  <si>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</si>
  <si>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</si>
  <si>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</si>
  <si>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</si>
  <si>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</si>
  <si>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</si>
  <si>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</si>
  <si>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</si>
  <si>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</si>
  <si>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</si>
  <si>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</si>
  <si>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</si>
  <si>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</si>
  <si>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</si>
  <si>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</si>
  <si>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</si>
  <si>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</si>
  <si>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</si>
  <si>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</si>
  <si>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</si>
  <si>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</si>
  <si>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</si>
  <si>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</si>
  <si>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</si>
  <si>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</si>
  <si>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</si>
  <si>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</si>
  <si>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</si>
  <si>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</si>
  <si>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</si>
  <si>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</si>
  <si>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</si>
  <si>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</si>
  <si>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</si>
  <si>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</si>
  <si>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</si>
  <si>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</si>
  <si>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</si>
  <si>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</si>
  <si>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</si>
  <si>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</si>
  <si>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</si>
  <si>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</si>
  <si>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</si>
  <si>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</si>
  <si>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</si>
  <si>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</si>
  <si>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</si>
  <si>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</si>
  <si>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</si>
  <si>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</si>
  <si>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</si>
  <si>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</si>
  <si>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</si>
  <si>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</si>
  <si>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</si>
  <si>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</si>
  <si>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</si>
  <si>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</si>
  <si>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</si>
  <si>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</si>
  <si>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</si>
  <si>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</si>
  <si>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</si>
  <si>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</si>
  <si>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</si>
  <si>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</si>
  <si>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</si>
  <si>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</si>
  <si>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</si>
  <si>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</si>
  <si>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</si>
  <si>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</si>
  <si>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</si>
  <si>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</si>
  <si>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</si>
  <si>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</si>
  <si>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</si>
  <si>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</si>
  <si>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</si>
  <si>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</si>
  <si>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</si>
  <si>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</si>
  <si>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</si>
  <si>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</si>
  <si>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</si>
  <si>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</si>
  <si>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</si>
  <si>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</si>
  <si>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</si>
  <si>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</si>
  <si>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</si>
  <si>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</si>
  <si>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</si>
  <si>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</si>
  <si>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</si>
  <si>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</si>
  <si>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</si>
  <si>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</si>
  <si>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</si>
  <si>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</si>
  <si>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</si>
  <si>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</si>
  <si>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</si>
  <si>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</si>
  <si>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</si>
  <si>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</si>
  <si>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</si>
  <si>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</si>
  <si>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</si>
  <si>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</si>
  <si>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</si>
  <si>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</si>
  <si>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</si>
  <si>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</si>
  <si>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</si>
  <si>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</si>
  <si>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</si>
  <si>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</si>
  <si>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</si>
  <si>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</si>
  <si>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</si>
  <si>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</si>
  <si>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</si>
  <si>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</si>
  <si>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</si>
  <si>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</si>
  <si>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</si>
  <si>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</si>
  <si>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</si>
  <si>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</si>
  <si>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</si>
  <si>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</si>
  <si>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</si>
  <si>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</si>
  <si>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</si>
  <si>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</si>
  <si>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</si>
  <si>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</si>
  <si>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</si>
  <si>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</si>
  <si>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</si>
  <si>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</si>
  <si>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</si>
  <si>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</si>
  <si>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</si>
  <si>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</si>
  <si>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</si>
  <si>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</si>
  <si>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</si>
  <si>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</si>
  <si>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</si>
  <si>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</si>
  <si>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</si>
  <si>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</si>
  <si>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</si>
  <si>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</si>
  <si>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</si>
  <si>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</si>
  <si>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</si>
  <si>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</si>
  <si>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</si>
  <si>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</si>
  <si>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</si>
  <si>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</si>
  <si>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</si>
  <si>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</si>
  <si>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</si>
  <si>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</si>
  <si>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</si>
  <si>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</si>
  <si>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</si>
  <si>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</si>
  <si>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</si>
  <si>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</si>
  <si>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</si>
  <si>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</si>
  <si>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</si>
  <si>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</si>
  <si>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</si>
  <si>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</si>
  <si>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</si>
  <si>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</si>
  <si>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</si>
  <si>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</si>
  <si>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</si>
  <si>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</si>
  <si>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</si>
  <si>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</si>
  <si>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</si>
  <si>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</si>
  <si>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</si>
  <si>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</si>
  <si>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</si>
  <si>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</si>
  <si>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</si>
  <si>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</si>
  <si>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</si>
  <si>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</si>
  <si>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</si>
  <si>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</si>
  <si>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</si>
  <si>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</si>
  <si>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</si>
  <si>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</si>
  <si>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</si>
  <si>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</si>
  <si>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</si>
  <si>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</si>
  <si>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</si>
  <si>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</si>
  <si>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</si>
  <si>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</si>
  <si>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</si>
  <si>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</si>
  <si>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</si>
  <si>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</si>
  <si>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</si>
  <si>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</si>
  <si>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</si>
  <si>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</si>
  <si>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</si>
  <si>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</si>
  <si>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</si>
  <si>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</si>
  <si>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</si>
  <si>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</si>
  <si>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</si>
  <si>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</si>
  <si>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</si>
  <si>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</si>
  <si>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</si>
  <si>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</si>
  <si>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</si>
  <si>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</si>
  <si>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</si>
  <si>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</si>
  <si>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</si>
  <si>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</si>
  <si>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</si>
  <si>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</si>
  <si>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</si>
  <si>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</si>
  <si>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</si>
  <si>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</si>
  <si>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</si>
  <si>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</si>
  <si>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</si>
  <si>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</si>
  <si>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</si>
  <si>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</si>
  <si>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</si>
  <si>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</si>
  <si>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</si>
  <si>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</si>
  <si>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</si>
  <si>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</si>
  <si>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</si>
  <si>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</si>
  <si>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</si>
  <si>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</si>
  <si>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</si>
  <si>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</si>
  <si>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</si>
  <si>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</si>
  <si>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</si>
  <si>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</si>
  <si>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</si>
  <si>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</si>
  <si>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</si>
  <si>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</si>
  <si>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</si>
  <si>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</si>
  <si>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</si>
  <si>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</si>
  <si>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</si>
  <si>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</si>
  <si>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</si>
  <si>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</si>
  <si>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</si>
  <si>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</si>
  <si>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</si>
  <si>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</si>
  <si>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</si>
  <si>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</si>
  <si>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</si>
  <si>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</si>
  <si>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</si>
  <si>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</si>
  <si>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</si>
  <si>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</si>
  <si>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</si>
  <si>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</si>
  <si>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</si>
  <si>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</si>
  <si>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</si>
  <si>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</si>
  <si>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</si>
  <si>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</si>
  <si>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</si>
  <si>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</si>
  <si>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</si>
  <si>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</si>
  <si>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</si>
  <si>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</si>
  <si>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</si>
  <si>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</si>
  <si>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</si>
  <si>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</si>
  <si>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</si>
  <si>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</si>
  <si>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</si>
  <si>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</si>
  <si>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</si>
  <si>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</si>
  <si>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</si>
  <si>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</si>
  <si>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</si>
  <si>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</si>
  <si>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</si>
  <si>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</si>
  <si>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</si>
  <si>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</si>
  <si>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</si>
  <si>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</si>
  <si>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</si>
  <si>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</si>
  <si>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</si>
  <si>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</si>
  <si>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</si>
  <si>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</si>
  <si>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</si>
  <si>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</si>
  <si>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</si>
  <si>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</si>
  <si>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</si>
  <si>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</si>
  <si>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</si>
  <si>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</si>
  <si>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</si>
  <si>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</si>
  <si>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</si>
  <si>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</si>
  <si>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</si>
  <si>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</si>
  <si>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</si>
  <si>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</si>
  <si>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</si>
  <si>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</si>
  <si>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</si>
  <si>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</si>
  <si>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</si>
  <si>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</si>
  <si>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</si>
  <si>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</si>
  <si>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</si>
  <si>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</si>
  <si>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</si>
  <si>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</si>
  <si>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</si>
  <si>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</si>
  <si>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</si>
  <si>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</si>
  <si>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</si>
  <si>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</si>
  <si>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</si>
  <si>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</si>
  <si>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</si>
  <si>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</si>
  <si>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</si>
  <si>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</si>
  <si>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</si>
  <si>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</si>
  <si>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</si>
  <si>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</si>
  <si>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</si>
  <si>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</si>
  <si>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</si>
  <si>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</si>
  <si>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</si>
  <si>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</si>
  <si>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</si>
  <si>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</si>
  <si>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</si>
  <si>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</si>
  <si>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</si>
  <si>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</si>
  <si>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</si>
  <si>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</si>
  <si>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</si>
  <si>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</si>
  <si>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</si>
  <si>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</si>
  <si>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</si>
  <si>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</si>
  <si>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</si>
  <si>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</si>
  <si>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</si>
  <si>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</si>
  <si>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</si>
  <si>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</si>
  <si>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</si>
  <si>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</si>
  <si>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</si>
  <si>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</si>
  <si>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</si>
  <si>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</si>
  <si>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</si>
  <si>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</si>
  <si>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</si>
  <si>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</si>
  <si>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</si>
  <si>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</si>
  <si>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</si>
  <si>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</si>
  <si>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</si>
  <si>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</si>
  <si>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</si>
  <si>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</si>
  <si>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</si>
  <si>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</si>
  <si>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</si>
  <si>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</si>
  <si>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</si>
  <si>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</si>
  <si>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</si>
  <si>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</si>
  <si>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</si>
  <si>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</si>
  <si>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</si>
  <si>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</si>
  <si>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</si>
  <si>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</si>
  <si>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</si>
  <si>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</si>
  <si>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</si>
  <si>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</si>
  <si>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</si>
  <si>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</si>
  <si>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</si>
  <si>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</si>
  <si>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</si>
  <si>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</si>
  <si>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</si>
  <si>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</si>
  <si>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</si>
  <si>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</si>
  <si>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</si>
  <si>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</si>
  <si>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</si>
  <si>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</si>
  <si>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</si>
  <si>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</si>
  <si>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</si>
  <si>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</si>
  <si>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</si>
  <si>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</si>
  <si>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</si>
  <si>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</si>
  <si>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</si>
  <si>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</si>
  <si>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</si>
  <si>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</si>
  <si>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</si>
  <si>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</si>
  <si>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</si>
  <si>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</si>
  <si>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</si>
  <si>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</si>
  <si>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</si>
  <si>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</si>
  <si>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</si>
  <si>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</si>
  <si>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</si>
  <si>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</si>
  <si>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</si>
  <si>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</si>
  <si>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</si>
  <si>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</si>
  <si>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</si>
  <si>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</si>
  <si>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</si>
  <si>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</si>
  <si>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</si>
  <si>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</si>
  <si>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</si>
  <si>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</si>
  <si>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</si>
  <si>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</si>
  <si>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</si>
  <si>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</si>
  <si>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</si>
  <si>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</si>
  <si>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</si>
  <si>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</si>
  <si>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</si>
  <si>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</si>
  <si>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</si>
  <si>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</si>
  <si>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</si>
  <si>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</si>
  <si>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</si>
  <si>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</si>
  <si>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</si>
  <si>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</si>
  <si>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</si>
  <si>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</si>
  <si>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</si>
  <si>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</si>
  <si>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</si>
  <si>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</si>
  <si>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</si>
  <si>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</si>
  <si>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</si>
  <si>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</si>
  <si>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</si>
  <si>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</si>
  <si>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</si>
  <si>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</si>
  <si>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</si>
  <si>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</si>
  <si>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</si>
  <si>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</si>
  <si>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</si>
  <si>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</si>
  <si>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</si>
  <si>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</si>
  <si>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</si>
  <si>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</si>
  <si>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</si>
  <si>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</si>
  <si>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</si>
  <si>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</si>
  <si>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</si>
  <si>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</si>
  <si>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</si>
  <si>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</si>
  <si>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</si>
  <si>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</si>
  <si>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</si>
  <si>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</si>
  <si>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</si>
  <si>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</si>
  <si>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</si>
  <si>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</si>
  <si>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</si>
  <si>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</si>
  <si>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</si>
  <si>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</si>
  <si>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</si>
  <si>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</si>
  <si>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</si>
  <si>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</si>
  <si>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</si>
  <si>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</si>
  <si>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</si>
  <si>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</si>
  <si>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</si>
  <si>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</si>
  <si>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</si>
  <si>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</si>
  <si>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</si>
  <si>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</si>
  <si>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</si>
  <si>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</si>
  <si>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</si>
  <si>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</si>
  <si>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</si>
  <si>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</si>
  <si>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</si>
  <si>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</si>
  <si>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</si>
  <si>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</si>
  <si>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</si>
  <si>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</si>
  <si>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</si>
  <si>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</si>
  <si>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</si>
  <si>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</si>
  <si>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</si>
  <si>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</si>
  <si>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</si>
  <si>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</si>
  <si>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</si>
  <si>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</si>
  <si>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</si>
  <si>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</si>
  <si>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</si>
  <si>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</si>
  <si>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</si>
  <si>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</si>
  <si>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</si>
  <si>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</si>
  <si>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</si>
  <si>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</si>
  <si>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</si>
  <si>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</si>
  <si>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</si>
  <si>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</si>
  <si>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</si>
  <si>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</si>
  <si>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</si>
  <si>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</si>
  <si>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</si>
  <si>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</si>
  <si>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</si>
  <si>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</si>
  <si>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</si>
  <si>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</si>
  <si>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</si>
  <si>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</si>
  <si>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</si>
  <si>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</si>
  <si>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</si>
  <si>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</si>
  <si>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</si>
  <si>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</si>
  <si>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</si>
  <si>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</si>
  <si>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</si>
  <si>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</si>
  <si>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</si>
  <si>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</si>
  <si>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</si>
  <si>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</si>
  <si>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</si>
  <si>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</si>
  <si>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</si>
  <si>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</si>
  <si>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</si>
  <si>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</si>
  <si>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</si>
  <si>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</si>
  <si>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</si>
  <si>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</si>
  <si>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</si>
  <si>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</si>
  <si>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</si>
  <si>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</si>
  <si>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</si>
  <si>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</si>
  <si>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</si>
  <si>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</si>
  <si>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</si>
  <si>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</si>
  <si>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</si>
  <si>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</si>
  <si>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</si>
  <si>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</si>
  <si>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</si>
  <si>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</si>
  <si>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</si>
  <si>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</si>
  <si>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</si>
  <si>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</si>
  <si>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</si>
  <si>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</si>
  <si>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</si>
  <si>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</si>
  <si>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</si>
  <si>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</si>
  <si>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</si>
  <si>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</si>
  <si>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</si>
  <si>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</si>
  <si>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</si>
  <si>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</si>
  <si>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</si>
  <si>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</si>
  <si>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</si>
  <si>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</si>
  <si>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</si>
  <si>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</si>
  <si>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</si>
  <si>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</si>
  <si>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</si>
  <si>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</si>
  <si>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</si>
  <si>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</si>
  <si>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</si>
  <si>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</si>
  <si>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</si>
  <si>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</si>
  <si>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</si>
  <si>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</si>
  <si>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</si>
  <si>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</si>
  <si>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</si>
  <si>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</si>
  <si>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</si>
  <si>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</si>
  <si>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</si>
  <si>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</si>
  <si>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</si>
  <si>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</si>
  <si>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</si>
  <si>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</si>
  <si>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</si>
  <si>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</si>
  <si>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</si>
  <si>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</si>
  <si>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</si>
  <si>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</si>
  <si>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</si>
  <si>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</si>
  <si>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</si>
  <si>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</si>
  <si>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</si>
  <si>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</si>
  <si>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</si>
  <si>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</si>
  <si>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</si>
  <si>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</si>
  <si>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</si>
  <si>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</si>
  <si>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</si>
  <si>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</si>
  <si>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</si>
  <si>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</si>
  <si>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</si>
  <si>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</si>
  <si>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</si>
  <si>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</si>
  <si>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</si>
  <si>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</si>
  <si>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</si>
  <si>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</si>
  <si>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</si>
  <si>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</si>
  <si>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</si>
  <si>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</si>
  <si>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</si>
  <si>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</si>
  <si>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</si>
  <si>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</si>
  <si>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</si>
  <si>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</si>
  <si>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</si>
  <si>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</si>
  <si>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</si>
  <si>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</si>
  <si>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</si>
  <si>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</si>
  <si>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</si>
  <si>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</si>
  <si>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</si>
  <si>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</si>
  <si>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</si>
  <si>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</si>
  <si>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</si>
  <si>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</si>
  <si>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</si>
  <si>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</si>
  <si>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</si>
  <si>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</si>
  <si>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</si>
  <si>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</si>
  <si>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</si>
  <si>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</si>
  <si>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</si>
  <si>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</si>
  <si>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</si>
  <si>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</si>
  <si>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</si>
  <si>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</si>
  <si>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</si>
  <si>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</si>
  <si>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</si>
  <si>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</si>
  <si>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</si>
  <si>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</si>
  <si>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</si>
  <si>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</si>
  <si>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</si>
  <si>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</si>
  <si>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</si>
  <si>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</si>
  <si>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</si>
  <si>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</si>
  <si>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</si>
  <si>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</si>
  <si>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</si>
  <si>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</si>
  <si>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</si>
  <si>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</si>
  <si>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</si>
  <si>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</si>
  <si>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</si>
  <si>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</si>
  <si>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</si>
  <si>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</si>
  <si>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</si>
  <si>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</si>
  <si>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</si>
  <si>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</si>
  <si>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</si>
  <si>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</si>
  <si>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</si>
  <si>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</si>
  <si>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</si>
  <si>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</si>
  <si>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</si>
  <si>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</si>
  <si>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</si>
  <si>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</si>
  <si>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</si>
  <si>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</si>
  <si>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</si>
  <si>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</si>
  <si>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</si>
  <si>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</si>
  <si>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</si>
  <si>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</si>
  <si>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</si>
  <si>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</si>
  <si>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</si>
  <si>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</si>
  <si>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</si>
  <si>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</si>
  <si>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</si>
  <si>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</si>
  <si>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</si>
  <si>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</si>
  <si>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</si>
  <si>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</si>
  <si>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</si>
  <si>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</si>
  <si>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</si>
  <si>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</si>
  <si>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</si>
  <si>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</si>
  <si>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</si>
  <si>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</si>
  <si>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</si>
  <si>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</si>
  <si>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</si>
  <si>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</si>
  <si>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</si>
  <si>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</si>
  <si>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</si>
  <si>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</si>
  <si>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</si>
  <si>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</si>
  <si>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</si>
  <si>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</si>
  <si>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</si>
  <si>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</si>
  <si>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</si>
  <si>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</si>
  <si>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</si>
  <si>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</si>
  <si>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</si>
  <si>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</si>
  <si>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</si>
  <si>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</si>
  <si>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</si>
  <si>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</si>
  <si>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</si>
  <si>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</si>
  <si>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</si>
  <si>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</si>
  <si>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</si>
  <si>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</si>
  <si>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</si>
  <si>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</si>
  <si>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</si>
  <si>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</si>
  <si>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</si>
  <si>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</si>
  <si>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</si>
  <si>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</si>
  <si>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</si>
  <si>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</si>
  <si>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</si>
  <si>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</si>
  <si>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</si>
  <si>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</si>
  <si>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</si>
  <si>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</si>
  <si>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</si>
  <si>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</si>
  <si>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</si>
  <si>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</si>
  <si>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</si>
  <si>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</si>
  <si>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</si>
  <si>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</si>
  <si>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</si>
  <si>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</si>
  <si>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</si>
  <si>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</si>
  <si>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</si>
  <si>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</si>
  <si>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</si>
  <si>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</si>
  <si>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</si>
  <si>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</si>
  <si>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</si>
  <si>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</si>
  <si>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</si>
  <si>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</si>
  <si>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</si>
  <si>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</si>
  <si>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</si>
  <si>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</si>
  <si>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</si>
  <si>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</si>
  <si>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</si>
  <si>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</si>
  <si>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</si>
  <si>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</si>
  <si>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</si>
  <si>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</si>
  <si>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</si>
  <si>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</si>
  <si>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</si>
  <si>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</si>
  <si>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</si>
  <si>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</si>
  <si>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</si>
  <si>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</si>
  <si>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</si>
  <si>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</si>
  <si>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</si>
  <si>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</si>
  <si>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</si>
  <si>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</si>
  <si>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</si>
  <si>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</si>
  <si>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</si>
  <si>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</si>
  <si>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</si>
  <si>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</si>
  <si>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</si>
  <si>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</si>
  <si>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</si>
  <si>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</si>
  <si>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</si>
  <si>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</si>
  <si>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</si>
  <si>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</si>
  <si>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</si>
  <si>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</si>
  <si>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</si>
  <si>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</si>
  <si>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</si>
  <si>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</si>
  <si>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</si>
  <si>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</si>
  <si>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</si>
  <si>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</si>
  <si>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</si>
  <si>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</si>
  <si>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</si>
  <si>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</si>
  <si>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</si>
  <si>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</si>
  <si>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</si>
  <si>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</si>
  <si>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</si>
  <si>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</si>
  <si>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</si>
  <si>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</si>
  <si>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</si>
  <si>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</si>
  <si>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</si>
  <si>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</si>
  <si>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</si>
  <si>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</si>
  <si>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</si>
  <si>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</si>
  <si>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</si>
  <si>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</si>
  <si>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</si>
  <si>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</si>
  <si>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</si>
  <si>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</si>
  <si>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</si>
  <si>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</si>
  <si>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</si>
  <si>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</si>
  <si>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</si>
  <si>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</si>
  <si>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</si>
  <si>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</si>
  <si>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</si>
  <si>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</si>
  <si>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</si>
  <si>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</si>
  <si>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</si>
  <si>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</si>
  <si>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</si>
  <si>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</si>
  <si>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</si>
  <si>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</si>
  <si>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</si>
  <si>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</si>
  <si>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</si>
  <si>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</si>
  <si>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</si>
  <si>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</si>
  <si>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</si>
  <si>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</si>
  <si>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</si>
  <si>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</si>
  <si>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</si>
  <si>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</si>
  <si>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</si>
  <si>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</si>
  <si>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</si>
  <si>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</si>
  <si>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</si>
  <si>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</si>
  <si>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</si>
  <si>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</si>
  <si>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</si>
  <si>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</si>
  <si>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</si>
  <si>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</si>
  <si>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</si>
  <si>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</si>
  <si>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</si>
  <si>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</si>
  <si>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</si>
  <si>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</si>
  <si>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</si>
  <si>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</si>
  <si>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</si>
  <si>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</si>
  <si>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</si>
  <si>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</si>
  <si>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</si>
  <si>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</si>
  <si>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</si>
  <si>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</si>
  <si>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</si>
  <si>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</si>
  <si>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</si>
  <si>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</si>
  <si>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</si>
  <si>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</si>
  <si>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</si>
  <si>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</si>
  <si>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</si>
  <si>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</si>
  <si>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</si>
  <si>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</si>
  <si>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</si>
  <si>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</si>
  <si>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</si>
  <si>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</si>
  <si>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</si>
  <si>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</si>
  <si>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</si>
  <si>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</si>
  <si>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</si>
  <si>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</si>
  <si>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</si>
  <si>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</si>
  <si>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</si>
  <si>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</si>
  <si>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</si>
  <si>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</si>
  <si>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</si>
  <si>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</si>
  <si>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</si>
  <si>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</si>
  <si>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</si>
  <si>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</si>
  <si>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</si>
  <si>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</si>
  <si>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</si>
  <si>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</si>
  <si>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</si>
  <si>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</si>
  <si>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</si>
  <si>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</si>
  <si>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</si>
  <si>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</si>
  <si>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</si>
  <si>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</si>
  <si>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</si>
  <si>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</si>
  <si>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</si>
  <si>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</si>
  <si>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</si>
  <si>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</si>
  <si>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</si>
  <si>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</si>
  <si>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</si>
  <si>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</si>
  <si>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</si>
  <si>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</si>
  <si>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</si>
  <si>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</si>
  <si>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</si>
  <si>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</si>
  <si>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</si>
  <si>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</si>
  <si>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</si>
  <si>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</si>
  <si>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</si>
  <si>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</si>
  <si>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</si>
  <si>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</si>
  <si>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</si>
  <si>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</si>
  <si>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</si>
  <si>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</si>
  <si>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</si>
  <si>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</si>
  <si>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</si>
  <si>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</si>
  <si>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</si>
  <si>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</si>
  <si>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</si>
  <si>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</si>
  <si>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</si>
  <si>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</si>
  <si>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</si>
  <si>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</si>
  <si>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</si>
  <si>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</si>
  <si>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</si>
  <si>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</si>
  <si>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</si>
  <si>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</si>
  <si>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</si>
  <si>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</si>
  <si>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</si>
  <si>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</si>
  <si>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</si>
  <si>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</si>
  <si>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</si>
  <si>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</si>
  <si>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</si>
  <si>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</si>
  <si>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</si>
  <si>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</si>
  <si>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</si>
  <si>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</si>
  <si>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</si>
  <si>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</si>
  <si>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</si>
  <si>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</si>
  <si>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</si>
  <si>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</si>
  <si>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</si>
  <si>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</si>
  <si>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</si>
  <si>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</si>
  <si>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</si>
  <si>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</si>
  <si>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</si>
  <si>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</si>
  <si>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</si>
  <si>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</si>
  <si>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</si>
  <si>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</si>
  <si>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</si>
  <si>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</si>
  <si>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</si>
  <si>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</si>
  <si>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</si>
  <si>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</si>
  <si>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</si>
  <si>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</si>
  <si>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</si>
  <si>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</si>
  <si>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</si>
  <si>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</si>
  <si>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</si>
  <si>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</si>
  <si>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</si>
  <si>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</si>
  <si>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</si>
  <si>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</si>
  <si>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</si>
  <si>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</si>
  <si>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</si>
  <si>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</si>
  <si>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</si>
  <si>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</si>
  <si>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</si>
  <si>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</si>
  <si>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</si>
  <si>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</si>
  <si>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</si>
  <si>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</si>
  <si>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</si>
  <si>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</si>
  <si>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</si>
  <si>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</si>
  <si>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</si>
  <si>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</si>
  <si>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</si>
  <si>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</si>
  <si>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</si>
  <si>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</si>
  <si>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</si>
  <si>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</si>
  <si>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</si>
  <si>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</si>
  <si>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</si>
  <si>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</si>
  <si>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</si>
  <si>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</si>
  <si>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</si>
  <si>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</si>
  <si>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</si>
  <si>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</si>
  <si>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</si>
  <si>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</si>
  <si>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</si>
  <si>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</si>
  <si>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</si>
  <si>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</si>
  <si>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</si>
  <si>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</si>
  <si>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</si>
  <si>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</si>
  <si>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</si>
  <si>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</si>
  <si>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</si>
  <si>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</si>
  <si>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</si>
  <si>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</si>
  <si>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</si>
  <si>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</si>
  <si>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</si>
  <si>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</si>
  <si>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</si>
  <si>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</si>
  <si>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</si>
  <si>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</si>
  <si>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</si>
  <si>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</si>
  <si>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</si>
  <si>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</si>
  <si>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</si>
  <si>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</si>
  <si>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</si>
  <si>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</si>
  <si>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</si>
  <si>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</si>
  <si>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</si>
  <si>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</si>
  <si>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</si>
  <si>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</si>
  <si>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</si>
  <si>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</si>
  <si>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</si>
  <si>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</si>
  <si>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</si>
  <si>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</si>
  <si>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</si>
  <si>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</si>
  <si>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</si>
  <si>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</si>
  <si>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</si>
  <si>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</si>
  <si>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</si>
  <si>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</si>
  <si>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</si>
  <si>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</si>
  <si>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</si>
  <si>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</si>
  <si>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</si>
  <si>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</si>
  <si>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</si>
  <si>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</si>
  <si>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</si>
  <si>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</si>
  <si>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</si>
  <si>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</si>
  <si>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</si>
  <si>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</si>
  <si>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</si>
  <si>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</si>
  <si>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</si>
  <si>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</si>
  <si>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</si>
  <si>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</si>
  <si>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</si>
  <si>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</si>
  <si>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</si>
  <si>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</si>
  <si>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</si>
  <si>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</si>
  <si>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</si>
  <si>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</si>
  <si>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</si>
  <si>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</si>
  <si>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</si>
  <si>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</si>
  <si>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</si>
  <si>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</si>
  <si>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</si>
  <si>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</si>
  <si>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</si>
  <si>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</si>
  <si>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</si>
  <si>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</si>
  <si>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</si>
  <si>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</si>
  <si>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</si>
  <si>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</si>
  <si>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</si>
  <si>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</si>
  <si>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</si>
  <si>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</si>
  <si>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</si>
  <si>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</si>
  <si>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</si>
  <si>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</si>
  <si>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</si>
  <si>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</si>
  <si>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</si>
  <si>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</si>
  <si>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</si>
  <si>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</si>
  <si>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</si>
  <si>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</si>
  <si>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</si>
  <si>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</si>
  <si>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</si>
  <si>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</si>
  <si>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</si>
  <si>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</si>
  <si>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</si>
  <si>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</si>
  <si>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</si>
  <si>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</si>
  <si>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</si>
  <si>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</si>
  <si>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</si>
  <si>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</si>
  <si>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</si>
  <si>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</si>
  <si>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</si>
  <si>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</si>
  <si>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</si>
  <si>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</si>
  <si>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</si>
  <si>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</si>
  <si>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</si>
  <si>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</si>
  <si>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</si>
  <si>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</si>
  <si>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</si>
  <si>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</si>
  <si>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</si>
  <si>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</si>
  <si>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</si>
  <si>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</si>
  <si>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</si>
  <si>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</si>
  <si>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</si>
  <si>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</si>
  <si>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</si>
  <si>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</si>
  <si>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</si>
  <si>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</si>
  <si>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</si>
  <si>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</si>
  <si>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</si>
  <si>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</si>
  <si>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</si>
  <si>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</si>
  <si>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</si>
  <si>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</si>
  <si>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</si>
  <si>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</si>
  <si>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</si>
  <si>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</si>
  <si>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</si>
  <si>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</si>
  <si>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</si>
  <si>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</si>
  <si>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</si>
  <si>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</si>
  <si>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</si>
  <si>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</si>
  <si>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</si>
  <si>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</si>
  <si>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</si>
  <si>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</si>
  <si>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</si>
  <si>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</si>
  <si>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</si>
  <si>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</si>
  <si>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</si>
  <si>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</si>
  <si>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</si>
  <si>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</si>
  <si>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</si>
  <si>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</si>
  <si>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</si>
  <si>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</si>
  <si>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</si>
  <si>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</si>
  <si>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</si>
  <si>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</si>
  <si>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</si>
  <si>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</si>
  <si>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</si>
  <si>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</si>
  <si>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</si>
  <si>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</si>
  <si>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</si>
  <si>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</si>
  <si>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</si>
  <si>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</si>
  <si>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</si>
  <si>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</si>
  <si>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</si>
  <si>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</si>
  <si>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</si>
  <si>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</si>
  <si>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</si>
  <si>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</si>
  <si>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</si>
  <si>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</si>
  <si>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</si>
  <si>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</si>
  <si>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</si>
  <si>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</si>
  <si>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</si>
  <si>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</si>
  <si>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</si>
  <si>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</si>
  <si>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</si>
  <si>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</si>
  <si>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</si>
  <si>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</si>
  <si>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</si>
  <si>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</si>
  <si>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</si>
  <si>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</si>
  <si>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</si>
  <si>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</si>
  <si>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</si>
  <si>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</si>
  <si>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</si>
  <si>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</si>
  <si>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</si>
  <si>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</si>
  <si>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</si>
  <si>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</si>
  <si>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</si>
  <si>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</si>
  <si>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</si>
  <si>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</si>
  <si>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</si>
  <si>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</si>
  <si>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</si>
  <si>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</si>
  <si>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</si>
  <si>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</si>
  <si>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</si>
  <si>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</si>
  <si>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</si>
  <si>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</si>
  <si>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</si>
  <si>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</si>
  <si>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</si>
  <si>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</si>
  <si>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</si>
  <si>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</si>
  <si>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</si>
  <si>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</si>
  <si>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</si>
  <si>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</si>
  <si>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</si>
  <si>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</si>
  <si>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</si>
  <si>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</si>
  <si>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</si>
  <si>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</si>
  <si>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</si>
  <si>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</si>
  <si>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</si>
  <si>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</si>
  <si>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</si>
  <si>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</si>
  <si>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</si>
  <si>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</si>
  <si>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</si>
  <si>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</si>
  <si>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</si>
  <si>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</si>
  <si>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</si>
  <si>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</si>
  <si>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</si>
  <si>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</si>
  <si>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</si>
  <si>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</si>
  <si>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</si>
  <si>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</si>
  <si>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</si>
  <si>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</si>
  <si>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</si>
  <si>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</si>
  <si>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</si>
  <si>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</si>
  <si>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</si>
  <si>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</si>
  <si>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</si>
  <si>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</si>
  <si>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</si>
  <si>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</si>
  <si>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</si>
  <si>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</si>
  <si>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</si>
  <si>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</si>
  <si>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</si>
  <si>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</si>
  <si>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</si>
  <si>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</si>
  <si>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</si>
  <si>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</si>
  <si>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</si>
  <si>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</si>
  <si>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</si>
  <si>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</si>
  <si>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</si>
  <si>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</si>
  <si>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</si>
  <si>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</si>
  <si>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</si>
  <si>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</si>
  <si>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</si>
  <si>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</si>
  <si>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</si>
  <si>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</si>
  <si>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</si>
  <si>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</si>
  <si>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</si>
  <si>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</si>
  <si>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</si>
  <si>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</si>
  <si>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</si>
  <si>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</si>
  <si>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</si>
  <si>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</si>
  <si>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</si>
  <si>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</si>
  <si>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</si>
  <si>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</si>
  <si>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</si>
  <si>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</si>
  <si>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</si>
  <si>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</si>
  <si>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</si>
  <si>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</si>
  <si>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</si>
  <si>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</si>
  <si>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</si>
  <si>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</si>
  <si>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</si>
  <si>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</si>
  <si>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</si>
  <si>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</si>
  <si>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</si>
  <si>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</si>
  <si>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</si>
  <si>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</si>
  <si>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</si>
  <si>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</si>
  <si>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</si>
  <si>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</si>
  <si>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</si>
  <si>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</si>
  <si>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</si>
  <si>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</si>
  <si>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</si>
  <si>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</si>
  <si>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</si>
  <si>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</si>
  <si>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</si>
  <si>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</si>
  <si>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</si>
  <si>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</si>
  <si>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</si>
  <si>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</si>
  <si>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</si>
  <si>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</si>
  <si>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</si>
  <si>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</si>
  <si>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</si>
  <si>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</si>
  <si>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</si>
  <si>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</si>
  <si>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</si>
  <si>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</si>
  <si>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</si>
  <si>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</si>
  <si>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</si>
  <si>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</si>
  <si>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</si>
  <si>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</si>
  <si>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</si>
  <si>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</si>
  <si>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</si>
  <si>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</si>
  <si>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</si>
  <si>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</si>
  <si>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</si>
  <si>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</si>
  <si>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</si>
  <si>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</si>
  <si>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</si>
  <si>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</si>
  <si>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</si>
  <si>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</si>
  <si>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</si>
  <si>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</si>
  <si>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</si>
  <si>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</si>
  <si>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</si>
  <si>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</si>
  <si>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</si>
  <si>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</si>
  <si>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</si>
  <si>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</si>
  <si>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</si>
  <si>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</si>
  <si>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</si>
  <si>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</si>
  <si>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</si>
  <si>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</si>
  <si>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</si>
  <si>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</si>
  <si>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</si>
  <si>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</si>
  <si>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</si>
  <si>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</si>
  <si>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</si>
  <si>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</si>
  <si>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</si>
  <si>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</si>
  <si>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</si>
  <si>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</si>
  <si>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</si>
  <si>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</si>
  <si>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</si>
  <si>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</si>
  <si>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</si>
  <si>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</si>
  <si>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</si>
  <si>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</si>
  <si>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</si>
  <si>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</si>
  <si>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</si>
  <si>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</si>
  <si>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</si>
  <si>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</si>
  <si>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</si>
  <si>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</si>
  <si>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</si>
  <si>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</si>
  <si>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</si>
  <si>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</si>
  <si>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</si>
  <si>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</si>
  <si>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</si>
  <si>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</si>
  <si>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</si>
  <si>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</si>
  <si>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</si>
  <si>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</si>
  <si>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</si>
  <si>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</si>
  <si>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</si>
  <si>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</si>
  <si>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</si>
  <si>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</si>
  <si>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</si>
  <si>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</si>
  <si>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</si>
  <si>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</si>
  <si>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</si>
  <si>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</si>
  <si>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</si>
  <si>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</si>
  <si>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</si>
  <si>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</si>
  <si>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</si>
  <si>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</si>
  <si>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</si>
  <si>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</si>
  <si>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</si>
  <si>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</si>
  <si>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</si>
  <si>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</si>
  <si>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</si>
  <si>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</si>
  <si>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</si>
  <si>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</si>
  <si>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</si>
  <si>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</si>
  <si>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</si>
  <si>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</si>
  <si>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</si>
  <si>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</si>
  <si>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</si>
  <si>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</si>
  <si>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</si>
  <si>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</si>
  <si>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</si>
  <si>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</si>
  <si>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</si>
  <si>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</si>
  <si>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</si>
  <si>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</si>
  <si>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</si>
  <si>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</si>
  <si>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</si>
  <si>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</si>
  <si>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</si>
  <si>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</si>
  <si>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</si>
  <si>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</si>
  <si>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</si>
  <si>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</si>
  <si>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</si>
  <si>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</si>
  <si>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</si>
  <si>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</si>
  <si>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</si>
  <si>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</si>
  <si>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</si>
  <si>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</si>
  <si>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</si>
  <si>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</si>
  <si>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</si>
  <si>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</si>
  <si>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</si>
  <si>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</si>
  <si>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</si>
  <si>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</si>
  <si>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</si>
  <si>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</si>
  <si>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</si>
  <si>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</si>
  <si>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</si>
  <si>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</si>
  <si>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</si>
  <si>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</si>
  <si>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</si>
  <si>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</si>
  <si>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</si>
  <si>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</si>
  <si>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</si>
  <si>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</si>
  <si>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</si>
  <si>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</si>
  <si>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</si>
  <si>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</si>
  <si>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</si>
  <si>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</si>
  <si>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</si>
  <si>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</si>
  <si>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</si>
  <si>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</si>
  <si>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</si>
  <si>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</si>
  <si>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</si>
  <si>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</si>
  <si>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</si>
  <si>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</si>
  <si>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</si>
  <si>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</si>
  <si>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</si>
  <si>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</si>
  <si>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</si>
  <si>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</si>
  <si>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</si>
  <si>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</si>
  <si>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</si>
  <si>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</si>
  <si>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</si>
  <si>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</si>
  <si>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</si>
  <si>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</si>
  <si>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</si>
  <si>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</si>
  <si>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</si>
  <si>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</si>
  <si>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</si>
  <si>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</si>
  <si>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</si>
  <si>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</si>
  <si>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</si>
  <si>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</si>
  <si>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</si>
  <si>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</si>
  <si>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</si>
  <si>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</si>
  <si>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</si>
  <si>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</si>
  <si>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</si>
  <si>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</si>
  <si>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</si>
  <si>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</si>
  <si>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</si>
  <si>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</si>
  <si>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</si>
  <si>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</si>
  <si>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</si>
  <si>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</si>
  <si>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</si>
  <si>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</si>
  <si>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</si>
  <si>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</si>
  <si>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</si>
  <si>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</si>
  <si>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</si>
  <si>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</si>
  <si>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</si>
  <si>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</si>
  <si>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</si>
  <si>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</si>
  <si>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</si>
  <si>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</si>
  <si>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</si>
  <si>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</si>
  <si>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</si>
  <si>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</si>
  <si>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</si>
  <si>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</si>
  <si>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</si>
  <si>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</si>
  <si>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</si>
  <si>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</si>
  <si>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</si>
  <si>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</si>
  <si>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</si>
  <si>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</si>
  <si>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</si>
  <si>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</si>
  <si>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</si>
  <si>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</si>
  <si>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</si>
  <si>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</si>
  <si>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</si>
  <si>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</si>
  <si>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</si>
  <si>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</si>
  <si>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</si>
  <si>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</si>
  <si>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</si>
  <si>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</si>
  <si>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</si>
  <si>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</si>
  <si>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</si>
  <si>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</si>
  <si>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</si>
  <si>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</si>
  <si>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</si>
  <si>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</si>
  <si>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</si>
  <si>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</si>
  <si>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</si>
  <si>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</si>
  <si>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</si>
  <si>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</si>
  <si>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</si>
  <si>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</si>
  <si>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</si>
  <si>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</si>
  <si>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</si>
  <si>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</si>
  <si>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</si>
  <si>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</si>
  <si>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</si>
  <si>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</si>
  <si>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</si>
  <si>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</si>
  <si>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</si>
  <si>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</si>
  <si>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</si>
  <si>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</si>
  <si>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</si>
  <si>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</si>
  <si>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</si>
  <si>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</si>
  <si>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</si>
  <si>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</si>
  <si>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</si>
  <si>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</si>
  <si>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</si>
  <si>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</si>
  <si>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</si>
  <si>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</si>
  <si>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</si>
  <si>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</si>
  <si>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</si>
  <si>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</si>
  <si>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</si>
  <si>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</si>
  <si>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</si>
  <si>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</si>
  <si>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</si>
  <si>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</si>
  <si>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</si>
  <si>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</si>
  <si>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</si>
  <si>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</si>
  <si>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</si>
  <si>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</si>
  <si>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</si>
  <si>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</si>
  <si>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</si>
  <si>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</si>
  <si>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</si>
  <si>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</si>
  <si>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</si>
  <si>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</si>
  <si>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</si>
  <si>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</si>
  <si>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</si>
  <si>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</si>
  <si>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</si>
  <si>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</si>
  <si>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</si>
  <si>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</si>
  <si>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</si>
  <si>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</si>
  <si>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</si>
  <si>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</si>
  <si>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</si>
  <si>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</si>
  <si>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</si>
  <si>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</si>
  <si>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</si>
  <si>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</si>
  <si>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</si>
  <si>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</si>
  <si>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</si>
  <si>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</si>
  <si>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</si>
  <si>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</si>
  <si>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</si>
  <si>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</si>
  <si>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</si>
  <si>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</si>
  <si>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</si>
  <si>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</si>
  <si>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</si>
  <si>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</si>
  <si>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</si>
  <si>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</si>
  <si>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</si>
  <si>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</si>
  <si>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</si>
  <si>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</si>
  <si>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</si>
  <si>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</si>
  <si>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</si>
  <si>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</si>
  <si>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</si>
  <si>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</si>
  <si>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</si>
  <si>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</si>
  <si>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</si>
  <si>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</si>
  <si>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</si>
  <si>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</si>
  <si>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</si>
  <si>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</si>
  <si>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</si>
  <si>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</si>
  <si>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</si>
  <si>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</si>
  <si>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</si>
  <si>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</si>
  <si>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</si>
  <si>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</si>
  <si>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</si>
  <si>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</si>
  <si>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</si>
  <si>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</si>
  <si>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</si>
  <si>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</si>
  <si>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</si>
  <si>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</si>
  <si>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</si>
  <si>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</si>
  <si>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</si>
  <si>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</si>
  <si>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</si>
  <si>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</si>
  <si>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</si>
  <si>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</si>
  <si>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</si>
  <si>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</si>
  <si>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</si>
  <si>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</si>
  <si>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</si>
  <si>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</si>
  <si>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</si>
  <si>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</si>
  <si>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</si>
  <si>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</si>
  <si>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</si>
  <si>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</si>
  <si>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</si>
  <si>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</si>
  <si>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</si>
  <si>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</si>
  <si>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</si>
  <si>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</si>
  <si>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</si>
  <si>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</si>
  <si>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</si>
  <si>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</si>
  <si>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</si>
  <si>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</si>
  <si>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</si>
  <si>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</si>
  <si>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</si>
  <si>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</si>
  <si>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</si>
  <si>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</si>
  <si>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</si>
  <si>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</si>
  <si>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</si>
  <si>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</si>
  <si>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</si>
  <si>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</si>
  <si>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</si>
  <si>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</si>
  <si>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</si>
  <si>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</si>
  <si>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</si>
  <si>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</si>
  <si>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</si>
  <si>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</si>
  <si>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</si>
  <si>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</si>
  <si>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</si>
  <si>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</si>
  <si>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</si>
  <si>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</si>
  <si>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</si>
  <si>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</si>
  <si>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</si>
  <si>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</si>
  <si>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</si>
  <si>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</si>
  <si>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</si>
  <si>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</si>
  <si>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</si>
  <si>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</si>
  <si>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</si>
  <si>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</si>
  <si>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</si>
  <si>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</si>
  <si>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</si>
  <si>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</si>
  <si>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</si>
  <si>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</si>
  <si>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</si>
  <si>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</si>
  <si>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</si>
  <si>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</si>
  <si>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</si>
  <si>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</si>
  <si>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</si>
  <si>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</si>
  <si>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</si>
  <si>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</si>
  <si>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</si>
  <si>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</si>
  <si>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</si>
  <si>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</si>
  <si>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</si>
  <si>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</si>
  <si>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</si>
  <si>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</si>
  <si>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</si>
  <si>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</si>
  <si>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</si>
  <si>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</si>
  <si>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</si>
  <si>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</si>
  <si>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</si>
  <si>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</si>
  <si>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</si>
  <si>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</si>
  <si>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</si>
  <si>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</si>
  <si>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</si>
  <si>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</si>
  <si>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</si>
  <si>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</si>
  <si>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</si>
  <si>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</si>
  <si>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</si>
  <si>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</si>
  <si>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</si>
  <si>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</si>
  <si>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</si>
  <si>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</si>
  <si>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</si>
  <si>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</si>
  <si>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</si>
  <si>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</si>
  <si>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</si>
  <si>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</si>
  <si>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</si>
  <si>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</si>
  <si>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</si>
  <si>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</si>
  <si>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</si>
  <si>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</si>
  <si>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</si>
  <si>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</si>
  <si>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</si>
  <si>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</si>
  <si>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</si>
  <si>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</si>
  <si>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</si>
  <si>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</si>
  <si>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</si>
  <si>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</si>
  <si>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</si>
  <si>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</si>
  <si>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</si>
  <si>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</si>
  <si>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</si>
  <si>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</si>
  <si>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</si>
  <si>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</si>
  <si>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</si>
  <si>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</si>
  <si>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</si>
  <si>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</si>
  <si>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</si>
  <si>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</si>
  <si>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</si>
  <si>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</si>
  <si>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</si>
  <si>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</si>
  <si>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</si>
  <si>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</si>
  <si>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</si>
  <si>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</si>
  <si>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</si>
  <si>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</si>
  <si>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</si>
  <si>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</si>
  <si>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</si>
  <si>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</si>
  <si>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</si>
  <si>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</si>
  <si>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</si>
  <si>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</si>
  <si>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</si>
  <si>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</si>
  <si>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</si>
  <si>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</si>
  <si>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</si>
  <si>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</si>
  <si>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</si>
  <si>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</si>
  <si>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</si>
  <si>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</si>
  <si>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</si>
  <si>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</si>
  <si>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</si>
  <si>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</si>
  <si>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</si>
  <si>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</si>
  <si>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</si>
  <si>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</si>
  <si>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</si>
  <si>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</si>
  <si>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</si>
  <si>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</si>
  <si>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</si>
  <si>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</si>
  <si>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</si>
  <si>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</si>
  <si>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</si>
  <si>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</si>
  <si>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</si>
  <si>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</si>
  <si>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</si>
  <si>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</si>
  <si>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</si>
  <si>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</si>
  <si>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</si>
  <si>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</si>
  <si>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</si>
  <si>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</si>
  <si>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</si>
  <si>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</si>
  <si>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</si>
  <si>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</si>
  <si>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</si>
  <si>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</si>
  <si>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</si>
  <si>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</si>
  <si>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</si>
  <si>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</si>
  <si>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</si>
  <si>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</si>
  <si>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</si>
  <si>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</si>
  <si>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</si>
  <si>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</si>
  <si>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</si>
  <si>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</si>
  <si>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</si>
  <si>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</si>
  <si>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</si>
  <si>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</si>
  <si>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</si>
  <si>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</si>
  <si>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</si>
  <si>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</si>
  <si>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</si>
  <si>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</si>
  <si>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</si>
  <si>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</si>
  <si>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</si>
  <si>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</si>
  <si>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</si>
  <si>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</si>
  <si>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</si>
  <si>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</si>
  <si>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</si>
  <si>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</si>
  <si>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</si>
  <si>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</si>
  <si>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</si>
  <si>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</si>
  <si>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</si>
  <si>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</si>
  <si>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</si>
  <si>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</si>
  <si>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</si>
  <si>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</si>
  <si>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</si>
  <si>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</si>
  <si>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</si>
  <si>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</si>
  <si>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</si>
  <si>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</si>
  <si>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</si>
  <si>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</si>
  <si>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</si>
  <si>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</si>
  <si>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</si>
  <si>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</si>
  <si>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</si>
  <si>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</si>
  <si>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</si>
  <si>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</si>
  <si>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</si>
  <si>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</si>
  <si>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</si>
  <si>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</si>
  <si>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</si>
  <si>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</si>
  <si>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</si>
  <si>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</si>
  <si>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</si>
  <si>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</si>
  <si>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</si>
  <si>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</si>
  <si>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</si>
  <si>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</si>
  <si>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</si>
  <si>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</si>
  <si>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</si>
  <si>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</si>
  <si>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</si>
  <si>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</si>
  <si>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</si>
  <si>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</si>
  <si>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</si>
  <si>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</si>
  <si>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</si>
  <si>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</si>
  <si>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</si>
  <si>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</si>
  <si>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</si>
  <si>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</si>
  <si>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</si>
  <si>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</si>
  <si>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</si>
  <si>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</si>
  <si>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</si>
  <si>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</si>
  <si>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</si>
  <si>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</si>
  <si>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</si>
  <si>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</si>
  <si>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</si>
  <si>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</si>
  <si>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</si>
  <si>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</si>
  <si>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</si>
  <si>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</si>
  <si>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</si>
  <si>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</si>
  <si>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</si>
  <si>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</si>
  <si>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</si>
  <si>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</si>
  <si>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</si>
  <si>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</si>
  <si>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</si>
  <si>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</si>
  <si>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</si>
  <si>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</si>
  <si>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</si>
  <si>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</si>
  <si>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</si>
  <si>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</si>
  <si>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</si>
  <si>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</si>
  <si>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</si>
  <si>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</si>
  <si>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</si>
  <si>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</si>
  <si>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</si>
  <si>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</si>
  <si>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</si>
  <si>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</si>
  <si>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</si>
  <si>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</si>
  <si>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</si>
  <si>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</si>
  <si>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</si>
  <si>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</si>
  <si>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</si>
  <si>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</si>
  <si>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</si>
  <si>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</si>
  <si>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</si>
  <si>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</si>
  <si>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</si>
  <si>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</si>
  <si>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</si>
  <si>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</si>
  <si>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</si>
  <si>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</si>
  <si>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</si>
  <si>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</si>
  <si>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</si>
  <si>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</si>
  <si>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</si>
  <si>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</si>
  <si>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</si>
  <si>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</si>
  <si>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</si>
  <si>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</si>
  <si>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</si>
  <si>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</si>
  <si>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</si>
  <si>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</si>
  <si>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</si>
  <si>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</si>
  <si>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</si>
  <si>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</si>
  <si>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</si>
  <si>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</si>
  <si>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</si>
  <si>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</si>
  <si>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</si>
  <si>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</si>
  <si>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</si>
  <si>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</si>
  <si>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</si>
  <si>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</si>
  <si>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</si>
  <si>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</si>
  <si>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</si>
  <si>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</si>
  <si>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</si>
  <si>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</si>
  <si>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</si>
  <si>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</si>
  <si>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</si>
  <si>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</si>
  <si>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</si>
  <si>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</si>
  <si>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</si>
  <si>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</si>
  <si>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</si>
  <si>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</si>
  <si>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</si>
  <si>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</si>
  <si>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</si>
  <si>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</si>
  <si>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</si>
  <si>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</si>
  <si>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</si>
  <si>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</si>
  <si>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</si>
  <si>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</si>
  <si>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</si>
  <si>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</si>
  <si>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</si>
  <si>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</si>
  <si>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</si>
  <si>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</si>
  <si>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</si>
  <si>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</si>
  <si>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</si>
  <si>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</si>
  <si>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</si>
  <si>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</si>
  <si>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</si>
  <si>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</si>
  <si>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</si>
  <si>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</si>
  <si>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</si>
  <si>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</si>
  <si>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</si>
  <si>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</si>
  <si>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</si>
  <si>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</si>
  <si>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</si>
  <si>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</si>
  <si>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</si>
  <si>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</si>
  <si>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</si>
  <si>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</si>
  <si>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</si>
  <si>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</si>
  <si>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</si>
  <si>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</si>
  <si>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</si>
  <si>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</si>
  <si>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</si>
  <si>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</si>
  <si>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</si>
  <si>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</si>
  <si>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</si>
  <si>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</si>
  <si>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</si>
  <si>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</si>
  <si>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</si>
  <si>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</si>
  <si>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</si>
  <si>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</si>
  <si>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</si>
  <si>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</si>
  <si>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</si>
  <si>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</si>
  <si>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</si>
  <si>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</si>
  <si>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</si>
  <si>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</si>
  <si>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</si>
  <si>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</si>
  <si>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</si>
  <si>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</si>
  <si>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</si>
  <si>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</si>
  <si>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</si>
  <si>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</si>
  <si>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</si>
  <si>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</si>
  <si>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</si>
  <si>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</si>
  <si>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</si>
  <si>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</si>
  <si>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</si>
  <si>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</si>
  <si>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</si>
  <si>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</si>
  <si>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</si>
  <si>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</si>
  <si>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</si>
  <si>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</si>
  <si>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</si>
  <si>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</si>
  <si>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</si>
  <si>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</si>
  <si>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</si>
  <si>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</si>
  <si>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</si>
  <si>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</si>
  <si>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</si>
  <si>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</si>
  <si>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</si>
  <si>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</si>
  <si>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</si>
  <si>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</si>
  <si>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</si>
  <si>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</si>
  <si>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</si>
  <si>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</si>
  <si>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</si>
  <si>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</si>
  <si>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</si>
  <si>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</si>
  <si>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</si>
  <si>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</si>
  <si>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</si>
  <si>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</si>
  <si>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</si>
  <si>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</si>
  <si>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</si>
  <si>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</si>
  <si>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</si>
  <si>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</si>
  <si>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</si>
  <si>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</si>
  <si>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</si>
  <si>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</si>
  <si>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</si>
  <si>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</si>
  <si>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</si>
  <si>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</si>
  <si>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</si>
  <si>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</si>
  <si>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</si>
  <si>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</si>
  <si>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</si>
  <si>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</si>
  <si>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</si>
  <si>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</si>
  <si>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</si>
  <si>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</si>
  <si>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</si>
  <si>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</si>
  <si>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</si>
  <si>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</si>
  <si>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</si>
  <si>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</si>
  <si>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</si>
  <si>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</si>
  <si>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</si>
  <si>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</si>
  <si>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</si>
  <si>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</si>
  <si>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</si>
  <si>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</si>
  <si>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</si>
  <si>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</si>
  <si>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</si>
  <si>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</si>
  <si>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</si>
  <si>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</si>
  <si>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</si>
  <si>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</si>
  <si>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</si>
  <si>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</si>
  <si>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</si>
  <si>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</si>
  <si>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</si>
  <si>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</si>
  <si>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</si>
  <si>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</si>
  <si>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</si>
  <si>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</si>
  <si>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</si>
  <si>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</si>
  <si>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</si>
  <si>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</si>
  <si>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</si>
  <si>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</si>
  <si>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</si>
  <si>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</si>
  <si>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</si>
  <si>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</si>
  <si>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</si>
  <si>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</si>
  <si>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</si>
  <si>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</si>
  <si>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</si>
  <si>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</si>
  <si>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</si>
  <si>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</si>
  <si>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</si>
  <si>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</si>
  <si>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</si>
  <si>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</si>
  <si>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</si>
  <si>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</si>
  <si>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</si>
  <si>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</si>
  <si>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</si>
  <si>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</si>
  <si>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</si>
  <si>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</si>
  <si>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</si>
  <si>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</si>
  <si>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</si>
  <si>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</si>
  <si>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</si>
  <si>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</si>
  <si>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</si>
  <si>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</si>
  <si>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</si>
  <si>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</si>
  <si>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</si>
  <si>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</si>
  <si>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</si>
  <si>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</si>
  <si>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</si>
  <si>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</si>
  <si>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</si>
  <si>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</si>
  <si>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</si>
  <si>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</si>
  <si>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</si>
  <si>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</si>
  <si>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</si>
  <si>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</si>
  <si>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</si>
  <si>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</si>
  <si>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</si>
  <si>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</si>
  <si>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</si>
  <si>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</si>
  <si>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</si>
  <si>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</si>
  <si>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</si>
  <si>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</si>
  <si>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</si>
  <si>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</si>
  <si>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</si>
  <si>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</si>
  <si>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</si>
  <si>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</si>
  <si>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</si>
  <si>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</si>
  <si>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</si>
  <si>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</si>
  <si>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</si>
  <si>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</si>
  <si>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</si>
  <si>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</si>
  <si>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</si>
  <si>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</si>
  <si>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</si>
  <si>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</si>
  <si>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</si>
  <si>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</si>
  <si>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</si>
  <si>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</si>
  <si>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</si>
  <si>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</si>
  <si>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</si>
  <si>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</si>
  <si>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</si>
  <si>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</si>
  <si>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</si>
  <si>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</si>
  <si>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</si>
  <si>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</si>
  <si>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</si>
  <si>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</si>
  <si>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</si>
  <si>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</si>
  <si>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</si>
  <si>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</si>
  <si>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</si>
  <si>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</si>
  <si>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</si>
  <si>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</si>
  <si>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</si>
  <si>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</si>
  <si>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</si>
  <si>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</si>
  <si>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</si>
  <si>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</si>
  <si>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</si>
  <si>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</si>
  <si>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</si>
  <si>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</si>
  <si>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</si>
  <si>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</si>
  <si>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</si>
  <si>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</si>
  <si>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</si>
  <si>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</si>
  <si>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</si>
  <si>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</si>
  <si>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</si>
  <si>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</si>
  <si>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</si>
  <si>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</si>
  <si>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</si>
  <si>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</si>
  <si>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</si>
  <si>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</si>
  <si>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</si>
  <si>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</si>
  <si>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</si>
  <si>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</si>
  <si>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</si>
  <si>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</si>
  <si>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</si>
  <si>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</si>
  <si>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</si>
  <si>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</si>
  <si>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</si>
  <si>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</si>
  <si>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</si>
  <si>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</si>
  <si>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</si>
  <si>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</si>
  <si>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</si>
  <si>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</si>
  <si>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</si>
  <si>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</si>
  <si>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</si>
  <si>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</si>
  <si>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</si>
  <si>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</si>
  <si>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</si>
  <si>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</si>
  <si>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</si>
  <si>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</si>
  <si>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</si>
  <si>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</si>
  <si>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</si>
  <si>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</si>
  <si>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</si>
  <si>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</si>
  <si>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</si>
  <si>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</si>
  <si>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</si>
  <si>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</si>
  <si>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</si>
  <si>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</si>
  <si>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</si>
  <si>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</si>
  <si>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</si>
  <si>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</si>
  <si>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</si>
  <si>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</si>
  <si>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</si>
  <si>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</si>
  <si>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</si>
  <si>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</si>
  <si>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</si>
  <si>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</si>
  <si>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</si>
  <si>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</si>
  <si>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</si>
  <si>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</si>
  <si>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</si>
  <si>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</si>
  <si>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</si>
  <si>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</si>
  <si>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</si>
  <si>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</si>
  <si>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</si>
  <si>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</si>
  <si>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</si>
  <si>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</si>
  <si>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</si>
  <si>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</si>
  <si>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</si>
  <si>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</si>
  <si>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</si>
  <si>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</si>
  <si>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</si>
  <si>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</si>
  <si>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</si>
  <si>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</si>
  <si>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</si>
  <si>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</si>
  <si>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</si>
  <si>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</si>
  <si>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</si>
  <si>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</si>
  <si>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</si>
  <si>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</si>
  <si>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</si>
  <si>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</si>
  <si>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</si>
  <si>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</si>
  <si>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</si>
  <si>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</si>
  <si>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</si>
  <si>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</si>
  <si>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</si>
  <si>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</si>
  <si>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</si>
  <si>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</si>
  <si>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</si>
  <si>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</si>
  <si>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</si>
  <si>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</si>
  <si>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</si>
  <si>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</si>
  <si>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</si>
  <si>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</si>
  <si>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</si>
  <si>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</si>
  <si>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</si>
  <si>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</si>
  <si>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</si>
  <si>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</si>
  <si>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</si>
  <si>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</si>
  <si>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</si>
  <si>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</si>
  <si>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</si>
  <si>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</si>
  <si>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</si>
  <si>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</si>
  <si>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</si>
  <si>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</si>
  <si>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</si>
  <si>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</si>
  <si>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</si>
  <si>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</si>
  <si>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</si>
  <si>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</si>
  <si>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</si>
  <si>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</si>
  <si>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</si>
  <si>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</si>
  <si>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</si>
  <si>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</si>
  <si>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</si>
  <si>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</si>
  <si>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</si>
  <si>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</si>
  <si>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</si>
  <si>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</si>
  <si>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</si>
  <si>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</si>
  <si>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</si>
  <si>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</si>
  <si>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</si>
  <si>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</si>
  <si>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</si>
  <si>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</si>
  <si>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</si>
  <si>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</si>
  <si>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</si>
  <si>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</si>
  <si>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</si>
  <si>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</si>
  <si>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</si>
  <si>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</si>
  <si>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</si>
  <si>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</si>
  <si>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</si>
  <si>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</si>
  <si>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</si>
  <si>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</si>
  <si>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</si>
  <si>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</si>
  <si>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</si>
  <si>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</si>
  <si>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</si>
  <si>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</si>
  <si>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</si>
  <si>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</si>
  <si>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</si>
  <si>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</si>
  <si>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</si>
  <si>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</si>
  <si>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</si>
  <si>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</si>
  <si>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</si>
  <si>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</si>
  <si>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</si>
  <si>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</si>
  <si>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</si>
  <si>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</si>
  <si>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</si>
  <si>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</si>
  <si>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</si>
  <si>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</si>
  <si>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</si>
  <si>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</si>
  <si>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</si>
  <si>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</si>
  <si>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</si>
  <si>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</si>
  <si>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</si>
  <si>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</si>
  <si>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</si>
  <si>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</si>
  <si>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</si>
  <si>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</si>
  <si>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</si>
  <si>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</si>
  <si>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</si>
  <si>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</si>
  <si>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</si>
  <si>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</si>
  <si>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</si>
  <si>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</si>
  <si>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</si>
  <si>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</si>
  <si>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</si>
  <si>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</si>
  <si>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</si>
  <si>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</si>
  <si>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</si>
  <si>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</si>
  <si>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</si>
  <si>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</si>
  <si>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</si>
  <si>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</si>
  <si>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</si>
  <si>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</si>
  <si>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</si>
  <si>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</si>
  <si>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</si>
  <si>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</si>
  <si>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</si>
  <si>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</si>
  <si>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</si>
  <si>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</si>
  <si>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</si>
  <si>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</si>
  <si>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</si>
  <si>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</si>
  <si>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</si>
  <si>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</si>
  <si>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</si>
  <si>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</si>
  <si>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</si>
  <si>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</si>
  <si>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</si>
  <si>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</si>
  <si>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</si>
  <si>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</si>
  <si>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</si>
  <si>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</si>
  <si>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</si>
  <si>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</si>
  <si>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</si>
  <si>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</si>
  <si>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</si>
  <si>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</si>
  <si>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</si>
  <si>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</si>
  <si>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</si>
  <si>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</si>
  <si>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</si>
  <si>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</si>
  <si>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</si>
  <si>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</si>
  <si>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</si>
  <si>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</si>
  <si>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</si>
  <si>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</si>
  <si>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</si>
  <si>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</si>
  <si>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</si>
  <si>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</si>
  <si>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</si>
  <si>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</si>
  <si>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</si>
  <si>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</si>
  <si>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</si>
  <si>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</si>
  <si>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</si>
  <si>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</si>
  <si>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</si>
  <si>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</si>
  <si>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</si>
  <si>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</si>
  <si>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</si>
  <si>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</si>
  <si>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</si>
  <si>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</si>
  <si>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</si>
  <si>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</si>
  <si>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</si>
  <si>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</si>
  <si>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</si>
  <si>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</si>
  <si>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</si>
  <si>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</si>
  <si>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</si>
  <si>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</si>
  <si>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</si>
  <si>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</si>
  <si>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</si>
  <si>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</si>
  <si>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</si>
  <si>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</si>
  <si>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</si>
  <si>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</si>
  <si>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</si>
  <si>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</si>
  <si>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</si>
  <si>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</si>
  <si>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</si>
  <si>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</si>
  <si>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</si>
  <si>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</si>
  <si>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</si>
  <si>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</si>
  <si>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</si>
  <si>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</si>
  <si>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</si>
  <si>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</si>
  <si>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</si>
  <si>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</si>
  <si>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</si>
  <si>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</si>
  <si>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</si>
  <si>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</si>
  <si>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</si>
  <si>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</si>
  <si>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</si>
  <si>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</si>
  <si>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</si>
  <si>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</si>
  <si>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</si>
  <si>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</si>
  <si>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</si>
  <si>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</si>
  <si>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</si>
  <si>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</si>
  <si>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</si>
  <si>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</si>
  <si>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</si>
  <si>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</si>
  <si>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</si>
  <si>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</si>
  <si>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</si>
  <si>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</si>
  <si>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</si>
  <si>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</si>
  <si>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</si>
  <si>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</si>
  <si>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</si>
  <si>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</si>
  <si>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</si>
  <si>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</si>
  <si>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</si>
  <si>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</si>
  <si>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</si>
  <si>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</si>
  <si>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</si>
  <si>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</si>
  <si>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</si>
  <si>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</si>
  <si>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</si>
  <si>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</si>
  <si>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</si>
  <si>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</si>
  <si>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</si>
  <si>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</si>
  <si>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</si>
  <si>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</si>
  <si>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</si>
  <si>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</si>
  <si>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</si>
  <si>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</si>
  <si>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</si>
  <si>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</si>
  <si>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</si>
  <si>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</si>
  <si>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</si>
  <si>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</si>
  <si>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</si>
  <si>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</si>
  <si>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</si>
  <si>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</si>
  <si>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</si>
  <si>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</si>
  <si>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</si>
  <si>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</si>
  <si>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</si>
  <si>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</si>
  <si>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</si>
  <si>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</si>
  <si>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</si>
  <si>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</si>
  <si>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</si>
  <si>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</si>
  <si>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</si>
  <si>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</si>
  <si>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</si>
  <si>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</si>
  <si>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</si>
  <si>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</si>
  <si>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</si>
  <si>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</si>
  <si>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</si>
  <si>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</si>
  <si>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</si>
  <si>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</si>
  <si>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</si>
  <si>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</si>
  <si>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</si>
  <si>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</si>
  <si>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</si>
  <si>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</si>
  <si>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</si>
  <si>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</si>
  <si>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</si>
  <si>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</si>
  <si>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</si>
  <si>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</si>
  <si>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</si>
  <si>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</si>
  <si>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</si>
  <si>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</si>
  <si>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</si>
  <si>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</si>
  <si>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</si>
  <si>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</si>
  <si>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</si>
  <si>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</si>
  <si>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</si>
  <si>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</si>
  <si>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</si>
  <si>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</si>
  <si>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</si>
  <si>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</si>
  <si>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</si>
  <si>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</si>
  <si>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</si>
  <si>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</si>
  <si>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</si>
  <si>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</si>
  <si>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</si>
  <si>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</si>
  <si>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</si>
  <si>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</si>
  <si>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</si>
  <si>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</si>
  <si>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</si>
  <si>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</si>
  <si>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</si>
  <si>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</si>
  <si>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</si>
  <si>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</si>
  <si>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</si>
  <si>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</si>
  <si>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</si>
  <si>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</si>
  <si>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</si>
  <si>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</si>
  <si>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</si>
  <si>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</si>
  <si>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</si>
  <si>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</si>
  <si>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</si>
  <si>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</si>
  <si>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</si>
  <si>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</si>
  <si>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</si>
  <si>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</si>
  <si>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</si>
  <si>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</si>
  <si>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</si>
  <si>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</si>
  <si>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</si>
  <si>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</si>
  <si>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</si>
  <si>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</si>
  <si>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</si>
  <si>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</si>
  <si>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</si>
  <si>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</si>
  <si>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</si>
  <si>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</si>
  <si>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</si>
  <si>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</si>
  <si>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</si>
  <si>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</si>
  <si>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</si>
  <si>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</si>
  <si>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</si>
  <si>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</si>
  <si>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</si>
  <si>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</si>
  <si>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</si>
  <si>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</si>
  <si>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</si>
  <si>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</si>
  <si>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</si>
  <si>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</si>
  <si>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</si>
  <si>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</si>
  <si>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</si>
  <si>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</si>
  <si>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</si>
  <si>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</si>
  <si>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</si>
  <si>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</si>
  <si>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</si>
  <si>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</si>
  <si>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</si>
  <si>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</si>
  <si>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</si>
  <si>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</si>
  <si>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</si>
  <si>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</si>
  <si>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</si>
  <si>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</si>
  <si>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</si>
  <si>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</si>
  <si>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</si>
  <si>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</si>
  <si>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</si>
  <si>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</si>
  <si>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</si>
  <si>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</si>
  <si>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</si>
  <si>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</si>
  <si>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</si>
  <si>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</si>
  <si>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</si>
  <si>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</si>
  <si>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</si>
  <si>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</si>
  <si>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</si>
  <si>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</si>
  <si>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</si>
  <si>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</si>
  <si>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</si>
  <si>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</si>
  <si>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</si>
  <si>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</si>
  <si>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</si>
  <si>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</si>
  <si>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</si>
  <si>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</si>
  <si>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</si>
  <si>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</si>
  <si>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</si>
  <si>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</si>
  <si>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</si>
  <si>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</si>
  <si>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</si>
  <si>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</si>
  <si>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</si>
  <si>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</si>
  <si>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</si>
  <si>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</si>
  <si>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</si>
  <si>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</si>
  <si>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</si>
  <si>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</si>
  <si>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</si>
  <si>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</si>
  <si>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</si>
  <si>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</si>
  <si>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</si>
  <si>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</si>
  <si>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</si>
  <si>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</si>
  <si>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</si>
  <si>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</si>
  <si>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</si>
  <si>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</si>
  <si>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</si>
  <si>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</si>
  <si>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</si>
  <si>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</si>
  <si>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</si>
  <si>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</si>
  <si>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</si>
  <si>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</si>
  <si>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</si>
  <si>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</si>
  <si>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</si>
  <si>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</si>
  <si>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</si>
  <si>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</si>
  <si>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</si>
  <si>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</si>
  <si>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</si>
  <si>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</si>
  <si>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</si>
  <si>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</si>
  <si>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</si>
  <si>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</si>
  <si>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</si>
  <si>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</si>
  <si>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</si>
  <si>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</si>
  <si>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</si>
  <si>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</si>
  <si>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</si>
  <si>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</si>
  <si>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</si>
  <si>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</si>
  <si>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</si>
  <si>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</si>
  <si>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</si>
  <si>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</si>
  <si>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</si>
  <si>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</si>
  <si>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</si>
  <si>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</si>
  <si>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</si>
  <si>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</si>
  <si>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</si>
  <si>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</si>
  <si>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</si>
  <si>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</si>
  <si>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</si>
  <si>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</si>
  <si>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</si>
  <si>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</si>
  <si>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</si>
  <si>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</si>
  <si>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</si>
  <si>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</si>
  <si>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</si>
  <si>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</si>
  <si>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</si>
  <si>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</si>
  <si>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</si>
  <si>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</si>
  <si>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</si>
  <si>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</si>
  <si>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</si>
  <si>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</si>
  <si>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</si>
  <si>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</si>
  <si>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</si>
  <si>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</si>
  <si>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</si>
  <si>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</si>
  <si>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</si>
  <si>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</si>
  <si>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</si>
  <si>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</si>
  <si>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</si>
  <si>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</si>
  <si>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</si>
  <si>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</si>
  <si>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</si>
  <si>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</si>
  <si>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</si>
  <si>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</si>
  <si>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</si>
  <si>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</si>
  <si>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</si>
  <si>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</si>
  <si>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</si>
  <si>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</si>
  <si>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</si>
  <si>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</si>
  <si>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</si>
  <si>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</si>
  <si>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</si>
  <si>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</si>
  <si>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</si>
  <si>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</si>
  <si>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</si>
  <si>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</si>
  <si>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</si>
  <si>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</si>
  <si>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</si>
  <si>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</si>
  <si>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</si>
  <si>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</si>
  <si>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</si>
  <si>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</si>
  <si>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</si>
  <si>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</si>
  <si>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</si>
  <si>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</si>
  <si>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</si>
  <si>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</si>
  <si>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</si>
  <si>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</si>
  <si>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</si>
  <si>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</si>
  <si>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</si>
  <si>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</si>
  <si>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</si>
  <si>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</si>
  <si>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</si>
  <si>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</si>
  <si>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</si>
  <si>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</si>
  <si>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</si>
  <si>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</si>
  <si>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</si>
  <si>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</si>
  <si>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</si>
  <si>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</si>
  <si>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</si>
  <si>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</si>
  <si>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</si>
  <si>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</si>
  <si>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</si>
  <si>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</si>
  <si>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</si>
  <si>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</si>
  <si>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</si>
  <si>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</si>
  <si>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</si>
  <si>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</si>
  <si>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</si>
  <si>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</si>
  <si>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</si>
  <si>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</si>
  <si>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</si>
  <si>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</si>
  <si>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</si>
  <si>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</si>
  <si>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</si>
  <si>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</si>
  <si>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</si>
  <si>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</si>
  <si>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</si>
  <si>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</si>
  <si>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</si>
  <si>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</si>
  <si>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</si>
  <si>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</si>
  <si>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</si>
  <si>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</si>
  <si>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</si>
  <si>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</si>
  <si>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</si>
  <si>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</si>
  <si>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</si>
  <si>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</si>
  <si>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</si>
  <si>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</si>
  <si>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</si>
  <si>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</si>
  <si>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</si>
  <si>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</si>
  <si>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</si>
  <si>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</si>
  <si>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</si>
  <si>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</si>
  <si>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</si>
  <si>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</si>
  <si>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</si>
  <si>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</si>
  <si>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</si>
  <si>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</si>
  <si>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</si>
  <si>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</si>
  <si>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</si>
  <si>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</si>
  <si>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</si>
  <si>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</si>
  <si>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</si>
  <si>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</si>
  <si>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</si>
  <si>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</si>
  <si>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</si>
  <si>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</si>
  <si>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</si>
  <si>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</si>
  <si>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</si>
  <si>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</si>
  <si>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</si>
  <si>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</si>
  <si>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</si>
  <si>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</si>
  <si>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</si>
  <si>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</si>
  <si>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</si>
  <si>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</si>
  <si>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</si>
  <si>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</si>
  <si>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</si>
  <si>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</si>
  <si>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</si>
  <si>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</si>
  <si>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</si>
  <si>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</si>
  <si>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</si>
  <si>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</si>
  <si>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</si>
  <si>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</si>
  <si>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</si>
  <si>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</si>
  <si>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</si>
  <si>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</si>
  <si>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</si>
  <si>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</si>
  <si>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</si>
  <si>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</si>
  <si>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</si>
  <si>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</si>
  <si>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</si>
  <si>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</si>
  <si>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</si>
  <si>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</si>
  <si>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</si>
  <si>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</si>
  <si>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</si>
  <si>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</si>
  <si>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</si>
  <si>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</si>
  <si>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</si>
  <si>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</si>
  <si>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</si>
  <si>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</si>
  <si>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</si>
  <si>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</si>
  <si>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</si>
  <si>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</si>
  <si>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</si>
  <si>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</si>
  <si>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</si>
  <si>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</si>
  <si>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</si>
  <si>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</si>
  <si>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</si>
  <si>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</si>
  <si>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</si>
  <si>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</si>
  <si>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</si>
  <si>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</si>
  <si>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</si>
  <si>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</si>
  <si>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</si>
  <si>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</si>
  <si>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</si>
  <si>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</si>
  <si>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</si>
  <si>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</si>
  <si>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</si>
  <si>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</si>
  <si>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</si>
  <si>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</si>
  <si>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</si>
  <si>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</si>
  <si>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</si>
  <si>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</si>
  <si>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</si>
  <si>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</si>
  <si>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</si>
  <si>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</si>
  <si>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</si>
  <si>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</si>
  <si>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</si>
  <si>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</si>
  <si>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</si>
  <si>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</si>
  <si>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</si>
  <si>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</si>
  <si>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</si>
  <si>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</si>
  <si>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</si>
  <si>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</si>
  <si>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</si>
  <si>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</si>
  <si>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</si>
  <si>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</si>
  <si>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</si>
  <si>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</si>
  <si>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</si>
  <si>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</si>
  <si>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</si>
  <si>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</si>
  <si>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</si>
  <si>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</si>
  <si>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</si>
  <si>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</si>
  <si>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</si>
  <si>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</si>
  <si>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</si>
  <si>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</si>
  <si>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</si>
  <si>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</si>
  <si>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</si>
  <si>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</si>
  <si>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</si>
  <si>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</si>
  <si>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</si>
  <si>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</si>
  <si>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</si>
  <si>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</si>
  <si>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</si>
  <si>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</si>
  <si>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</si>
  <si>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</si>
  <si>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</si>
  <si>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</si>
  <si>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</si>
  <si>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</si>
  <si>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</si>
  <si>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</si>
  <si>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</si>
  <si>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</si>
  <si>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</si>
  <si>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</si>
  <si>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</si>
  <si>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</si>
  <si>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</si>
  <si>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</si>
  <si>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</si>
  <si>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</si>
  <si>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</si>
  <si>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</si>
  <si>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</si>
  <si>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</si>
  <si>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</si>
  <si>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</si>
  <si>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</si>
  <si>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</si>
  <si>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</si>
  <si>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</si>
  <si>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</si>
  <si>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</si>
  <si>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</si>
  <si>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</si>
  <si>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</si>
  <si>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</si>
  <si>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</si>
  <si>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</si>
  <si>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</si>
  <si>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</si>
  <si>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</si>
  <si>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</si>
  <si>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</si>
  <si>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</si>
  <si>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</si>
  <si>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</si>
  <si>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</si>
  <si>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</si>
  <si>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</si>
  <si>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</si>
  <si>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</si>
  <si>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</si>
  <si>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</si>
  <si>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</si>
  <si>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</si>
  <si>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</si>
  <si>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</si>
  <si>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</si>
  <si>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</si>
  <si>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</si>
  <si>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</si>
  <si>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</si>
  <si>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</si>
  <si>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</si>
  <si>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</si>
  <si>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</si>
  <si>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</si>
  <si>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</si>
  <si>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</si>
  <si>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</si>
  <si>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</si>
  <si>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</si>
  <si>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</si>
  <si>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</si>
  <si>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</si>
  <si>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</si>
  <si>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</si>
  <si>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</si>
  <si>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</si>
  <si>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</si>
  <si>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</si>
  <si>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</si>
  <si>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</si>
  <si>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</si>
  <si>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</si>
  <si>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</si>
  <si>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</si>
  <si>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</si>
  <si>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</si>
  <si>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</si>
  <si>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</si>
  <si>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</si>
  <si>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</si>
  <si>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</si>
  <si>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</si>
  <si>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</si>
  <si>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</si>
  <si>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</si>
  <si>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</si>
  <si>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</si>
  <si>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</si>
  <si>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</si>
  <si>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</si>
  <si>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</si>
  <si>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</si>
  <si>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</si>
  <si>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</si>
  <si>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</si>
  <si>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</si>
  <si>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</si>
  <si>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</si>
  <si>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</si>
  <si>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</si>
  <si>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</si>
  <si>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</si>
  <si>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</si>
  <si>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</si>
  <si>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</si>
  <si>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</si>
  <si>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</si>
  <si>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</si>
  <si>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</si>
  <si>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</si>
  <si>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</si>
  <si>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</si>
  <si>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</si>
  <si>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</si>
  <si>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</si>
  <si>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</si>
  <si>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</si>
  <si>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</si>
  <si>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</si>
  <si>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</si>
  <si>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</si>
  <si>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</si>
  <si>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</si>
  <si>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</si>
  <si>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</si>
  <si>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</si>
  <si>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</si>
  <si>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</si>
  <si>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</si>
  <si>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</si>
  <si>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</si>
  <si>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</si>
  <si>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</si>
  <si>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</si>
  <si>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</si>
  <si>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</si>
  <si>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</si>
  <si>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</si>
  <si>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</si>
  <si>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</si>
  <si>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</si>
  <si>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</si>
  <si>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</si>
  <si>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</si>
  <si>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</si>
  <si>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</si>
  <si>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</si>
  <si>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</si>
  <si>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</si>
  <si>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</si>
  <si>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</si>
  <si>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</si>
  <si>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</si>
  <si>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</si>
  <si>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</si>
  <si>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</si>
  <si>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</si>
  <si>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</si>
  <si>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</si>
  <si>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</si>
  <si>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</si>
  <si>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</si>
  <si>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</si>
  <si>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</si>
  <si>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</si>
  <si>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</si>
  <si>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</si>
  <si>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</si>
  <si>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</si>
  <si>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</si>
  <si>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</si>
  <si>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</si>
  <si>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</si>
  <si>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</si>
  <si>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</si>
  <si>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</si>
  <si>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</si>
  <si>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</si>
  <si>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</si>
  <si>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</si>
  <si>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</si>
  <si>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</si>
  <si>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</si>
  <si>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</si>
  <si>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</si>
  <si>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</si>
  <si>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</si>
  <si>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</si>
  <si>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</si>
  <si>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</si>
  <si>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</si>
  <si>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</si>
  <si>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</si>
  <si>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</si>
  <si>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</si>
  <si>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</si>
  <si>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</si>
  <si>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</si>
  <si>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</si>
  <si>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</si>
  <si>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</si>
  <si>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</si>
  <si>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</si>
  <si>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</si>
  <si>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</si>
  <si>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</si>
  <si>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</si>
  <si>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</si>
  <si>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</si>
  <si>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</si>
  <si>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</si>
  <si>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</si>
  <si>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</si>
  <si>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</si>
  <si>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</si>
  <si>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</si>
  <si>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</si>
  <si>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</si>
  <si>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</si>
  <si>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</si>
  <si>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</si>
  <si>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</si>
  <si>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</si>
  <si>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</si>
  <si>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</si>
  <si>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</si>
  <si>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</si>
  <si>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</si>
  <si>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</si>
  <si>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</si>
  <si>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</si>
  <si>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</si>
  <si>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</si>
  <si>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</si>
  <si>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</si>
  <si>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</si>
  <si>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</si>
  <si>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</si>
  <si>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</si>
  <si>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</si>
  <si>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</si>
  <si>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</si>
  <si>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</si>
  <si>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</si>
  <si>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</si>
  <si>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</si>
  <si>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</si>
  <si>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</si>
  <si>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</si>
  <si>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</si>
  <si>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</si>
  <si>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</si>
  <si>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</si>
  <si>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</si>
  <si>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</si>
  <si>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</si>
  <si>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</si>
  <si>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</si>
  <si>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</si>
  <si>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</si>
  <si>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</si>
  <si>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</si>
  <si>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</si>
  <si>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</si>
  <si>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</si>
  <si>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</si>
  <si>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</si>
  <si>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</si>
  <si>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</si>
  <si>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</si>
  <si>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</si>
  <si>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</si>
  <si>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</si>
  <si>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</si>
  <si>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</si>
  <si>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</si>
  <si>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</si>
  <si>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</si>
  <si>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</si>
  <si>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</si>
  <si>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</si>
  <si>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</si>
  <si>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</si>
  <si>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</si>
  <si>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</si>
  <si>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</si>
  <si>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</si>
  <si>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</si>
  <si>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</si>
  <si>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</si>
  <si>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</si>
  <si>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</si>
  <si>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</si>
  <si>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</si>
  <si>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</si>
  <si>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</si>
  <si>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</si>
  <si>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</si>
  <si>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</si>
  <si>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</si>
  <si>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</si>
  <si>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</si>
  <si>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</si>
  <si>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</si>
  <si>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</si>
  <si>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</si>
  <si>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</si>
  <si>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</si>
  <si>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</si>
  <si>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</si>
  <si>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</si>
  <si>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</si>
  <si>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</si>
  <si>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</si>
  <si>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</si>
  <si>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</si>
  <si>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</si>
  <si>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</si>
  <si>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</si>
  <si>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</si>
  <si>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</si>
  <si>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</si>
  <si>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</si>
  <si>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</si>
  <si>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</si>
  <si>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</si>
  <si>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</si>
  <si>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</si>
  <si>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</si>
  <si>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</si>
  <si>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</si>
  <si>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</si>
  <si>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</si>
  <si>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</si>
  <si>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</si>
  <si>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</si>
  <si>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</si>
  <si>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</si>
  <si>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</si>
  <si>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</si>
  <si>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</si>
  <si>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</si>
  <si>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</si>
  <si>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</si>
  <si>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</si>
  <si>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</si>
  <si>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</si>
  <si>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</si>
  <si>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</si>
  <si>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</si>
  <si>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</si>
  <si>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</si>
  <si>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</si>
  <si>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</si>
  <si>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</si>
  <si>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</si>
  <si>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</si>
  <si>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</si>
  <si>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</si>
  <si>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</si>
  <si>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</si>
  <si>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</si>
  <si>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</si>
  <si>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</si>
  <si>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</si>
  <si>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</si>
  <si>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</si>
  <si>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</si>
  <si>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</si>
  <si>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</si>
  <si>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</si>
  <si>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</si>
  <si>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</si>
  <si>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</si>
  <si>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</si>
  <si>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</si>
  <si>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</si>
  <si>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</si>
  <si>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</si>
  <si>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</si>
  <si>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</si>
  <si>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</si>
  <si>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</si>
  <si>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</si>
  <si>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</si>
  <si>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</si>
  <si>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</si>
  <si>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</si>
  <si>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</si>
  <si>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</si>
  <si>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</si>
  <si>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</si>
  <si>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</si>
  <si>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</si>
  <si>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</si>
  <si>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</si>
  <si>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</si>
  <si>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</si>
  <si>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</si>
  <si>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</si>
  <si>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</si>
  <si>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</si>
  <si>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</si>
  <si>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</si>
  <si>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</si>
  <si>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</si>
  <si>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</si>
  <si>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</si>
  <si>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</si>
  <si>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</si>
  <si>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</si>
  <si>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</si>
  <si>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</si>
  <si>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</si>
  <si>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</si>
  <si>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</si>
  <si>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</si>
  <si>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</si>
  <si>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</si>
  <si>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</si>
  <si>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</si>
  <si>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</si>
  <si>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</si>
  <si>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</si>
  <si>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</si>
  <si>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</si>
  <si>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</si>
  <si>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</si>
  <si>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</si>
  <si>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</si>
  <si>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</si>
  <si>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</si>
  <si>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</si>
  <si>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</si>
  <si>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</si>
  <si>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</si>
  <si>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</si>
  <si>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</si>
  <si>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</si>
  <si>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</si>
  <si>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</si>
  <si>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</si>
  <si>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</si>
  <si>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</si>
  <si>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</si>
  <si>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</si>
  <si>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</si>
  <si>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</si>
  <si>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</si>
  <si>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</si>
  <si>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</si>
  <si>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</si>
  <si>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</si>
  <si>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</si>
  <si>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</si>
  <si>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</si>
  <si>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</si>
  <si>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</si>
  <si>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</si>
  <si>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</si>
  <si>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</si>
  <si>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</si>
  <si>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</si>
  <si>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</si>
  <si>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</si>
  <si>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</si>
  <si>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</si>
  <si>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</si>
  <si>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</si>
  <si>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</si>
  <si>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</si>
  <si>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</si>
  <si>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</si>
  <si>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</si>
  <si>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</si>
  <si>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</si>
  <si>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</si>
  <si>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</si>
  <si>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</si>
  <si>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</si>
  <si>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</si>
  <si>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</si>
  <si>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</si>
  <si>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</si>
  <si>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</si>
  <si>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</si>
  <si>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</si>
  <si>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</si>
  <si>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</si>
  <si>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</si>
  <si>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</si>
  <si>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</si>
  <si>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</si>
  <si>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</si>
  <si>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</si>
  <si>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</si>
  <si>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</si>
  <si>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</si>
  <si>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</si>
  <si>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</si>
  <si>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</si>
  <si>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</si>
  <si>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</si>
  <si>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</si>
  <si>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</si>
  <si>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</si>
  <si>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</si>
  <si>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</si>
  <si>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</si>
  <si>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</si>
  <si>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</si>
  <si>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</si>
  <si>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</si>
  <si>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</si>
  <si>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</si>
  <si>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</si>
  <si>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</si>
  <si>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</si>
  <si>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</si>
  <si>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</si>
  <si>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</si>
  <si>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</si>
  <si>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</si>
  <si>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</si>
  <si>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</si>
  <si>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</si>
  <si>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</si>
  <si>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</si>
  <si>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</si>
  <si>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</si>
  <si>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</si>
  <si>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</si>
  <si>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</si>
  <si>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</si>
  <si>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</si>
  <si>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</si>
  <si>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</si>
  <si>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</si>
  <si>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</si>
  <si>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</si>
  <si>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</si>
  <si>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</si>
  <si>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</si>
  <si>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</si>
  <si>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</si>
  <si>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</si>
  <si>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</si>
  <si>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</si>
  <si>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</si>
  <si>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</si>
  <si>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</si>
  <si>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</si>
  <si>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</si>
  <si>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</si>
  <si>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</si>
  <si>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</si>
  <si>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</si>
  <si>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</si>
  <si>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</si>
  <si>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</si>
  <si>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</si>
  <si>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</si>
  <si>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</si>
  <si>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</si>
  <si>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</si>
  <si>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</si>
  <si>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</si>
  <si>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</si>
  <si>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</si>
  <si>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</si>
  <si>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</si>
  <si>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</si>
  <si>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</si>
  <si>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</si>
  <si>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</si>
  <si>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</si>
  <si>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</si>
  <si>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</si>
  <si>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</si>
  <si>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</si>
  <si>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</si>
  <si>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</si>
  <si>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</si>
  <si>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</si>
  <si>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</si>
  <si>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</si>
  <si>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</si>
  <si>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</si>
  <si>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</si>
  <si>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</si>
  <si>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</si>
  <si>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</si>
  <si>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</si>
  <si>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</si>
  <si>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</si>
  <si>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</si>
  <si>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</si>
  <si>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</si>
  <si>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</si>
  <si>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</si>
  <si>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</si>
  <si>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</si>
  <si>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</si>
  <si>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</si>
  <si>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</si>
  <si>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</si>
  <si>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</si>
  <si>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</si>
  <si>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</si>
  <si>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</si>
  <si>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</si>
  <si>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</si>
  <si>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</si>
  <si>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</si>
  <si>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</si>
  <si>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</si>
  <si>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</si>
  <si>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</si>
  <si>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</si>
  <si>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</si>
  <si>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</si>
  <si>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</si>
  <si>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</si>
  <si>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</si>
  <si>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</si>
  <si>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</si>
  <si>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</si>
  <si>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</si>
  <si>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</si>
  <si>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</si>
  <si>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</si>
  <si>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</si>
  <si>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</si>
  <si>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</si>
  <si>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</si>
  <si>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</si>
  <si>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</si>
  <si>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</si>
  <si>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</si>
  <si>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</si>
  <si>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</si>
  <si>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</si>
  <si>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</si>
  <si>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</si>
  <si>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</si>
  <si>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</si>
  <si>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</si>
  <si>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</si>
  <si>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</si>
  <si>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</si>
  <si>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</si>
  <si>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</si>
  <si>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</si>
  <si>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</si>
  <si>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</si>
  <si>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</si>
  <si>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</si>
  <si>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</si>
  <si>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</si>
  <si>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</si>
  <si>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</si>
  <si>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</si>
  <si>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</si>
  <si>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</si>
  <si>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</si>
  <si>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</si>
  <si>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</si>
  <si>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</si>
  <si>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</si>
  <si>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</si>
  <si>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</si>
  <si>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</si>
  <si>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</si>
  <si>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</si>
  <si>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</si>
  <si>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</si>
  <si>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</si>
  <si>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</si>
  <si>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</si>
  <si>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</si>
  <si>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</si>
  <si>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</si>
  <si>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</si>
  <si>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</si>
  <si>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</si>
  <si>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</si>
  <si>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</si>
  <si>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</si>
  <si>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</si>
  <si>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</si>
  <si>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</si>
  <si>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</si>
  <si>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</si>
  <si>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</si>
  <si>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</si>
  <si>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</si>
  <si>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</si>
  <si>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</si>
  <si>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</si>
  <si>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</si>
  <si>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</si>
  <si>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</si>
  <si>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</si>
  <si>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</si>
  <si>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</si>
  <si>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</si>
  <si>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</si>
  <si>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</si>
  <si>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</si>
  <si>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</si>
  <si>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</si>
  <si>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</si>
  <si>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</si>
  <si>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</si>
  <si>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</si>
  <si>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</si>
  <si>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</si>
  <si>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</si>
  <si>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</si>
  <si>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</si>
  <si>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</si>
  <si>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</si>
  <si>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</si>
  <si>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</si>
  <si>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</si>
  <si>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</si>
  <si>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</si>
  <si>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</si>
  <si>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</si>
  <si>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</si>
  <si>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</si>
  <si>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</si>
  <si>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</si>
  <si>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</si>
  <si>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</si>
  <si>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</si>
  <si>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</si>
  <si>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</si>
  <si>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</si>
  <si>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</si>
  <si>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</si>
  <si>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</si>
  <si>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</si>
  <si>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</si>
  <si>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</si>
  <si>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</si>
  <si>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</si>
  <si>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</si>
  <si>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</si>
  <si>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</si>
  <si>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</si>
  <si>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</si>
  <si>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</si>
  <si>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</si>
  <si>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</si>
  <si>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</si>
  <si>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</si>
  <si>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</si>
  <si>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</si>
  <si>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</si>
  <si>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</si>
  <si>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</si>
  <si>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</si>
  <si>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</si>
  <si>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</si>
  <si>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</si>
  <si>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</si>
  <si>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</si>
  <si>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</si>
  <si>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</si>
  <si>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</si>
  <si>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</si>
  <si>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</si>
  <si>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</si>
  <si>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</si>
  <si>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</si>
  <si>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</si>
  <si>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</si>
  <si>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</si>
  <si>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</si>
  <si>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</si>
  <si>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</si>
  <si>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</si>
  <si>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</si>
  <si>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</si>
  <si>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</si>
  <si>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</si>
  <si>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</si>
  <si>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</si>
  <si>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</si>
  <si>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</si>
  <si>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</si>
  <si>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</si>
  <si>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</si>
  <si>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</si>
  <si>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</si>
  <si>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</si>
  <si>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</si>
  <si>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</si>
  <si>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</si>
  <si>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</si>
  <si>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</si>
  <si>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</si>
  <si>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</si>
  <si>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</si>
  <si>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</si>
  <si>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</si>
  <si>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</si>
  <si>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</si>
  <si>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</si>
  <si>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</si>
  <si>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</si>
  <si>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</si>
  <si>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</si>
  <si>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</si>
  <si>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</si>
  <si>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</si>
  <si>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</si>
  <si>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</si>
  <si>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</si>
  <si>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</si>
  <si>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</si>
  <si>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</si>
  <si>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</si>
  <si>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</si>
  <si>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</si>
  <si>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</si>
  <si>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</si>
  <si>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</si>
  <si>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</si>
  <si>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</si>
  <si>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</si>
  <si>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</si>
  <si>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</si>
  <si>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</si>
  <si>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</si>
  <si>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</si>
  <si>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</si>
  <si>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</si>
  <si>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</si>
  <si>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</si>
  <si>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</si>
  <si>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</si>
  <si>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</si>
  <si>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</si>
  <si>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</si>
  <si>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</si>
  <si>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</si>
  <si>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</si>
  <si>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</si>
  <si>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</si>
  <si>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</si>
  <si>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</si>
  <si>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</si>
  <si>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</si>
  <si>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</si>
  <si>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</si>
  <si>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</si>
  <si>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</si>
  <si>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</si>
  <si>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</si>
  <si>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</si>
  <si>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</si>
  <si>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</si>
  <si>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</si>
  <si>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</si>
  <si>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</si>
  <si>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</si>
  <si>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</si>
  <si>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</si>
  <si>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</si>
  <si>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</si>
  <si>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</si>
  <si>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</si>
  <si>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</si>
  <si>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</si>
  <si>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</si>
  <si>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</si>
  <si>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</si>
  <si>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</si>
  <si>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</si>
  <si>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</si>
  <si>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</si>
  <si>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</si>
  <si>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</si>
  <si>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</si>
  <si>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</si>
  <si>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</si>
  <si>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</si>
  <si>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</si>
  <si>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</si>
  <si>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</si>
  <si>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</si>
  <si>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</si>
  <si>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</si>
  <si>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</si>
  <si>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</si>
  <si>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</si>
  <si>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</si>
  <si>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</si>
  <si>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</si>
  <si>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</si>
  <si>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</si>
  <si>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</si>
  <si>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</si>
  <si>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</si>
  <si>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</si>
  <si>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</si>
  <si>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</si>
  <si>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</si>
  <si>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</si>
  <si>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</si>
  <si>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</si>
  <si>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</si>
  <si>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</si>
  <si>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</si>
  <si>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</si>
  <si>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</si>
  <si>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</si>
  <si>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</si>
  <si>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</si>
  <si>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</si>
  <si>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</si>
  <si>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</si>
  <si>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</si>
  <si>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</si>
  <si>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</si>
  <si>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</si>
  <si>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</si>
  <si>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</si>
  <si>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</si>
  <si>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</si>
  <si>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</si>
  <si>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</si>
  <si>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</si>
  <si>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</si>
  <si>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</si>
  <si>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</si>
  <si>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</si>
  <si>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</si>
  <si>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</si>
  <si>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</si>
  <si>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</si>
  <si>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</si>
  <si>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</si>
  <si>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</si>
  <si>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</si>
  <si>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</si>
  <si>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</si>
  <si>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</si>
  <si>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</si>
  <si>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</si>
  <si>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</si>
  <si>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</si>
  <si>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</si>
  <si>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</si>
  <si>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</si>
  <si>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</si>
  <si>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</si>
  <si>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</si>
  <si>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</si>
  <si>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</si>
  <si>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</si>
  <si>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</si>
  <si>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</si>
  <si>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</si>
  <si>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</si>
  <si>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</si>
  <si>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</si>
  <si>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</si>
  <si>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</si>
  <si>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</si>
  <si>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</si>
  <si>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</si>
  <si>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</si>
  <si>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</si>
  <si>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</si>
  <si>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</si>
  <si>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</si>
  <si>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</si>
  <si>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</si>
  <si>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</si>
  <si>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</si>
  <si>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</si>
  <si>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</si>
  <si>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</si>
  <si>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</si>
  <si>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</si>
  <si>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</si>
  <si>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</si>
  <si>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</si>
  <si>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</si>
  <si>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</si>
  <si>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</si>
  <si>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</si>
  <si>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</si>
  <si>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</si>
  <si>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</si>
  <si>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</si>
  <si>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</si>
  <si>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</si>
  <si>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</si>
  <si>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</si>
  <si>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</si>
  <si>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</si>
  <si>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</si>
  <si>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</si>
  <si>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</si>
  <si>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</si>
  <si>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</si>
  <si>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</si>
  <si>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</si>
  <si>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</si>
  <si>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</si>
  <si>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</si>
  <si>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</si>
  <si>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</si>
  <si>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</si>
  <si>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</si>
  <si>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</si>
  <si>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</si>
  <si>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</si>
  <si>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</si>
  <si>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</si>
  <si>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</si>
  <si>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</si>
  <si>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</si>
  <si>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</si>
  <si>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</si>
  <si>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</si>
  <si>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</si>
  <si>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</si>
  <si>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</si>
  <si>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</si>
  <si>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</si>
  <si>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</si>
  <si>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</si>
  <si>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</si>
  <si>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</si>
  <si>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</si>
  <si>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</si>
  <si>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</si>
  <si>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</si>
  <si>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</si>
  <si>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</si>
  <si>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</si>
  <si>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</si>
  <si>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</si>
  <si>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</si>
  <si>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</si>
  <si>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</si>
  <si>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</si>
  <si>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</si>
  <si>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</si>
  <si>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</si>
  <si>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</si>
  <si>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</si>
  <si>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</si>
  <si>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</si>
  <si>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</si>
  <si>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</si>
  <si>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</si>
  <si>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</si>
  <si>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</si>
  <si>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</si>
  <si>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</si>
  <si>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</si>
  <si>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</si>
  <si>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</si>
  <si>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</si>
  <si>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</si>
  <si>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</si>
  <si>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</si>
  <si>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</si>
  <si>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</si>
  <si>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</si>
  <si>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</si>
  <si>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</si>
  <si>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</si>
  <si>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</si>
  <si>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</si>
  <si>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</si>
  <si>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</si>
  <si>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</si>
  <si>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</si>
  <si>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</si>
  <si>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</si>
  <si>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</si>
  <si>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</si>
  <si>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</si>
  <si>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</si>
  <si>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</si>
  <si>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</si>
  <si>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</si>
  <si>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</si>
  <si>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</si>
  <si>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</si>
  <si>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</si>
  <si>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</si>
  <si>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</si>
  <si>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</si>
  <si>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</si>
  <si>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</si>
  <si>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</si>
  <si>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</si>
  <si>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</si>
  <si>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</si>
  <si>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</si>
  <si>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</si>
  <si>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</si>
  <si>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</si>
  <si>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</si>
  <si>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</si>
  <si>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</si>
  <si>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</si>
  <si>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</si>
  <si>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</si>
  <si>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</si>
  <si>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</si>
  <si>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</si>
  <si>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</si>
  <si>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</si>
  <si>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</si>
  <si>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</si>
  <si>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</si>
  <si>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</si>
  <si>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</si>
  <si>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</si>
  <si>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</si>
  <si>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</si>
  <si>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</si>
  <si>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</si>
  <si>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</si>
  <si>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</si>
  <si>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</si>
  <si>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</si>
  <si>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</si>
  <si>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</si>
  <si>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</si>
  <si>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</si>
  <si>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</si>
  <si>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</si>
  <si>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</si>
  <si>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</si>
  <si>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</si>
  <si>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</si>
  <si>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</si>
  <si>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</si>
  <si>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</si>
  <si>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</si>
  <si>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</si>
  <si>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</si>
  <si>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</si>
  <si>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</si>
  <si>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</si>
  <si>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</si>
  <si>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</si>
  <si>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</si>
  <si>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</si>
  <si>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</si>
  <si>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</si>
  <si>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</si>
  <si>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</si>
  <si>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</si>
  <si>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</si>
  <si>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</si>
  <si>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</si>
  <si>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</si>
  <si>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</si>
  <si>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</si>
  <si>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</si>
  <si>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</si>
  <si>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</si>
  <si>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</si>
  <si>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</si>
  <si>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</si>
  <si>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</si>
  <si>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</si>
  <si>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</si>
  <si>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</si>
  <si>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</si>
  <si>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</si>
  <si>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</si>
  <si>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</si>
  <si>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</si>
  <si>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</si>
  <si>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</si>
  <si>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</si>
  <si>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</si>
  <si>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</si>
  <si>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</si>
  <si>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</si>
  <si>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</si>
  <si>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</si>
  <si>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</si>
  <si>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</si>
  <si>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</si>
  <si>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</si>
  <si>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</si>
  <si>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</si>
  <si>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</si>
  <si>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</si>
  <si>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</si>
  <si>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</si>
  <si>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</si>
  <si>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</si>
  <si>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</si>
  <si>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</si>
  <si>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</si>
  <si>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</si>
  <si>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</si>
  <si>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</si>
  <si>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</si>
  <si>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</si>
  <si>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</si>
  <si>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</si>
  <si>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</si>
  <si>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</si>
  <si>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</si>
  <si>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</si>
  <si>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</si>
  <si>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</si>
  <si>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</si>
  <si>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</si>
  <si>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</si>
  <si>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</si>
  <si>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</si>
  <si>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</si>
  <si>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</si>
  <si>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</si>
  <si>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</si>
  <si>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</si>
  <si>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</si>
  <si>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</si>
  <si>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</si>
  <si>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</si>
  <si>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</si>
  <si>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</si>
  <si>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</si>
  <si>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</si>
  <si>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</si>
  <si>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</si>
  <si>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</si>
  <si>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</si>
  <si>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</si>
  <si>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</si>
  <si>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</si>
  <si>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</si>
  <si>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</si>
  <si>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</si>
  <si>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</si>
  <si>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</si>
  <si>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</si>
  <si>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</si>
  <si>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</si>
  <si>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</si>
  <si>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</si>
  <si>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</si>
  <si>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</si>
  <si>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</si>
  <si>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</si>
  <si>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</si>
  <si>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</si>
  <si>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</si>
  <si>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</si>
  <si>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</si>
  <si>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</si>
  <si>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</si>
  <si>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</si>
  <si>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</si>
  <si>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P000001329</t>
  </si>
  <si>
    <t>P000001333</t>
  </si>
  <si>
    <t>P000001334</t>
  </si>
  <si>
    <t>FR7896681</t>
  </si>
  <si>
    <t>CFLTFLE_22760000891078</t>
  </si>
  <si>
    <t>FR7897475</t>
  </si>
  <si>
    <t>1700006137??</t>
  </si>
  <si>
    <t>1700006138??</t>
  </si>
  <si>
    <t>H000004596</t>
  </si>
  <si>
    <t>H000004597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</si>
</sst>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3">
  <autoFilter ref="A1:C132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48" totalsRowShown="0">
  <autoFilter ref="A1:S4448" xr:uid="{678037D6-A574-4B81-B392-ED766472D9FE}">
    <filterColumn colId="1">
      <filters>
        <filter val="open"/>
      </filters>
    </filterColumn>
    <filterColumn colId="2">
      <filters blank="1">
        <filter val="Currently Truncated/Waiting Actuals"/>
        <filter val="Waiting for MDGF approval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48"/>
  <sheetViews>
    <sheetView tabSelected="1" zoomScale="105" zoomScaleNormal="105" workbookViewId="0">
      <selection activeCell="A4448" sqref="A444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90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90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90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91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88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88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83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83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83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83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83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83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83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83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83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83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83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81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81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81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81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81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81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81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81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81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81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81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81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81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81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81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81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81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81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81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81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81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81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81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81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81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81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81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81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81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81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81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81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81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81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81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81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81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81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81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81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81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81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81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81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81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81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81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81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81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81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81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81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81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81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81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81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81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81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81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81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81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81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81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81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81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81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81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81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81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81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81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81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81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81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81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81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81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81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81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81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81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81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81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81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81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81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81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81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81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81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81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81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81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81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81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81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81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81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81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81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81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81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81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81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81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81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81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81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81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81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81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81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81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81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81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81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81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81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81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81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81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81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81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81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81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81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81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81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81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81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81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81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81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81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81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81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81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81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81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81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81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81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81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81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81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81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81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81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81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81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81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81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81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81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81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81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81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81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81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81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81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81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81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81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81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81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81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81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81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81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81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81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81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81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81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81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81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81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81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81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81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81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81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81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81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81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81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81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81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81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81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81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81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81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81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81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81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81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81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81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81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81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81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81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81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81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81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81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81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81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81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81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81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81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81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81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81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81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81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81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81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81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81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81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81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81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81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81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81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81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81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81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81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81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81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81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81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81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81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81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81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81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81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81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81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81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81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81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81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81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81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81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81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81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81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81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81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81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81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81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81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81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81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81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81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81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81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81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81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81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81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81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81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81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81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81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81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81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81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81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81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81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81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81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81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81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81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81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81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81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81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81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81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81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81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81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81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81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81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81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81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81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81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81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81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81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81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81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81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81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81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81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81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81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81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81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81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81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81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81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81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81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81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81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81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81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81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81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81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81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81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81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81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81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81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79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79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79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79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79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79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79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79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79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79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78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78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78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77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77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77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77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77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77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76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76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74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73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73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73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72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72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72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70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70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70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70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70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70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70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67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67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67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67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67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67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67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67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67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67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67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67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67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67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67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67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67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67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67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67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67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67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67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67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67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67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67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67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67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66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66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64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64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64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64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64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64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64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64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64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64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62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62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62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62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62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62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62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62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61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61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61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61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61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61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61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61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61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61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61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61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61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61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61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61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61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59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59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59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59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59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59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59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59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59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59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59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59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59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59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59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59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59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59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59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59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59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59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59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59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59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59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59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59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59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59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59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59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59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59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59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59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59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59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59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59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59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59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59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59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59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59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59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59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59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59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59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59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59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59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59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59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59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59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59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59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59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59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59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59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59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59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59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59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59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59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59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59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59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59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59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59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59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59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59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59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59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59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59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59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59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59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59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59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59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59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59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59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59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59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59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59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59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59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59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59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59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59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59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59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59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59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59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59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59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59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59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59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59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59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59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59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59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59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59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59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59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59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59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59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59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59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59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59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59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59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59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59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59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59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59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59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59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59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59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59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59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59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59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59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59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59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59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59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59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59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59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59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59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59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59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59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59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59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59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59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59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59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59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59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59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59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59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59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59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59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59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59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59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59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59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59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59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59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59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59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59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59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59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59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59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59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59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59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59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59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59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59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59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59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59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59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59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59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59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59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59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59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59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59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59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59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59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59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59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59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59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59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59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59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59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59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59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59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59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59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59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59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59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59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59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59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59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59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59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59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59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59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59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59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59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59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59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59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59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59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59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59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59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59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59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59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59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59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59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59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59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59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59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59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59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59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59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59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59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59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59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59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59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59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59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59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59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59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59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59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59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59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59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59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59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59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59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59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59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59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59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59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59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59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59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59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59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59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59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59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59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59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59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59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59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58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58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58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58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58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58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58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58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58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58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58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58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58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58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58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58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58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58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58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58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58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58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58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58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58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58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58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58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58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58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58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58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58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58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58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58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58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58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58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58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58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58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58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58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58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58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58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58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58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58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58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58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58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58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58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58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58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58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58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58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58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58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58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58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58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58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58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58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58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58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58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58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58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58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58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58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58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58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58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58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58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58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58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58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58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58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58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58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58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58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58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58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58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58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58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58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58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58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58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58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58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58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58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58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58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58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58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58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58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58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58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58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58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58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58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58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58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58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58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58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58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58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58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58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58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58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58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58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58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58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58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58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58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58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58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58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58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58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58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58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58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58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58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58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58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58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58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58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58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58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58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58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58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58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58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58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58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58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58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58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58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58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58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58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58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58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58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58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58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58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58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58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58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58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58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58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58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58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58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58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58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58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58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58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58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58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58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58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58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58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58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58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58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58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58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58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58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58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58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58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58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58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55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55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55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55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55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55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55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55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55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55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55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55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55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55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55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55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55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55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55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55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55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55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55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55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55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55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55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55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55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55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55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55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55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55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55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55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55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55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55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55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55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55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55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54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54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53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53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53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53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53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53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53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52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52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52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51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51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51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51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51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51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51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51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51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51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51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51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51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51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51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51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51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51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51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51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51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51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51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51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51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51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51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51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51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51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51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51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51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51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51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51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51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51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51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51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51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51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51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51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51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51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51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51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51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51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51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51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51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51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51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51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51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51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51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51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51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51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51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51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51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51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51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51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51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51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51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51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51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51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51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51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51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51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51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51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51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51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51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51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51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51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51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51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51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51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51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51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51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51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50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50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50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50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50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50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50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50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50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50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50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50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50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50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50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50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50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50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50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49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49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49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49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49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49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49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49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49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49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49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49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49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49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49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49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49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49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48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48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48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48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48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48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48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48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48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48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48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48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45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45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45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45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45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45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45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45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45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45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45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45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45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45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45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45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45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45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45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45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45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45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45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45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45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45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45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45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45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44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44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44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44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44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44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44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44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44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44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44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44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44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44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44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44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44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44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44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44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44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44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44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44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44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44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44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44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44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44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44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44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44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44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44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43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43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43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43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43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43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43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43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43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43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43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43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43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43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43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43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43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43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43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43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43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43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43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43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43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43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43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43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43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43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43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43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43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43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43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43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43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43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43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43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43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43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43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43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43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43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43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43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43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43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43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43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43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43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43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43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43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43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43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43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43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43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43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43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43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43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43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43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43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43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43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43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43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43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43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43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43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43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43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43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43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43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43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43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43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43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43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43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43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43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43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43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43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43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43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43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43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43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43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43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43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43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43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43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43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43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43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43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43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43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43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43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43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43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43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43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43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43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43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43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43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43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43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43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43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43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43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43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43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43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43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43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43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43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43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43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43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43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43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43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43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43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43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43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43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43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43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43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43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43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43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43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43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43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43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43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43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43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43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43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43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43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43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43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43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43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43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43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43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43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43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43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43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43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43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43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43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43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43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43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43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43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43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43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43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43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43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43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43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43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43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43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43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43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43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43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43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43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43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43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43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43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43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43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43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43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43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43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43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43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43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43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43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43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43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43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43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43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43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43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43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43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43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43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43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43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43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43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43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43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43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43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43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43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43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43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41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41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41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41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41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41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41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41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41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41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41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41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41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41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41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41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40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40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40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40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40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40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40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40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40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40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40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40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40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40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40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40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40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40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40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40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40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40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40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40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40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40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40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40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40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40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40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40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40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40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40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40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40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40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40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39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39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39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39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39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39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39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39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39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39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39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39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39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39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39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39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39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39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38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38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38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38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38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38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38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38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38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38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38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38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38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38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38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38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38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38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38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38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38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38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38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38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38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38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38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38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38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38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38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38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38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38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38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38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38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38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38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38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38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38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38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38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38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38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38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38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38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38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38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38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38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38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38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38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38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38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38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38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38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38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38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38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38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38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38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38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38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38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38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38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38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38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38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38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38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38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38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38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38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38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38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38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38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38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38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38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38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38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38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38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38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38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38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38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38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38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38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38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38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38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38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38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38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38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38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38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38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38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38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38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38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38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38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34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34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34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34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34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34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34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34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34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34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34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34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33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33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33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33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33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33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33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33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33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33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33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33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33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33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33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33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33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33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33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33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33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33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33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33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33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33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33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33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33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33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33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30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30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30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30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30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30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30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30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30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29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28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28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28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28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28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28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27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27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27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27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27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27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27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27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27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27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27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27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27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27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27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27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27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27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27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27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26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26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26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26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26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26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26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26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26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26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26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26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25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25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25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25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25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25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25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25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25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25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25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25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22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22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22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22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22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22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22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22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22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22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22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22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22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22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22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22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22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22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22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22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22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22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22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22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22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22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22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22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22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22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22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22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22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22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22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22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22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22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22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22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22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22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22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22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22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22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22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22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22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22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21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21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21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21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21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21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21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21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21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21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21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21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21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21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21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21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18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17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17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17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17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17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17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15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15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15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15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15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15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15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15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15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15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15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15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15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15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15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15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15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15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15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15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15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15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15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15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15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15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15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15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15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15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15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15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15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15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15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15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15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15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15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15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15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15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15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15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15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15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15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13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13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13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13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13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13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13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13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13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13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13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13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13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13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13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13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13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13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13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13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13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13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13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13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13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13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13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13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11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11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11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11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on track</v>
      </c>
      <c r="Q4380" s="3">
        <f ca="1">IF(Proc[[#This Row],[DateClosed]]="",ABS(NETWORKDAYS(Proc[[#This Row],[DateOpened]],TODAY()))-1,ABS(NETWORKDAYS(Proc[[#This Row],[DateOpened]],Proc[[#This Row],[DateClosed]]))-1)</f>
        <v>5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on track</v>
      </c>
      <c r="Q4381" s="3">
        <f ca="1">IF(Proc[[#This Row],[DateClosed]]="",ABS(NETWORKDAYS(Proc[[#This Row],[DateOpened]],TODAY()))-1,ABS(NETWORKDAYS(Proc[[#This Row],[DateOpened]],Proc[[#This Row],[DateClosed]]))-1)</f>
        <v>5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on track</v>
      </c>
      <c r="Q4382" s="3">
        <f ca="1">IF(Proc[[#This Row],[DateClosed]]="",ABS(NETWORKDAYS(Proc[[#This Row],[DateOpened]],TODAY()))-1,ABS(NETWORKDAYS(Proc[[#This Row],[DateOpened]],Proc[[#This Row],[DateClosed]]))-1)</f>
        <v>5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on track</v>
      </c>
      <c r="Q4383" s="3">
        <f ca="1">IF(Proc[[#This Row],[DateClosed]]="",ABS(NETWORKDAYS(Proc[[#This Row],[DateOpened]],TODAY()))-1,ABS(NETWORKDAYS(Proc[[#This Row],[DateOpened]],Proc[[#This Row],[DateClosed]]))-1)</f>
        <v>5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on track</v>
      </c>
      <c r="Q4384" s="3">
        <f ca="1">IF(Proc[[#This Row],[DateClosed]]="",ABS(NETWORKDAYS(Proc[[#This Row],[DateOpened]],TODAY()))-1,ABS(NETWORKDAYS(Proc[[#This Row],[DateOpened]],Proc[[#This Row],[DateClosed]]))-1)</f>
        <v>5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on track</v>
      </c>
      <c r="Q4385" s="3">
        <f ca="1">IF(Proc[[#This Row],[DateClosed]]="",ABS(NETWORKDAYS(Proc[[#This Row],[DateOpened]],TODAY()))-1,ABS(NETWORKDAYS(Proc[[#This Row],[DateOpened]],Proc[[#This Row],[DateClosed]]))-1)</f>
        <v>5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on track</v>
      </c>
      <c r="Q4386" s="3">
        <f ca="1">IF(Proc[[#This Row],[DateClosed]]="",ABS(NETWORKDAYS(Proc[[#This Row],[DateOpened]],TODAY()))-1,ABS(NETWORKDAYS(Proc[[#This Row],[DateOpened]],Proc[[#This Row],[DateClosed]]))-1)</f>
        <v>5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on track</v>
      </c>
      <c r="Q4387" s="3">
        <f ca="1">IF(Proc[[#This Row],[DateClosed]]="",ABS(NETWORKDAYS(Proc[[#This Row],[DateOpened]],TODAY()))-1,ABS(NETWORKDAYS(Proc[[#This Row],[DateOpened]],Proc[[#This Row],[DateClosed]]))-1)</f>
        <v>5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on track</v>
      </c>
      <c r="Q4388" s="3">
        <f ca="1">IF(Proc[[#This Row],[DateClosed]]="",ABS(NETWORKDAYS(Proc[[#This Row],[DateOpened]],TODAY()))-1,ABS(NETWORKDAYS(Proc[[#This Row],[DateOpened]],Proc[[#This Row],[DateClosed]]))-1)</f>
        <v>5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on track</v>
      </c>
      <c r="Q4389" s="3">
        <f ca="1">IF(Proc[[#This Row],[DateClosed]]="",ABS(NETWORKDAYS(Proc[[#This Row],[DateOpened]],TODAY()))-1,ABS(NETWORKDAYS(Proc[[#This Row],[DateOpened]],Proc[[#This Row],[DateClosed]]))-1)</f>
        <v>5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on track</v>
      </c>
      <c r="Q4390" s="3">
        <f ca="1">IF(Proc[[#This Row],[DateClosed]]="",ABS(NETWORKDAYS(Proc[[#This Row],[DateOpened]],TODAY()))-1,ABS(NETWORKDAYS(Proc[[#This Row],[DateOpened]],Proc[[#This Row],[DateClosed]]))-1)</f>
        <v>5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on track</v>
      </c>
      <c r="Q4391" s="3">
        <f ca="1">IF(Proc[[#This Row],[DateClosed]]="",ABS(NETWORKDAYS(Proc[[#This Row],[DateOpened]],TODAY()))-1,ABS(NETWORKDAYS(Proc[[#This Row],[DateOpened]],Proc[[#This Row],[DateClosed]]))-1)</f>
        <v>5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2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2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2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2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2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2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2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2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2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2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2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2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2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2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2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2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2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2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2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2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2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2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2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2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2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2</v>
      </c>
      <c r="R4417" s="159" t="s">
        <v>6564</v>
      </c>
      <c r="S4417" s="150"/>
    </row>
    <row r="4418" spans="1:19" hidden="1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2</v>
      </c>
      <c r="R4418" s="159" t="s">
        <v>498</v>
      </c>
      <c r="S4418" s="150"/>
    </row>
    <row r="4419" spans="1:19" hidden="1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2</v>
      </c>
      <c r="R4419" s="159" t="s">
        <v>498</v>
      </c>
      <c r="S4419" s="150"/>
    </row>
    <row r="4420" spans="1:19" hidden="1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2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375</v>
      </c>
      <c r="D4421" t="s">
        <v>6572</v>
      </c>
      <c r="E4421" t="s">
        <v>784</v>
      </c>
      <c r="F4421" s="150"/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0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1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404</v>
      </c>
      <c r="D4422" t="s">
        <v>6604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0</v>
      </c>
      <c r="R4422" s="161" t="s">
        <v>764</v>
      </c>
      <c r="S4422" s="150"/>
    </row>
    <row r="4423" spans="1:19">
      <c r="A4423" t="s">
        <v>6603</v>
      </c>
      <c r="B4423" s="150" t="str">
        <f>IFERROR(VLOOKUP(Proc[[#This Row],[App]],Table2[],3,0),"open")</f>
        <v>open</v>
      </c>
      <c r="C4423" t="s">
        <v>404</v>
      </c>
      <c r="D4423" t="s">
        <v>6576</v>
      </c>
      <c r="E4423" s="149" t="s">
        <v>6600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1">
        <v>45954</v>
      </c>
      <c r="N4423" s="162"/>
      <c r="O4423" s="162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0</v>
      </c>
      <c r="R4423" s="161" t="s">
        <v>5710</v>
      </c>
      <c r="S4423" s="150"/>
    </row>
    <row r="4424" spans="1:19">
      <c r="A4424" s="149" t="s">
        <v>6603</v>
      </c>
      <c r="B4424" s="150" t="str">
        <f>IFERROR(VLOOKUP(Proc[[#This Row],[App]],Table2[],3,0),"open")</f>
        <v>open</v>
      </c>
      <c r="C4424" s="149" t="s">
        <v>404</v>
      </c>
      <c r="D4424" t="s">
        <v>6577</v>
      </c>
      <c r="E4424" s="149" t="s">
        <v>6600</v>
      </c>
      <c r="F4424" s="150"/>
      <c r="G4424" s="149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1">
        <v>45954</v>
      </c>
      <c r="N4424" s="162"/>
      <c r="O4424" s="162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0</v>
      </c>
      <c r="R4424" s="161" t="s">
        <v>5710</v>
      </c>
      <c r="S4424" s="150"/>
    </row>
    <row r="4425" spans="1:19">
      <c r="A4425" s="149" t="s">
        <v>6603</v>
      </c>
      <c r="B4425" s="150" t="str">
        <f>IFERROR(VLOOKUP(Proc[[#This Row],[App]],Table2[],3,0),"open")</f>
        <v>open</v>
      </c>
      <c r="C4425" s="149" t="s">
        <v>404</v>
      </c>
      <c r="D4425" t="s">
        <v>6578</v>
      </c>
      <c r="E4425" s="149" t="s">
        <v>6600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1">
        <v>45954</v>
      </c>
      <c r="N4425" s="162"/>
      <c r="O4425" s="162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0</v>
      </c>
      <c r="R4425" s="161" t="s">
        <v>5710</v>
      </c>
      <c r="S4425" s="150"/>
    </row>
    <row r="4426" spans="1:19">
      <c r="A4426" s="149" t="s">
        <v>6603</v>
      </c>
      <c r="B4426" s="150" t="str">
        <f>IFERROR(VLOOKUP(Proc[[#This Row],[App]],Table2[],3,0),"open")</f>
        <v>open</v>
      </c>
      <c r="C4426" s="149" t="s">
        <v>404</v>
      </c>
      <c r="D4426" t="s">
        <v>6579</v>
      </c>
      <c r="E4426" s="149" t="s">
        <v>6600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1">
        <v>45954</v>
      </c>
      <c r="N4426" s="162"/>
      <c r="O4426" s="162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0</v>
      </c>
      <c r="R4426" s="161" t="s">
        <v>5710</v>
      </c>
      <c r="S4426" s="150"/>
    </row>
    <row r="4427" spans="1:19">
      <c r="A4427" s="149" t="s">
        <v>6603</v>
      </c>
      <c r="B4427" s="150" t="str">
        <f>IFERROR(VLOOKUP(Proc[[#This Row],[App]],Table2[],3,0),"open")</f>
        <v>open</v>
      </c>
      <c r="C4427" s="149" t="s">
        <v>404</v>
      </c>
      <c r="D4427" t="s">
        <v>6580</v>
      </c>
      <c r="E4427" s="149" t="s">
        <v>6600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1">
        <v>45954</v>
      </c>
      <c r="N4427" s="162"/>
      <c r="O4427" s="162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0</v>
      </c>
      <c r="R4427" s="161" t="s">
        <v>5710</v>
      </c>
      <c r="S4427" s="150"/>
    </row>
    <row r="4428" spans="1:19">
      <c r="A4428" s="149" t="s">
        <v>6603</v>
      </c>
      <c r="B4428" s="150" t="str">
        <f>IFERROR(VLOOKUP(Proc[[#This Row],[App]],Table2[],3,0),"open")</f>
        <v>open</v>
      </c>
      <c r="C4428" s="149" t="s">
        <v>404</v>
      </c>
      <c r="D4428" t="s">
        <v>6581</v>
      </c>
      <c r="E4428" s="149" t="s">
        <v>6600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1">
        <v>45954</v>
      </c>
      <c r="N4428" s="162"/>
      <c r="O4428" s="162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0</v>
      </c>
      <c r="R4428" s="161" t="s">
        <v>5710</v>
      </c>
      <c r="S4428" s="150"/>
    </row>
    <row r="4429" spans="1:19">
      <c r="A4429" s="149" t="s">
        <v>6603</v>
      </c>
      <c r="B4429" s="150" t="str">
        <f>IFERROR(VLOOKUP(Proc[[#This Row],[App]],Table2[],3,0),"open")</f>
        <v>open</v>
      </c>
      <c r="C4429" s="149" t="s">
        <v>404</v>
      </c>
      <c r="D4429" t="s">
        <v>6582</v>
      </c>
      <c r="E4429" s="149" t="s">
        <v>6600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1">
        <v>45954</v>
      </c>
      <c r="N4429" s="162"/>
      <c r="O4429" s="162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0</v>
      </c>
      <c r="R4429" s="161" t="s">
        <v>5710</v>
      </c>
      <c r="S4429" s="150"/>
    </row>
    <row r="4430" spans="1:19">
      <c r="A4430" s="149" t="s">
        <v>6603</v>
      </c>
      <c r="B4430" s="150" t="str">
        <f>IFERROR(VLOOKUP(Proc[[#This Row],[App]],Table2[],3,0),"open")</f>
        <v>open</v>
      </c>
      <c r="C4430" s="149" t="s">
        <v>404</v>
      </c>
      <c r="D4430" t="s">
        <v>6583</v>
      </c>
      <c r="E4430" s="149" t="s">
        <v>6600</v>
      </c>
      <c r="F4430" s="150"/>
      <c r="G4430" s="149" t="s">
        <v>406</v>
      </c>
      <c r="H4430" s="150" t="str">
        <f>IF(Proc[[#This Row],[type]]="LFF (MDG-F)",MID(Proc[[#This Row],[Obj]],13,10),"")</f>
        <v>0000618200</v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1">
        <v>45954</v>
      </c>
      <c r="N4430" s="162"/>
      <c r="O4430" s="162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0</v>
      </c>
      <c r="R4430" s="161" t="s">
        <v>5710</v>
      </c>
      <c r="S4430" s="150"/>
    </row>
    <row r="4431" spans="1:19">
      <c r="A4431" s="149" t="s">
        <v>6603</v>
      </c>
      <c r="B4431" s="150" t="str">
        <f>IFERROR(VLOOKUP(Proc[[#This Row],[App]],Table2[],3,0),"open")</f>
        <v>open</v>
      </c>
      <c r="C4431" s="149" t="s">
        <v>404</v>
      </c>
      <c r="D4431" t="s">
        <v>6584</v>
      </c>
      <c r="E4431" s="149" t="s">
        <v>6600</v>
      </c>
      <c r="F4431" s="150"/>
      <c r="G4431" s="149" t="s">
        <v>406</v>
      </c>
      <c r="H4431" s="150" t="str">
        <f>IF(Proc[[#This Row],[type]]="LFF (MDG-F)",MID(Proc[[#This Row],[Obj]],13,10),"")</f>
        <v>0000618210</v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1">
        <v>45954</v>
      </c>
      <c r="N4431" s="162"/>
      <c r="O4431" s="162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0</v>
      </c>
      <c r="R4431" s="161" t="s">
        <v>5710</v>
      </c>
      <c r="S4431" s="150"/>
    </row>
    <row r="4432" spans="1:19">
      <c r="A4432" s="149" t="s">
        <v>6603</v>
      </c>
      <c r="B4432" s="150" t="str">
        <f>IFERROR(VLOOKUP(Proc[[#This Row],[App]],Table2[],3,0),"open")</f>
        <v>open</v>
      </c>
      <c r="C4432" s="149" t="s">
        <v>404</v>
      </c>
      <c r="D4432" t="s">
        <v>6585</v>
      </c>
      <c r="E4432" s="149" t="s">
        <v>6600</v>
      </c>
      <c r="F4432" s="150"/>
      <c r="G4432" s="149" t="s">
        <v>406</v>
      </c>
      <c r="H4432" s="150" t="str">
        <f>IF(Proc[[#This Row],[type]]="LFF (MDG-F)",MID(Proc[[#This Row],[Obj]],13,10),"")</f>
        <v>0000874100</v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1">
        <v>45954</v>
      </c>
      <c r="N4432" s="162"/>
      <c r="O4432" s="162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0</v>
      </c>
      <c r="R4432" s="161" t="s">
        <v>5710</v>
      </c>
      <c r="S4432" s="150"/>
    </row>
    <row r="4433" spans="1:19">
      <c r="A4433" s="149" t="s">
        <v>6603</v>
      </c>
      <c r="B4433" s="150" t="str">
        <f>IFERROR(VLOOKUP(Proc[[#This Row],[App]],Table2[],3,0),"open")</f>
        <v>open</v>
      </c>
      <c r="C4433" s="149" t="s">
        <v>404</v>
      </c>
      <c r="D4433" t="s">
        <v>6586</v>
      </c>
      <c r="E4433" s="149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1">
        <v>45954</v>
      </c>
      <c r="N4433" s="162"/>
      <c r="O4433" s="162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0</v>
      </c>
      <c r="R4433" s="161" t="s">
        <v>5710</v>
      </c>
      <c r="S4433" s="150"/>
    </row>
    <row r="4434" spans="1:19">
      <c r="A4434" s="149" t="s">
        <v>6603</v>
      </c>
      <c r="B4434" s="150" t="str">
        <f>IFERROR(VLOOKUP(Proc[[#This Row],[App]],Table2[],3,0),"open")</f>
        <v>open</v>
      </c>
      <c r="C4434" s="149" t="s">
        <v>404</v>
      </c>
      <c r="D4434" t="s">
        <v>6587</v>
      </c>
      <c r="E4434" s="149" t="s">
        <v>6601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1">
        <v>45954</v>
      </c>
      <c r="N4434" s="162"/>
      <c r="O4434" s="162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0</v>
      </c>
      <c r="R4434" s="161" t="s">
        <v>5710</v>
      </c>
      <c r="S4434" s="150"/>
    </row>
    <row r="4435" spans="1:19">
      <c r="A4435" s="149" t="s">
        <v>6603</v>
      </c>
      <c r="B4435" s="150" t="str">
        <f>IFERROR(VLOOKUP(Proc[[#This Row],[App]],Table2[],3,0),"open")</f>
        <v>open</v>
      </c>
      <c r="C4435" s="149" t="s">
        <v>404</v>
      </c>
      <c r="D4435" t="s">
        <v>6588</v>
      </c>
      <c r="E4435" s="149" t="s">
        <v>6601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1">
        <v>45954</v>
      </c>
      <c r="N4435" s="162"/>
      <c r="O4435" s="162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0</v>
      </c>
      <c r="R4435" s="161" t="s">
        <v>5710</v>
      </c>
      <c r="S4435" s="150"/>
    </row>
    <row r="4436" spans="1:19">
      <c r="A4436" s="149" t="s">
        <v>6603</v>
      </c>
      <c r="B4436" s="150" t="str">
        <f>IFERROR(VLOOKUP(Proc[[#This Row],[App]],Table2[],3,0),"open")</f>
        <v>open</v>
      </c>
      <c r="C4436" s="149" t="s">
        <v>404</v>
      </c>
      <c r="D4436" t="s">
        <v>6589</v>
      </c>
      <c r="E4436" s="149" t="s">
        <v>6601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1">
        <v>45954</v>
      </c>
      <c r="N4436" s="162"/>
      <c r="O4436" s="162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0</v>
      </c>
      <c r="R4436" s="161" t="s">
        <v>5710</v>
      </c>
      <c r="S4436" s="150"/>
    </row>
    <row r="4437" spans="1:19">
      <c r="A4437" s="149" t="s">
        <v>6603</v>
      </c>
      <c r="B4437" s="150" t="str">
        <f>IFERROR(VLOOKUP(Proc[[#This Row],[App]],Table2[],3,0),"open")</f>
        <v>open</v>
      </c>
      <c r="C4437" s="149" t="s">
        <v>404</v>
      </c>
      <c r="D4437" t="s">
        <v>6590</v>
      </c>
      <c r="E4437" s="149" t="s">
        <v>6601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1">
        <v>45954</v>
      </c>
      <c r="N4437" s="162"/>
      <c r="O4437" s="162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0</v>
      </c>
      <c r="R4437" s="161" t="s">
        <v>5710</v>
      </c>
      <c r="S4437" s="150"/>
    </row>
    <row r="4438" spans="1:19">
      <c r="A4438" s="149" t="s">
        <v>6603</v>
      </c>
      <c r="B4438" s="150" t="str">
        <f>IFERROR(VLOOKUP(Proc[[#This Row],[App]],Table2[],3,0),"open")</f>
        <v>open</v>
      </c>
      <c r="C4438" s="149" t="s">
        <v>404</v>
      </c>
      <c r="D4438" t="s">
        <v>6591</v>
      </c>
      <c r="E4438" s="149" t="s">
        <v>6601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1">
        <v>45954</v>
      </c>
      <c r="N4438" s="162"/>
      <c r="O4438" s="162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0</v>
      </c>
      <c r="R4438" s="161" t="s">
        <v>5710</v>
      </c>
      <c r="S4438" s="150"/>
    </row>
    <row r="4439" spans="1:19">
      <c r="A4439" s="149" t="s">
        <v>6603</v>
      </c>
      <c r="B4439" s="150" t="str">
        <f>IFERROR(VLOOKUP(Proc[[#This Row],[App]],Table2[],3,0),"open")</f>
        <v>open</v>
      </c>
      <c r="C4439" s="149" t="s">
        <v>404</v>
      </c>
      <c r="D4439" t="s">
        <v>6592</v>
      </c>
      <c r="E4439" s="149" t="s">
        <v>6601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1">
        <v>45954</v>
      </c>
      <c r="N4439" s="162"/>
      <c r="O4439" s="162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0</v>
      </c>
      <c r="R4439" s="161" t="s">
        <v>5710</v>
      </c>
      <c r="S4439" s="150"/>
    </row>
    <row r="4440" spans="1:19">
      <c r="A4440" s="149" t="s">
        <v>6603</v>
      </c>
      <c r="B4440" s="150" t="str">
        <f>IFERROR(VLOOKUP(Proc[[#This Row],[App]],Table2[],3,0),"open")</f>
        <v>open</v>
      </c>
      <c r="C4440" s="149" t="s">
        <v>404</v>
      </c>
      <c r="D4440" t="s">
        <v>6593</v>
      </c>
      <c r="E4440" s="149" t="s">
        <v>6601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1">
        <v>45954</v>
      </c>
      <c r="N4440" s="162"/>
      <c r="O4440" s="162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0</v>
      </c>
      <c r="R4440" s="161" t="s">
        <v>5710</v>
      </c>
      <c r="S4440" s="150"/>
    </row>
    <row r="4441" spans="1:19">
      <c r="A4441" s="149" t="s">
        <v>6603</v>
      </c>
      <c r="B4441" s="150" t="str">
        <f>IFERROR(VLOOKUP(Proc[[#This Row],[App]],Table2[],3,0),"open")</f>
        <v>open</v>
      </c>
      <c r="C4441" s="149" t="s">
        <v>404</v>
      </c>
      <c r="D4441" t="s">
        <v>6594</v>
      </c>
      <c r="E4441" s="149" t="s">
        <v>6601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1">
        <v>45954</v>
      </c>
      <c r="N4441" s="162"/>
      <c r="O4441" s="162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0</v>
      </c>
      <c r="R4441" s="161" t="s">
        <v>5710</v>
      </c>
      <c r="S4441" s="150"/>
    </row>
    <row r="4442" spans="1:19">
      <c r="A4442" s="149" t="s">
        <v>6603</v>
      </c>
      <c r="B4442" s="150" t="str">
        <f>IFERROR(VLOOKUP(Proc[[#This Row],[App]],Table2[],3,0),"open")</f>
        <v>open</v>
      </c>
      <c r="C4442" s="149" t="s">
        <v>404</v>
      </c>
      <c r="D4442" t="s">
        <v>6595</v>
      </c>
      <c r="E4442" s="149" t="s">
        <v>6601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1">
        <v>45954</v>
      </c>
      <c r="N4442" s="162"/>
      <c r="O4442" s="162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0</v>
      </c>
      <c r="R4442" s="161" t="s">
        <v>5710</v>
      </c>
      <c r="S4442" s="150"/>
    </row>
    <row r="4443" spans="1:19">
      <c r="A4443" s="149" t="s">
        <v>6603</v>
      </c>
      <c r="B4443" s="150" t="str">
        <f>IFERROR(VLOOKUP(Proc[[#This Row],[App]],Table2[],3,0),"open")</f>
        <v>open</v>
      </c>
      <c r="C4443" s="149" t="s">
        <v>404</v>
      </c>
      <c r="D4443" t="s">
        <v>6596</v>
      </c>
      <c r="E4443" s="149" t="s">
        <v>6601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1">
        <v>45954</v>
      </c>
      <c r="N4443" s="162"/>
      <c r="O4443" s="162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0</v>
      </c>
      <c r="R4443" s="161" t="s">
        <v>5710</v>
      </c>
      <c r="S4443" s="150"/>
    </row>
    <row r="4444" spans="1:19">
      <c r="A4444" s="149" t="s">
        <v>6603</v>
      </c>
      <c r="B4444" s="150" t="str">
        <f>IFERROR(VLOOKUP(Proc[[#This Row],[App]],Table2[],3,0),"open")</f>
        <v>open</v>
      </c>
      <c r="C4444" s="149" t="s">
        <v>404</v>
      </c>
      <c r="D4444" t="s">
        <v>6597</v>
      </c>
      <c r="E4444" s="149" t="s">
        <v>6602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1">
        <v>45954</v>
      </c>
      <c r="N4444" s="162"/>
      <c r="O4444" s="162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0</v>
      </c>
      <c r="R4444" s="161" t="s">
        <v>5710</v>
      </c>
      <c r="S4444" s="150"/>
    </row>
    <row r="4445" spans="1:19">
      <c r="A4445" s="149" t="s">
        <v>6603</v>
      </c>
      <c r="B4445" s="150" t="str">
        <f>IFERROR(VLOOKUP(Proc[[#This Row],[App]],Table2[],3,0),"open")</f>
        <v>open</v>
      </c>
      <c r="C4445" s="149" t="s">
        <v>404</v>
      </c>
      <c r="D4445" t="s">
        <v>6598</v>
      </c>
      <c r="E4445" s="149" t="s">
        <v>6602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1">
        <v>45954</v>
      </c>
      <c r="N4445" s="162"/>
      <c r="O4445" s="162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0</v>
      </c>
      <c r="R4445" s="161" t="s">
        <v>5710</v>
      </c>
      <c r="S4445" s="150"/>
    </row>
    <row r="4446" spans="1:19">
      <c r="A4446" s="149" t="s">
        <v>6603</v>
      </c>
      <c r="B4446" s="150" t="str">
        <f>IFERROR(VLOOKUP(Proc[[#This Row],[App]],Table2[],3,0),"open")</f>
        <v>open</v>
      </c>
      <c r="C4446" s="149" t="s">
        <v>404</v>
      </c>
      <c r="D4446" t="s">
        <v>6599</v>
      </c>
      <c r="E4446" s="149" t="s">
        <v>6602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1">
        <v>45954</v>
      </c>
      <c r="N4446" s="162"/>
      <c r="O4446" s="162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0</v>
      </c>
      <c r="R4446" s="161" t="s">
        <v>5710</v>
      </c>
      <c r="S4446" s="150"/>
    </row>
    <row r="4447" spans="1:19">
      <c r="A4447" t="s">
        <v>6605</v>
      </c>
      <c r="B4447" s="150" t="str">
        <f>IFERROR(VLOOKUP(Proc[[#This Row],[App]],Table2[],3,0),"open")</f>
        <v>open</v>
      </c>
      <c r="C4447" s="149" t="s">
        <v>404</v>
      </c>
      <c r="D4447" t="s">
        <v>6606</v>
      </c>
      <c r="E4447" t="s">
        <v>6608</v>
      </c>
      <c r="F4447" s="150"/>
      <c r="G4447" t="s">
        <v>400</v>
      </c>
      <c r="H4447" s="150" t="str">
        <f>IF(Proc[[#This Row],[type]]="LFF (MDG-F)",MID(Proc[[#This Row],[Obj]],13,10),"")</f>
        <v/>
      </c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HC</v>
      </c>
      <c r="L4447" s="150" t="s">
        <v>6436</v>
      </c>
      <c r="M4447" s="161">
        <v>45954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0</v>
      </c>
      <c r="R4447" s="161" t="s">
        <v>498</v>
      </c>
      <c r="S4447" s="150"/>
    </row>
    <row r="4448" spans="1:19">
      <c r="A4448" s="149" t="s">
        <v>6605</v>
      </c>
      <c r="B4448" s="150" t="str">
        <f>IFERROR(VLOOKUP(Proc[[#This Row],[App]],Table2[],3,0),"open")</f>
        <v>open</v>
      </c>
      <c r="C4448" s="149" t="s">
        <v>404</v>
      </c>
      <c r="D4448" t="s">
        <v>6607</v>
      </c>
      <c r="E4448" t="s">
        <v>6609</v>
      </c>
      <c r="F4448" s="150"/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0</v>
      </c>
      <c r="K4448" s="150" t="str">
        <f>IF(Proc[[#This Row],[Author]]="Marcela Urrego",VLOOKUP(LEFT(Proc[[#This Row],[Requested]],1),Table3[#All],2,0),VLOOKUP(Proc[[#This Row],[Author]],Table4[],2,0))</f>
        <v>HC</v>
      </c>
      <c r="L4448" s="150" t="s">
        <v>6436</v>
      </c>
      <c r="M4448" s="161">
        <v>45954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0</v>
      </c>
      <c r="R4448" s="161" t="s">
        <v>498</v>
      </c>
      <c r="S4448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2025-10-24T14:02:22Z</dcterms:modified>
  <cp:category/>
  <cp:contentStatus/>
</cp:coreProperties>
</file>