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9E27C472-9EB6-4E40-846D-3D4DC80BDB60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88" i="1" l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<sst xmlns="http://schemas.openxmlformats.org/spreadsheetml/2006/main" count="41535" uniqueCount="6905">
  <si>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</si>
  <si>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</si>
  <si>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</si>
  <si>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</si>
  <si>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</si>
  <si>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</si>
  <si>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</si>
  <si>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</si>
  <si>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</si>
  <si>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</si>
  <si>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</si>
  <si>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</si>
  <si>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</si>
  <si>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</si>
  <si>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</si>
  <si>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</si>
  <si>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</si>
  <si>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</si>
  <si>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</si>
  <si>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</si>
  <si>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</si>
  <si>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</si>
  <si>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</si>
  <si>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</si>
  <si>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</si>
  <si>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</si>
  <si>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</si>
  <si>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</si>
  <si>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</si>
  <si>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</si>
  <si>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</si>
  <si>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</si>
  <si>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</si>
  <si>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</si>
  <si>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</si>
  <si>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</si>
  <si>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</si>
  <si>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</si>
  <si>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</si>
  <si>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</si>
  <si>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</si>
  <si>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</si>
  <si>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</si>
  <si>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</si>
  <si>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</si>
  <si>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</si>
  <si>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</si>
  <si>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</si>
  <si>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</si>
  <si>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</si>
  <si>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</si>
  <si>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</si>
  <si>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</si>
  <si>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</si>
  <si>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</si>
  <si>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</si>
  <si>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</si>
  <si>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</si>
  <si>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</si>
  <si>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</si>
  <si>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</si>
  <si>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</si>
  <si>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</si>
  <si>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</si>
  <si>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</si>
  <si>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</si>
  <si>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</si>
  <si>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</si>
  <si>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</si>
  <si>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</si>
  <si>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</si>
  <si>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</si>
  <si>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</si>
  <si>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</si>
  <si>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</si>
  <si>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</si>
  <si>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</si>
  <si>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</si>
  <si>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</si>
  <si>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</si>
  <si>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</si>
  <si>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</si>
  <si>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</si>
  <si>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</si>
  <si>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</si>
  <si>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</si>
  <si>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</si>
  <si>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</si>
  <si>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</si>
  <si>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</si>
  <si>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</si>
  <si>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</si>
  <si>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</si>
  <si>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</si>
  <si>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</si>
  <si>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</si>
  <si>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</si>
  <si>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</si>
  <si>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</si>
  <si>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</si>
  <si>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</si>
  <si>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</si>
  <si>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</si>
  <si>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</si>
  <si>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</si>
  <si>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</si>
  <si>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</si>
  <si>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</si>
  <si>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</si>
  <si>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</si>
  <si>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</si>
  <si>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</si>
  <si>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</si>
  <si>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</si>
  <si>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</si>
  <si>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</si>
  <si>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</si>
  <si>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</si>
  <si>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</si>
  <si>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</si>
  <si>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</si>
  <si>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</si>
  <si>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</si>
  <si>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</si>
  <si>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</si>
  <si>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</si>
  <si>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</si>
  <si>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</si>
  <si>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</si>
  <si>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</si>
  <si>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</si>
  <si>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</si>
  <si>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</si>
  <si>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</si>
  <si>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</si>
  <si>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</si>
  <si>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</si>
  <si>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</si>
  <si>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</si>
  <si>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</si>
  <si>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</si>
  <si>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</si>
  <si>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</si>
  <si>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</si>
  <si>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</si>
  <si>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</si>
  <si>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</si>
  <si>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</si>
  <si>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</si>
  <si>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</si>
  <si>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</si>
  <si>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</si>
  <si>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</si>
  <si>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</si>
  <si>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</si>
  <si>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</si>
  <si>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</si>
  <si>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</si>
  <si>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</si>
  <si>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</si>
  <si>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</si>
  <si>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</si>
  <si>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</si>
  <si>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</si>
  <si>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</si>
  <si>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</si>
  <si>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</si>
  <si>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</si>
  <si>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</si>
  <si>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</si>
  <si>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</si>
  <si>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</si>
  <si>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</si>
  <si>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</si>
  <si>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</si>
  <si>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</si>
  <si>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</si>
  <si>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</si>
  <si>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</si>
  <si>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</si>
  <si>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</si>
  <si>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</si>
  <si>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</si>
  <si>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</si>
  <si>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</si>
  <si>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</si>
  <si>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</si>
  <si>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</si>
  <si>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</si>
  <si>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</si>
  <si>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</si>
  <si>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</si>
  <si>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</si>
  <si>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</si>
  <si>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</si>
  <si>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</si>
  <si>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</si>
  <si>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</si>
  <si>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</si>
  <si>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</si>
  <si>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</si>
  <si>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</si>
  <si>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</si>
  <si>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</si>
  <si>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</si>
  <si>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</si>
  <si>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</si>
  <si>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</si>
  <si>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</si>
  <si>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</si>
  <si>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</si>
  <si>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</si>
  <si>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</si>
  <si>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</si>
  <si>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</si>
  <si>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</si>
  <si>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</si>
  <si>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</si>
  <si>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</si>
  <si>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</si>
  <si>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</si>
  <si>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</si>
  <si>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</si>
  <si>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</si>
  <si>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</si>
  <si>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</si>
  <si>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</si>
  <si>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</si>
  <si>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</si>
  <si>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</si>
  <si>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</si>
  <si>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</si>
  <si>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</si>
  <si>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</si>
  <si>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</si>
  <si>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</si>
  <si>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</si>
  <si>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</si>
  <si>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</si>
  <si>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</si>
  <si>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</si>
  <si>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</si>
  <si>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</si>
  <si>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</si>
  <si>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</si>
  <si>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</si>
  <si>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</si>
  <si>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</si>
  <si>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</si>
  <si>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</si>
  <si>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</si>
  <si>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</si>
  <si>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</si>
  <si>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</si>
  <si>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</si>
  <si>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</si>
  <si>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</si>
  <si>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</si>
  <si>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</si>
  <si>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</si>
  <si>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</si>
  <si>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</si>
  <si>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</si>
  <si>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</si>
  <si>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</si>
  <si>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</si>
  <si>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</si>
  <si>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</si>
  <si>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</si>
  <si>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</si>
  <si>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</si>
  <si>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</si>
  <si>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</si>
  <si>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</si>
  <si>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</si>
  <si>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</si>
  <si>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</si>
  <si>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</si>
  <si>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</si>
  <si>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</si>
  <si>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</si>
  <si>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</si>
  <si>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</si>
  <si>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</si>
  <si>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</si>
  <si>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</si>
  <si>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</si>
  <si>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</si>
  <si>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</si>
  <si>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</si>
  <si>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</si>
  <si>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</si>
  <si>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</si>
  <si>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</si>
  <si>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</si>
  <si>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</si>
  <si>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</si>
  <si>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</si>
  <si>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</si>
  <si>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</si>
  <si>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</si>
  <si>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</si>
  <si>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</si>
  <si>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</si>
  <si>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</si>
  <si>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</si>
  <si>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</si>
  <si>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</si>
  <si>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</si>
  <si>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</si>
  <si>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</si>
  <si>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</si>
  <si>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</si>
  <si>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</si>
  <si>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</si>
  <si>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</si>
  <si>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</si>
  <si>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</si>
  <si>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</si>
  <si>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</si>
  <si>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</si>
  <si>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</si>
  <si>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</si>
  <si>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</si>
  <si>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</si>
  <si>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</si>
  <si>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</si>
  <si>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</si>
  <si>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</si>
  <si>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</si>
  <si>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</si>
  <si>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</si>
  <si>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</si>
  <si>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</si>
  <si>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</si>
  <si>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</si>
  <si>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</si>
  <si>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</si>
  <si>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</si>
  <si>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</si>
  <si>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</si>
  <si>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</si>
  <si>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</si>
  <si>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</si>
  <si>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</si>
  <si>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</si>
  <si>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</si>
  <si>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</si>
  <si>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</si>
  <si>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</si>
  <si>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</si>
  <si>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</si>
  <si>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</si>
  <si>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</si>
  <si>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</si>
  <si>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</si>
  <si>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</si>
  <si>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</si>
  <si>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</si>
  <si>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</si>
  <si>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</si>
  <si>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</si>
  <si>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</si>
  <si>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</si>
  <si>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</si>
  <si>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</si>
  <si>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</si>
  <si>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</si>
  <si>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</si>
  <si>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</si>
  <si>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</si>
  <si>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</si>
  <si>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</si>
  <si>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</si>
  <si>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</si>
  <si>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</si>
  <si>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</si>
  <si>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</si>
  <si>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</si>
  <si>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</si>
  <si>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</si>
  <si>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</si>
  <si>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</si>
  <si>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</si>
  <si>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</si>
  <si>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</si>
  <si>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</si>
  <si>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</si>
  <si>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</si>
  <si>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</si>
  <si>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</si>
  <si>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</si>
  <si>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</si>
  <si>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</si>
  <si>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</si>
  <si>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</si>
  <si>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</si>
  <si>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</si>
  <si>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</si>
  <si>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</si>
  <si>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</si>
  <si>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</si>
  <si>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</si>
  <si>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</si>
  <si>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</si>
  <si>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</si>
  <si>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</si>
  <si>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</si>
  <si>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</si>
  <si>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</si>
  <si>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</si>
  <si>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</si>
  <si>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</si>
  <si>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</si>
  <si>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</si>
  <si>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</si>
  <si>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</si>
  <si>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</si>
  <si>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</si>
  <si>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</si>
  <si>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</si>
  <si>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</si>
  <si>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</si>
  <si>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</si>
  <si>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</si>
  <si>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</si>
  <si>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</si>
  <si>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</si>
  <si>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</si>
  <si>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</si>
  <si>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</si>
  <si>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</si>
  <si>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</si>
  <si>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</si>
  <si>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</si>
  <si>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</si>
  <si>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</si>
  <si>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</si>
  <si>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</si>
  <si>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</si>
  <si>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</si>
  <si>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</si>
  <si>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</si>
  <si>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</si>
  <si>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</si>
  <si>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</si>
  <si>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</si>
  <si>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</si>
  <si>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</si>
  <si>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</si>
  <si>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</si>
  <si>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</si>
  <si>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</si>
  <si>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</si>
  <si>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</si>
  <si>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</si>
  <si>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</si>
  <si>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</si>
  <si>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</si>
  <si>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</si>
  <si>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</si>
  <si>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</si>
  <si>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</si>
  <si>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</si>
  <si>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</si>
  <si>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</si>
  <si>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</si>
  <si>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</si>
  <si>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</si>
  <si>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</si>
  <si>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</si>
  <si>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</si>
  <si>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</si>
  <si>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</si>
  <si>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</si>
  <si>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</si>
  <si>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</si>
  <si>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</si>
  <si>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</si>
  <si>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</si>
  <si>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</si>
  <si>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</si>
  <si>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</si>
  <si>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</si>
  <si>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</si>
  <si>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</si>
  <si>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</si>
  <si>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</si>
  <si>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</si>
  <si>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</si>
  <si>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</si>
  <si>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</si>
  <si>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</si>
  <si>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</si>
  <si>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</si>
  <si>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</si>
  <si>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</si>
  <si>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</si>
  <si>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</si>
  <si>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</si>
  <si>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</si>
  <si>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</si>
  <si>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</si>
  <si>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</si>
  <si>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</si>
  <si>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</si>
  <si>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</si>
  <si>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</si>
  <si>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</si>
  <si>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</si>
  <si>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</si>
  <si>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</si>
  <si>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</si>
  <si>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</si>
  <si>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</si>
  <si>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</si>
  <si>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</si>
  <si>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</si>
  <si>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</si>
  <si>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</si>
  <si>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</si>
  <si>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</si>
  <si>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</si>
  <si>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</si>
  <si>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</si>
  <si>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</si>
  <si>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</si>
  <si>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</si>
  <si>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</si>
  <si>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</si>
  <si>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</si>
  <si>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</si>
  <si>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</si>
  <si>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</si>
  <si>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</si>
  <si>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</si>
  <si>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</si>
  <si>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</si>
  <si>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</si>
  <si>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</si>
  <si>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</si>
  <si>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</si>
  <si>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</si>
  <si>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</si>
  <si>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</si>
  <si>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</si>
  <si>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</si>
  <si>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</si>
  <si>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</si>
  <si>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</si>
  <si>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</si>
  <si>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</si>
  <si>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</si>
  <si>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</si>
  <si>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</si>
  <si>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</si>
  <si>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</si>
  <si>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</si>
  <si>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</si>
  <si>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</si>
  <si>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</si>
  <si>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</si>
  <si>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</si>
  <si>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</si>
  <si>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</si>
  <si>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</si>
  <si>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</si>
  <si>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</si>
  <si>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</si>
  <si>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</si>
  <si>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</si>
  <si>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</si>
  <si>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</si>
  <si>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</si>
  <si>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</si>
  <si>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</si>
  <si>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</si>
  <si>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</si>
  <si>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</si>
  <si>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</si>
  <si>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</si>
  <si>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</si>
  <si>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</si>
  <si>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</si>
  <si>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</si>
  <si>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</si>
  <si>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</si>
  <si>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</si>
  <si>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</si>
  <si>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</si>
  <si>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</si>
  <si>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</si>
  <si>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</si>
  <si>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</si>
  <si>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</si>
  <si>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</si>
  <si>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</si>
  <si>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</si>
  <si>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</si>
  <si>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</si>
  <si>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</si>
  <si>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</si>
  <si>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</si>
  <si>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</si>
  <si>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</si>
  <si>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</si>
  <si>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</si>
  <si>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</si>
  <si>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</si>
  <si>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</si>
  <si>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</si>
  <si>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</si>
  <si>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</si>
  <si>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</si>
  <si>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</si>
  <si>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</si>
  <si>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</si>
  <si>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</si>
  <si>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</si>
  <si>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</si>
  <si>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</si>
  <si>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</si>
  <si>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</si>
  <si>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</si>
  <si>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</si>
  <si>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</si>
  <si>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</si>
  <si>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</si>
  <si>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</si>
  <si>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</si>
  <si>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</si>
  <si>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</si>
  <si>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</si>
  <si>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</si>
  <si>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</si>
  <si>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</si>
  <si>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</si>
  <si>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</si>
  <si>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</si>
  <si>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</si>
  <si>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</si>
  <si>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</si>
  <si>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</si>
  <si>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</si>
  <si>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</si>
  <si>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</si>
  <si>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</si>
  <si>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</si>
  <si>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</si>
  <si>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</si>
  <si>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</si>
  <si>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</si>
  <si>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</si>
  <si>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</si>
  <si>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</si>
  <si>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</si>
  <si>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</si>
  <si>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</si>
  <si>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</si>
  <si>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</si>
  <si>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</si>
  <si>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</si>
  <si>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</si>
  <si>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</si>
  <si>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</si>
  <si>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</si>
  <si>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</si>
  <si>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</si>
  <si>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</si>
  <si>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</si>
  <si>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</si>
  <si>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</si>
  <si>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</si>
  <si>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</si>
  <si>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</si>
  <si>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</si>
  <si>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</si>
  <si>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</si>
  <si>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</si>
  <si>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</si>
  <si>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</si>
  <si>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</si>
  <si>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</si>
  <si>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</si>
  <si>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</si>
  <si>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</si>
  <si>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</si>
  <si>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</si>
  <si>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</si>
  <si>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</si>
  <si>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</si>
  <si>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</si>
  <si>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</si>
  <si>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</si>
  <si>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</si>
  <si>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</si>
  <si>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</si>
  <si>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</si>
  <si>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</si>
  <si>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</si>
  <si>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</si>
  <si>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</si>
  <si>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</si>
  <si>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</si>
  <si>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</si>
  <si>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</si>
  <si>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</si>
  <si>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</si>
  <si>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</si>
  <si>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</si>
  <si>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</si>
  <si>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</si>
  <si>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</si>
  <si>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</si>
  <si>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</si>
  <si>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</si>
  <si>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</si>
  <si>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</si>
  <si>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</si>
  <si>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</si>
  <si>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</si>
  <si>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</si>
  <si>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</si>
  <si>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</si>
  <si>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</si>
  <si>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</si>
  <si>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</si>
  <si>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</si>
  <si>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</si>
  <si>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</si>
  <si>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</si>
  <si>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</si>
  <si>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</si>
  <si>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</si>
  <si>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</si>
  <si>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</si>
  <si>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</si>
  <si>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</si>
  <si>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</si>
  <si>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</si>
  <si>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</si>
  <si>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</si>
  <si>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</si>
  <si>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</si>
  <si>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</si>
  <si>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</si>
  <si>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</si>
  <si>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</si>
  <si>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</si>
  <si>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</si>
  <si>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</si>
  <si>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</si>
  <si>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</si>
  <si>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</si>
  <si>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</si>
  <si>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</si>
  <si>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</si>
  <si>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</si>
  <si>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</si>
  <si>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</si>
  <si>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</si>
  <si>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</si>
  <si>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</si>
  <si>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</si>
  <si>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</si>
  <si>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</si>
  <si>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</si>
  <si>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</si>
  <si>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</si>
  <si>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</si>
  <si>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</si>
  <si>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</si>
  <si>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</si>
  <si>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</si>
  <si>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</si>
  <si>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</si>
  <si>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</si>
  <si>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</si>
  <si>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</si>
  <si>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</si>
  <si>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</si>
  <si>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</si>
  <si>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</si>
  <si>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</si>
  <si>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</si>
  <si>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</si>
  <si>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</si>
  <si>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</si>
  <si>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</si>
  <si>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</si>
  <si>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</si>
  <si>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</si>
  <si>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</si>
  <si>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</si>
  <si>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</si>
  <si>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</si>
  <si>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</si>
  <si>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</si>
  <si>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</si>
  <si>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</si>
  <si>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</si>
  <si>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</si>
  <si>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</si>
  <si>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</si>
  <si>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</si>
  <si>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</si>
  <si>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</si>
  <si>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</si>
  <si>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</si>
  <si>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</si>
  <si>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</si>
  <si>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</si>
  <si>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</si>
  <si>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</si>
  <si>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</si>
  <si>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</si>
  <si>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</si>
  <si>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</si>
  <si>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</si>
  <si>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</si>
  <si>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</si>
  <si>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</si>
  <si>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</si>
  <si>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</si>
  <si>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</si>
  <si>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</si>
  <si>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</si>
  <si>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</si>
  <si>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</si>
  <si>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</si>
  <si>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</si>
  <si>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</si>
  <si>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</si>
  <si>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</si>
  <si>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</si>
  <si>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</si>
  <si>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</si>
  <si>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</si>
  <si>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</si>
  <si>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</si>
  <si>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</si>
  <si>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</si>
  <si>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</si>
  <si>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</si>
  <si>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</si>
  <si>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</si>
  <si>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</si>
  <si>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</si>
  <si>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</si>
  <si>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</si>
  <si>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</si>
  <si>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</si>
  <si>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</si>
  <si>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</si>
  <si>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</si>
  <si>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</si>
  <si>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</si>
  <si>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</si>
  <si>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</si>
  <si>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</si>
  <si>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</si>
  <si>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</si>
  <si>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</si>
  <si>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</si>
  <si>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</si>
  <si>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</si>
  <si>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</si>
  <si>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</si>
  <si>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</si>
  <si>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</si>
  <si>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</si>
  <si>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</si>
  <si>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</si>
  <si>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</si>
  <si>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</si>
  <si>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</si>
  <si>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</si>
  <si>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</si>
  <si>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</si>
  <si>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</si>
  <si>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</si>
  <si>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</si>
  <si>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</si>
  <si>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</si>
  <si>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</si>
  <si>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</si>
  <si>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</si>
  <si>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</si>
  <si>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</si>
  <si>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</si>
  <si>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</si>
  <si>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</si>
  <si>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</si>
  <si>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</si>
  <si>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</si>
  <si>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</si>
  <si>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</si>
  <si>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</si>
  <si>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</si>
  <si>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</si>
  <si>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</si>
  <si>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</si>
  <si>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</si>
  <si>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</si>
  <si>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</si>
  <si>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</si>
  <si>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</si>
  <si>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</si>
  <si>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</si>
  <si>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</si>
  <si>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</si>
  <si>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</si>
  <si>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</si>
  <si>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</si>
  <si>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</si>
  <si>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</si>
  <si>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</si>
  <si>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</si>
  <si>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</si>
  <si>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</si>
  <si>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</si>
  <si>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</si>
  <si>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</si>
  <si>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</si>
  <si>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</si>
  <si>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</si>
  <si>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</si>
  <si>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</si>
  <si>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</si>
  <si>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</si>
  <si>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</si>
  <si>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</si>
  <si>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</si>
  <si>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</si>
  <si>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</si>
  <si>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</si>
  <si>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</si>
  <si>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</si>
  <si>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</si>
  <si>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</si>
  <si>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</si>
  <si>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</si>
  <si>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</si>
  <si>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</si>
  <si>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</si>
  <si>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</si>
  <si>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</si>
  <si>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</si>
  <si>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</si>
  <si>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</si>
  <si>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</si>
  <si>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</si>
  <si>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</si>
  <si>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</si>
  <si>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</si>
  <si>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</si>
  <si>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</si>
  <si>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</si>
  <si>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</si>
  <si>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</si>
  <si>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</si>
  <si>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</si>
  <si>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</si>
  <si>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</si>
  <si>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</si>
  <si>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</si>
  <si>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</si>
  <si>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</si>
  <si>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</si>
  <si>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</si>
  <si>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</si>
  <si>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</si>
  <si>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</si>
  <si>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</si>
  <si>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</si>
  <si>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</si>
  <si>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</si>
  <si>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</si>
  <si>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</si>
  <si>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</si>
  <si>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</si>
  <si>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</si>
  <si>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</si>
  <si>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</si>
  <si>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</si>
  <si>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</si>
  <si>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</si>
  <si>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</si>
  <si>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</si>
  <si>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</si>
  <si>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</si>
  <si>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</si>
  <si>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</si>
  <si>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</si>
  <si>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</si>
  <si>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</si>
  <si>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</si>
  <si>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</si>
  <si>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</si>
  <si>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</si>
  <si>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</si>
  <si>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</si>
  <si>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</si>
  <si>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</si>
  <si>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</si>
  <si>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</si>
  <si>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</si>
  <si>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</si>
  <si>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</si>
  <si>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</si>
  <si>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</si>
  <si>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</si>
  <si>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</si>
  <si>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</si>
  <si>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</si>
  <si>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</si>
  <si>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</si>
  <si>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</si>
  <si>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</si>
  <si>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</si>
  <si>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</si>
  <si>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</si>
  <si>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</si>
  <si>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</si>
  <si>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</si>
  <si>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</si>
  <si>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</si>
  <si>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</si>
  <si>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</si>
  <si>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</si>
  <si>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</si>
  <si>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</si>
  <si>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</si>
  <si>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</si>
  <si>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</si>
  <si>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</si>
  <si>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</si>
  <si>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</si>
  <si>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</si>
  <si>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</si>
  <si>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</si>
  <si>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</si>
  <si>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</si>
  <si>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</si>
  <si>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</si>
  <si>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</si>
  <si>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</si>
  <si>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</si>
  <si>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</si>
  <si>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</si>
  <si>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</si>
  <si>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</si>
  <si>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</si>
  <si>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</si>
  <si>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</si>
  <si>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</si>
  <si>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</si>
  <si>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</si>
  <si>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</si>
  <si>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</si>
  <si>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</si>
  <si>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</si>
  <si>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</si>
  <si>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</si>
  <si>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</si>
  <si>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</si>
  <si>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</si>
  <si>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</si>
  <si>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</si>
  <si>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</si>
  <si>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</si>
  <si>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</si>
  <si>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</si>
  <si>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</si>
  <si>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</si>
  <si>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</si>
  <si>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</si>
  <si>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</si>
  <si>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</si>
  <si>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</si>
  <si>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</si>
  <si>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</si>
  <si>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</si>
  <si>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</si>
  <si>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</si>
  <si>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</si>
  <si>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</si>
  <si>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</si>
  <si>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</si>
  <si>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</si>
  <si>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</si>
  <si>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</si>
  <si>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</si>
  <si>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</si>
  <si>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</si>
  <si>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</si>
  <si>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</si>
  <si>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</si>
  <si>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</si>
  <si>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</si>
  <si>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</si>
  <si>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</si>
  <si>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</si>
  <si>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</si>
  <si>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</si>
  <si>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</si>
  <si>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</si>
  <si>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</si>
  <si>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</si>
  <si>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</si>
  <si>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</si>
  <si>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</si>
  <si>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</si>
  <si>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</si>
  <si>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</si>
  <si>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</si>
  <si>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</si>
  <si>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</si>
  <si>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</si>
  <si>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</si>
  <si>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</si>
  <si>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</si>
  <si>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</si>
  <si>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</si>
  <si>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</si>
  <si>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</si>
  <si>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</si>
  <si>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</si>
  <si>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</si>
  <si>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</si>
  <si>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</si>
  <si>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</si>
  <si>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</si>
  <si>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</si>
  <si>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</si>
  <si>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</si>
  <si>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</si>
  <si>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</si>
  <si>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</si>
  <si>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</si>
  <si>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</si>
  <si>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</si>
  <si>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</si>
  <si>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</si>
  <si>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</si>
  <si>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</si>
  <si>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</si>
  <si>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</si>
  <si>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</si>
  <si>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</si>
  <si>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</si>
  <si>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</si>
  <si>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</si>
  <si>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</si>
  <si>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</si>
  <si>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</si>
  <si>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</si>
  <si>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</si>
  <si>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</si>
  <si>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</si>
  <si>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</si>
  <si>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</si>
  <si>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</si>
  <si>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</si>
  <si>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</si>
  <si>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</si>
  <si>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</si>
  <si>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</si>
  <si>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</si>
  <si>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</si>
  <si>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</si>
  <si>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</si>
  <si>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</si>
  <si>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</si>
  <si>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</si>
  <si>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</si>
  <si>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</si>
  <si>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</si>
  <si>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</si>
  <si>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</si>
  <si>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</si>
  <si>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</si>
  <si>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</si>
  <si>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</si>
  <si>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</si>
  <si>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</si>
  <si>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</si>
  <si>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</si>
  <si>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</si>
  <si>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</si>
  <si>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</si>
  <si>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</si>
  <si>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</si>
  <si>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</si>
  <si>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</si>
  <si>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</si>
  <si>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</si>
  <si>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</si>
  <si>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</si>
  <si>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</si>
  <si>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</si>
  <si>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</si>
  <si>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</si>
  <si>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</si>
  <si>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</si>
  <si>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</si>
  <si>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</si>
  <si>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</si>
  <si>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</si>
  <si>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</si>
  <si>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</si>
  <si>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</si>
  <si>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</si>
  <si>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</si>
  <si>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</si>
  <si>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</si>
  <si>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</si>
  <si>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</si>
  <si>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</si>
  <si>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</si>
  <si>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</si>
  <si>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</si>
  <si>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</si>
  <si>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</si>
  <si>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</si>
  <si>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</si>
  <si>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</si>
  <si>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</si>
  <si>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</si>
  <si>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</si>
  <si>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</si>
  <si>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</si>
  <si>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</si>
  <si>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</si>
  <si>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</si>
  <si>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</si>
  <si>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</si>
  <si>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</si>
  <si>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</si>
  <si>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</si>
  <si>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</si>
  <si>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</si>
  <si>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</si>
  <si>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</si>
  <si>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</si>
  <si>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</si>
  <si>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</si>
  <si>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</si>
  <si>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</si>
  <si>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</si>
  <si>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</si>
  <si>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</si>
  <si>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</si>
  <si>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</si>
  <si>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</si>
  <si>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</si>
  <si>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</si>
  <si>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</si>
  <si>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</si>
  <si>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</si>
  <si>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</si>
  <si>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</si>
  <si>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</si>
  <si>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</si>
  <si>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</si>
  <si>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</si>
  <si>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</si>
  <si>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</si>
  <si>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</si>
  <si>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</si>
  <si>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</si>
  <si>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</si>
  <si>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</si>
  <si>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</si>
  <si>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</si>
  <si>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</si>
  <si>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</si>
  <si>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</si>
  <si>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</si>
  <si>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</si>
  <si>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</si>
  <si>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</si>
  <si>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</si>
  <si>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</si>
  <si>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</si>
  <si>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</si>
  <si>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</si>
  <si>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</si>
  <si>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</si>
  <si>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</si>
  <si>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</si>
  <si>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</si>
  <si>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</si>
  <si>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</si>
  <si>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</si>
  <si>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</si>
  <si>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</si>
  <si>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</si>
  <si>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</si>
  <si>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</si>
  <si>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</si>
  <si>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</si>
  <si>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</si>
  <si>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</si>
  <si>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</si>
  <si>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</si>
  <si>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</si>
  <si>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</si>
  <si>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</si>
  <si>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</si>
  <si>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</si>
  <si>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</si>
  <si>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</si>
  <si>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</si>
  <si>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</si>
  <si>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</si>
  <si>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</si>
  <si>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</si>
  <si>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</si>
  <si>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</si>
  <si>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</si>
  <si>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</si>
  <si>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</si>
  <si>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</si>
  <si>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</si>
  <si>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</si>
  <si>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</si>
  <si>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</si>
  <si>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</si>
  <si>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</si>
  <si>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</si>
  <si>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</si>
  <si>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</si>
  <si>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</si>
  <si>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</si>
  <si>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</si>
  <si>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</si>
  <si>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</si>
  <si>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</si>
  <si>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</si>
  <si>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</si>
  <si>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</si>
  <si>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</si>
  <si>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</si>
  <si>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</si>
  <si>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</si>
  <si>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</si>
  <si>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</si>
  <si>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</si>
  <si>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</si>
  <si>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</si>
  <si>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</si>
  <si>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</si>
  <si>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</si>
  <si>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</si>
  <si>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</si>
  <si>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</si>
  <si>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</si>
  <si>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</si>
  <si>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</si>
  <si>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</si>
  <si>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</si>
  <si>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</si>
  <si>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</si>
  <si>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</si>
  <si>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</si>
  <si>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</si>
  <si>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</si>
  <si>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</si>
  <si>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</si>
  <si>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</si>
  <si>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</si>
  <si>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</si>
  <si>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</si>
  <si>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</si>
  <si>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</si>
  <si>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</si>
  <si>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</si>
  <si>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</si>
  <si>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</si>
  <si>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</si>
  <si>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</si>
  <si>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</si>
  <si>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</si>
  <si>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</si>
  <si>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</si>
  <si>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</si>
  <si>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</si>
  <si>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</si>
  <si>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</si>
  <si>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</si>
  <si>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</si>
  <si>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</si>
  <si>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</si>
  <si>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</si>
  <si>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</si>
  <si>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</si>
  <si>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</si>
  <si>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</si>
  <si>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</si>
  <si>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</si>
  <si>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</si>
  <si>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</si>
  <si>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</si>
  <si>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</si>
  <si>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</si>
  <si>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</si>
  <si>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</si>
  <si>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</si>
  <si>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</si>
  <si>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</si>
  <si>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</si>
  <si>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</si>
  <si>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</si>
  <si>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</si>
  <si>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</si>
  <si>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</si>
  <si>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</si>
  <si>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</si>
  <si>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</si>
  <si>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</si>
  <si>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</si>
  <si>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</si>
  <si>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</si>
  <si>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</si>
  <si>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</si>
  <si>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</si>
  <si>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</si>
  <si>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</si>
  <si>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</si>
  <si>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</si>
  <si>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</si>
  <si>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</si>
  <si>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</si>
  <si>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</si>
  <si>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</si>
  <si>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</si>
  <si>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</si>
  <si>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</si>
  <si>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</si>
  <si>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</si>
  <si>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</si>
  <si>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</si>
  <si>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</si>
  <si>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</si>
  <si>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</si>
  <si>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</si>
  <si>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</si>
  <si>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</si>
  <si>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</si>
  <si>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</si>
  <si>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</si>
  <si>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</si>
  <si>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</si>
  <si>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</si>
  <si>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</si>
  <si>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</si>
  <si>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</si>
  <si>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</si>
  <si>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</si>
  <si>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</si>
  <si>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</si>
  <si>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</si>
  <si>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</si>
  <si>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</si>
  <si>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</si>
  <si>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</si>
  <si>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</si>
  <si>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</si>
  <si>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</si>
  <si>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</si>
  <si>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</si>
  <si>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</si>
  <si>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</si>
  <si>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</si>
  <si>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</si>
  <si>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</si>
  <si>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</si>
  <si>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</si>
  <si>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</si>
  <si>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</si>
  <si>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</si>
  <si>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</si>
  <si>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</si>
  <si>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</si>
  <si>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</si>
  <si>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</si>
  <si>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</si>
  <si>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</si>
  <si>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</si>
  <si>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</si>
  <si>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</si>
  <si>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</si>
  <si>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</si>
  <si>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</si>
  <si>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</si>
  <si>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</si>
  <si>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</si>
  <si>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</si>
  <si>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</si>
  <si>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</si>
  <si>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</si>
  <si>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</si>
  <si>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</si>
  <si>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</si>
  <si>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</si>
  <si>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</si>
  <si>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</si>
  <si>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</si>
  <si>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</si>
  <si>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</si>
  <si>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</si>
  <si>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</si>
  <si>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</si>
  <si>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</si>
  <si>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</si>
  <si>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</si>
  <si>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</si>
  <si>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</si>
  <si>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</si>
  <si>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</si>
  <si>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</si>
  <si>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</si>
  <si>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</si>
  <si>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</si>
  <si>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</si>
  <si>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</si>
  <si>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</si>
  <si>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</si>
  <si>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</si>
  <si>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</si>
  <si>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</si>
  <si>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</si>
  <si>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</si>
  <si>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</si>
  <si>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</si>
  <si>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</si>
  <si>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</si>
  <si>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</si>
  <si>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</si>
  <si>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</si>
  <si>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</si>
  <si>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</si>
  <si>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</si>
  <si>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</si>
  <si>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</si>
  <si>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</si>
  <si>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</si>
  <si>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</si>
  <si>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</si>
  <si>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</si>
  <si>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</si>
  <si>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</si>
  <si>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</si>
  <si>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</si>
  <si>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</si>
  <si>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</si>
  <si>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</si>
  <si>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</si>
  <si>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</si>
  <si>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</si>
  <si>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</si>
  <si>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</si>
  <si>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</si>
  <si>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</si>
  <si>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</si>
  <si>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</si>
  <si>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</si>
  <si>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</si>
  <si>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</si>
  <si>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</si>
  <si>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</si>
  <si>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</si>
  <si>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</si>
  <si>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</si>
  <si>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</si>
  <si>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</si>
  <si>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</si>
  <si>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</si>
  <si>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</si>
  <si>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</si>
  <si>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</si>
  <si>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</si>
  <si>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</si>
  <si>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</si>
  <si>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</si>
  <si>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</si>
  <si>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</si>
  <si>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</si>
  <si>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</si>
  <si>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</si>
  <si>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</si>
  <si>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</si>
  <si>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</si>
  <si>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</si>
  <si>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</si>
  <si>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</si>
  <si>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</si>
  <si>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</si>
  <si>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</si>
  <si>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</si>
  <si>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</si>
  <si>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</si>
  <si>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</si>
  <si>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</si>
  <si>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</si>
  <si>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</si>
  <si>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</si>
  <si>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</si>
  <si>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</si>
  <si>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</si>
  <si>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</si>
  <si>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</si>
  <si>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</si>
  <si>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</si>
  <si>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</si>
  <si>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</si>
  <si>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</si>
  <si>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</si>
  <si>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</si>
  <si>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</si>
  <si>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</si>
  <si>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</si>
  <si>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</si>
  <si>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</si>
  <si>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</si>
  <si>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</si>
  <si>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</si>
  <si>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</si>
  <si>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</si>
  <si>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</si>
  <si>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</si>
  <si>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</si>
  <si>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</si>
  <si>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</si>
  <si>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</si>
  <si>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</si>
  <si>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</si>
  <si>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</si>
  <si>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</si>
  <si>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</si>
  <si>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</si>
  <si>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</si>
  <si>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</si>
  <si>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</si>
  <si>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</si>
  <si>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</si>
  <si>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</si>
  <si>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</si>
  <si>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</si>
  <si>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</si>
  <si>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</si>
  <si>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</si>
  <si>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</si>
  <si>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</si>
  <si>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</si>
  <si>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</si>
  <si>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</si>
  <si>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</si>
  <si>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</si>
  <si>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</si>
  <si>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</si>
  <si>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</si>
  <si>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</si>
  <si>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</si>
  <si>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</si>
  <si>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</si>
  <si>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</si>
  <si>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</si>
  <si>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</si>
  <si>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</si>
  <si>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</si>
  <si>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</si>
  <si>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</si>
  <si>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</si>
  <si>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</si>
  <si>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</si>
  <si>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</si>
  <si>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</si>
  <si>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</si>
  <si>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</si>
  <si>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</si>
  <si>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</si>
  <si>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</si>
  <si>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</si>
  <si>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</si>
  <si>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</si>
  <si>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</si>
  <si>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</si>
  <si>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</si>
  <si>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</si>
  <si>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</si>
  <si>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</si>
  <si>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</si>
  <si>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</si>
  <si>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</si>
  <si>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</si>
  <si>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</si>
  <si>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</si>
  <si>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</si>
  <si>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</si>
  <si>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</si>
  <si>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</si>
  <si>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</si>
  <si>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</si>
  <si>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</si>
  <si>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</si>
  <si>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</si>
  <si>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</si>
  <si>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</si>
  <si>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</si>
  <si>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</si>
  <si>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</si>
  <si>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</si>
  <si>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</si>
  <si>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</si>
  <si>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</si>
  <si>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</si>
  <si>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</si>
  <si>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</si>
  <si>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</si>
  <si>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</si>
  <si>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</si>
  <si>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</si>
  <si>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</si>
  <si>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</si>
  <si>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</si>
  <si>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</si>
  <si>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</si>
  <si>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</si>
  <si>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</si>
  <si>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</si>
  <si>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</si>
  <si>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</si>
  <si>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</si>
  <si>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</si>
  <si>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</si>
  <si>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</si>
  <si>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</si>
  <si>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</si>
  <si>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</si>
  <si>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</si>
  <si>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</si>
  <si>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</si>
  <si>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</si>
  <si>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</si>
  <si>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</si>
  <si>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</si>
  <si>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</si>
  <si>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</si>
  <si>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</si>
  <si>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</si>
  <si>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</si>
  <si>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</si>
  <si>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</si>
  <si>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</si>
  <si>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</si>
  <si>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</si>
  <si>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</si>
  <si>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</si>
  <si>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</si>
  <si>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</si>
  <si>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</si>
  <si>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</si>
  <si>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</si>
  <si>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</si>
  <si>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</si>
  <si>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</si>
  <si>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</si>
  <si>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</si>
  <si>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</si>
  <si>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</si>
  <si>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</si>
  <si>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</si>
  <si>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</si>
  <si>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</si>
  <si>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</si>
  <si>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</si>
  <si>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</si>
  <si>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</si>
  <si>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</si>
  <si>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</si>
  <si>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</si>
  <si>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</si>
  <si>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</si>
  <si>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</si>
  <si>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</si>
  <si>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</si>
  <si>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</si>
  <si>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</si>
  <si>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</si>
  <si>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</si>
  <si>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</si>
  <si>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</si>
  <si>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</si>
  <si>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</si>
  <si>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</si>
  <si>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</si>
  <si>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</si>
  <si>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</si>
  <si>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</si>
  <si>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</si>
  <si>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</si>
  <si>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</si>
  <si>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</si>
  <si>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</si>
  <si>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</si>
  <si>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</si>
  <si>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</si>
  <si>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</si>
  <si>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</si>
  <si>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</si>
  <si>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</si>
  <si>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</si>
  <si>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</si>
  <si>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</si>
  <si>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</si>
  <si>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</si>
  <si>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</si>
  <si>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</si>
  <si>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</si>
  <si>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</si>
  <si>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</si>
  <si>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</si>
  <si>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</si>
  <si>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</si>
  <si>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</si>
  <si>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</si>
  <si>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</si>
  <si>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</si>
  <si>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</si>
  <si>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</si>
  <si>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</si>
  <si>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</si>
  <si>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</si>
  <si>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</si>
  <si>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</si>
  <si>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</si>
  <si>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</si>
  <si>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</si>
  <si>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</si>
  <si>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</si>
  <si>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</si>
  <si>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</si>
  <si>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</si>
  <si>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</si>
  <si>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</si>
  <si>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</si>
  <si>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</si>
  <si>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</si>
  <si>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</si>
  <si>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</si>
  <si>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</si>
  <si>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</si>
  <si>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</si>
  <si>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</si>
  <si>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</si>
  <si>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</si>
  <si>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</si>
  <si>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</si>
  <si>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</si>
  <si>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</si>
  <si>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</si>
  <si>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</si>
  <si>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</si>
  <si>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</si>
  <si>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</si>
  <si>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</si>
  <si>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</si>
  <si>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</si>
  <si>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</si>
  <si>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</si>
  <si>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</si>
  <si>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</si>
  <si>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</si>
  <si>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</si>
  <si>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</si>
  <si>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</si>
  <si>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</si>
  <si>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</si>
  <si>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</si>
  <si>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</si>
  <si>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</si>
  <si>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</si>
  <si>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</si>
  <si>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</si>
  <si>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</si>
  <si>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</si>
  <si>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</si>
  <si>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</si>
  <si>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</si>
  <si>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</si>
  <si>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</si>
  <si>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</si>
  <si>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</si>
  <si>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</si>
  <si>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</si>
  <si>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</si>
  <si>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</si>
  <si>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</si>
  <si>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</si>
  <si>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</si>
  <si>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</si>
  <si>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</si>
  <si>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</si>
  <si>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</si>
  <si>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</si>
  <si>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</si>
  <si>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</si>
  <si>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</si>
  <si>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</si>
  <si>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</si>
  <si>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</si>
  <si>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</si>
  <si>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</si>
  <si>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</si>
  <si>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</si>
  <si>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</si>
  <si>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</si>
  <si>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</si>
  <si>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</si>
  <si>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</si>
  <si>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</si>
  <si>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</si>
  <si>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</si>
  <si>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</si>
  <si>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</si>
  <si>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</si>
  <si>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</si>
  <si>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</si>
  <si>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</si>
  <si>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</si>
  <si>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</si>
  <si>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</si>
  <si>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</si>
  <si>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</si>
  <si>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</si>
  <si>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</si>
  <si>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</si>
  <si>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</si>
  <si>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</si>
  <si>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</si>
  <si>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</si>
  <si>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</si>
  <si>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</si>
  <si>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</si>
  <si>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</si>
  <si>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</si>
  <si>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</si>
  <si>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</si>
  <si>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</si>
  <si>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</si>
  <si>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</si>
  <si>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</si>
  <si>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</si>
  <si>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</si>
  <si>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</si>
  <si>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</si>
  <si>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</si>
  <si>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</si>
  <si>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</si>
  <si>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</si>
  <si>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</si>
  <si>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</si>
  <si>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</si>
  <si>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</si>
  <si>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</si>
  <si>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</si>
  <si>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</si>
  <si>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</si>
  <si>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</si>
  <si>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</si>
  <si>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</si>
  <si>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</si>
  <si>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</si>
  <si>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</si>
  <si>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</si>
  <si>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</si>
  <si>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</si>
  <si>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</si>
  <si>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</si>
  <si>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</si>
  <si>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</si>
  <si>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</si>
  <si>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</si>
  <si>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</si>
  <si>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</si>
  <si>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</si>
  <si>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</si>
  <si>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</si>
  <si>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</si>
  <si>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</si>
  <si>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</si>
  <si>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</si>
  <si>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</si>
  <si>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</si>
  <si>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</si>
  <si>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</si>
  <si>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</si>
  <si>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</si>
  <si>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</si>
  <si>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</si>
  <si>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</si>
  <si>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</si>
  <si>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</si>
  <si>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</si>
  <si>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</si>
  <si>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</si>
  <si>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</si>
  <si>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</si>
  <si>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</si>
  <si>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</si>
  <si>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</si>
  <si>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</si>
  <si>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</si>
  <si>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</si>
  <si>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</si>
  <si>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</si>
  <si>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</si>
  <si>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</si>
  <si>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</si>
  <si>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</si>
  <si>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</si>
  <si>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</si>
  <si>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</si>
  <si>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</si>
  <si>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</si>
  <si>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</si>
  <si>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</si>
  <si>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</si>
  <si>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</si>
  <si>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</si>
  <si>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</si>
  <si>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</si>
  <si>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</si>
  <si>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</si>
  <si>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</si>
  <si>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</si>
  <si>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</si>
  <si>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</si>
  <si>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</si>
  <si>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</si>
  <si>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</si>
  <si>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</si>
  <si>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</si>
  <si>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</si>
  <si>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</si>
  <si>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</si>
  <si>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</si>
  <si>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</si>
  <si>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</si>
  <si>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</si>
  <si>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</si>
  <si>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</si>
  <si>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</si>
  <si>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</si>
  <si>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</si>
  <si>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</si>
  <si>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</si>
  <si>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</si>
  <si>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</si>
  <si>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</si>
  <si>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</si>
  <si>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</si>
  <si>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</si>
  <si>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</si>
  <si>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</si>
  <si>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</si>
  <si>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</si>
  <si>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</si>
  <si>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</si>
  <si>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</si>
  <si>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</si>
  <si>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</si>
  <si>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</si>
  <si>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</si>
  <si>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</si>
  <si>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</si>
  <si>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</si>
  <si>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</si>
  <si>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</si>
  <si>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</si>
  <si>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</si>
  <si>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</si>
  <si>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</si>
  <si>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</si>
  <si>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</si>
  <si>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</si>
  <si>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</si>
  <si>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</si>
  <si>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</si>
  <si>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</si>
  <si>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</si>
  <si>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</si>
  <si>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</si>
  <si>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</si>
  <si>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</si>
  <si>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</si>
  <si>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</si>
  <si>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</si>
  <si>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</si>
  <si>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</si>
  <si>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</si>
  <si>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</si>
  <si>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</si>
  <si>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</si>
  <si>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</si>
  <si>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</si>
  <si>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</si>
  <si>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</si>
  <si>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</si>
  <si>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</si>
  <si>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</si>
  <si>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</si>
  <si>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</si>
  <si>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</si>
  <si>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</si>
  <si>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</si>
  <si>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</si>
  <si>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</si>
  <si>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</si>
  <si>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</si>
  <si>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</si>
  <si>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</si>
  <si>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</si>
  <si>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</si>
  <si>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</si>
  <si>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</si>
  <si>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</si>
  <si>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</si>
  <si>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</si>
  <si>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</si>
  <si>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</si>
  <si>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</si>
  <si>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</si>
  <si>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</si>
  <si>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</si>
  <si>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</si>
  <si>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</si>
  <si>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</si>
  <si>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</si>
  <si>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</si>
  <si>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</si>
  <si>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</si>
  <si>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</si>
  <si>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</si>
  <si>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</si>
  <si>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</si>
  <si>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</si>
  <si>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</si>
  <si>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</si>
  <si>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</si>
  <si>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</si>
  <si>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</si>
  <si>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</si>
  <si>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</si>
  <si>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</si>
  <si>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</si>
  <si>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</si>
  <si>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</si>
  <si>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</si>
  <si>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</si>
  <si>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</si>
  <si>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</si>
  <si>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</si>
  <si>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</si>
  <si>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</si>
  <si>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</si>
  <si>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</si>
  <si>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</si>
  <si>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</si>
  <si>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</si>
  <si>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</si>
  <si>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</si>
  <si>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</si>
  <si>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</si>
  <si>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</si>
  <si>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</si>
  <si>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</si>
  <si>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</si>
  <si>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</si>
  <si>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</si>
  <si>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</si>
  <si>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</si>
  <si>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</si>
  <si>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</si>
  <si>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</si>
  <si>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</si>
  <si>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</si>
  <si>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</si>
  <si>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</si>
  <si>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</si>
  <si>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</si>
  <si>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</si>
  <si>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</si>
  <si>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</si>
  <si>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</si>
  <si>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</si>
  <si>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</si>
  <si>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</si>
  <si>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</si>
  <si>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</si>
  <si>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</si>
  <si>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</si>
  <si>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</si>
  <si>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</si>
  <si>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</si>
  <si>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</si>
  <si>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</si>
  <si>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</si>
  <si>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</si>
  <si>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</si>
  <si>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</si>
  <si>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</si>
  <si>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</si>
  <si>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</si>
  <si>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</si>
  <si>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</si>
  <si>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</si>
  <si>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</si>
  <si>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</si>
  <si>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</si>
  <si>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</si>
  <si>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</si>
  <si>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</si>
  <si>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</si>
  <si>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</si>
  <si>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</si>
  <si>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</si>
  <si>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</si>
  <si>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</si>
  <si>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</si>
  <si>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</si>
  <si>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</si>
  <si>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</si>
  <si>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</si>
  <si>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</si>
  <si>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</si>
  <si>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</si>
  <si>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</si>
  <si>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</si>
  <si>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</si>
  <si>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</si>
  <si>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</si>
  <si>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</si>
  <si>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</si>
  <si>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</si>
  <si>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</si>
  <si>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</si>
  <si>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</si>
  <si>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</si>
  <si>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</si>
  <si>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</si>
  <si>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</si>
  <si>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</si>
  <si>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</si>
  <si>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</si>
  <si>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</si>
  <si>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</si>
  <si>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</si>
  <si>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</si>
  <si>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</si>
  <si>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</si>
  <si>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</si>
  <si>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</si>
  <si>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</si>
  <si>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</si>
  <si>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</si>
  <si>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</si>
  <si>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</si>
  <si>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</si>
  <si>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</si>
  <si>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</si>
  <si>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</si>
  <si>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</si>
  <si>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</si>
  <si>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</si>
  <si>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</si>
  <si>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</si>
  <si>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</si>
  <si>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</si>
  <si>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</si>
  <si>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</si>
  <si>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</si>
  <si>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</si>
  <si>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</si>
  <si>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</si>
  <si>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</si>
  <si>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</si>
  <si>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</si>
  <si>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</si>
  <si>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</si>
  <si>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</si>
  <si>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</si>
  <si>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</si>
  <si>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</si>
  <si>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</si>
  <si>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</si>
  <si>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</si>
  <si>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</si>
  <si>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</si>
  <si>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</si>
  <si>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</si>
  <si>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</si>
  <si>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</si>
  <si>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</si>
  <si>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</si>
  <si>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</si>
  <si>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</si>
  <si>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</si>
  <si>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</si>
  <si>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</si>
  <si>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</si>
  <si>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</si>
  <si>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</si>
  <si>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</si>
  <si>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</si>
  <si>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</si>
  <si>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</si>
  <si>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</si>
  <si>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</si>
  <si>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</si>
  <si>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</si>
  <si>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</si>
  <si>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</si>
  <si>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</si>
  <si>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</si>
  <si>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</si>
  <si>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</si>
  <si>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</si>
  <si>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</si>
  <si>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</si>
  <si>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</si>
  <si>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</si>
  <si>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</si>
  <si>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</si>
  <si>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</si>
  <si>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</si>
  <si>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</si>
  <si>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</si>
  <si>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</si>
  <si>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</si>
  <si>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</si>
  <si>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</si>
  <si>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</si>
  <si>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</si>
  <si>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</si>
  <si>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</si>
  <si>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</si>
  <si>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</si>
  <si>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</si>
  <si>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</si>
  <si>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</si>
  <si>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</si>
  <si>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</si>
  <si>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</si>
  <si>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</si>
  <si>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</si>
  <si>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</si>
  <si>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</si>
  <si>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</si>
  <si>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</si>
  <si>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</si>
  <si>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</si>
  <si>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</si>
  <si>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</si>
  <si>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</si>
  <si>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</si>
  <si>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</si>
  <si>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</si>
  <si>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</si>
  <si>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</si>
  <si>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</si>
  <si>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</si>
  <si>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</si>
  <si>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</si>
  <si>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</si>
  <si>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</si>
  <si>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</si>
  <si>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</si>
  <si>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</si>
  <si>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</si>
  <si>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</si>
  <si>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</si>
  <si>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</si>
  <si>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</si>
  <si>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</si>
  <si>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</si>
  <si>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</si>
  <si>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</si>
  <si>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</si>
  <si>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</si>
  <si>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</si>
  <si>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</si>
  <si>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</si>
  <si>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</si>
  <si>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</si>
  <si>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</si>
  <si>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</si>
  <si>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</si>
  <si>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</si>
  <si>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</si>
  <si>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</si>
  <si>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</si>
  <si>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</si>
  <si>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</si>
  <si>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</si>
  <si>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</si>
  <si>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</si>
  <si>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</si>
  <si>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</si>
  <si>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</si>
  <si>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</si>
  <si>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</si>
  <si>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</si>
  <si>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</si>
  <si>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</si>
  <si>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</si>
  <si>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</si>
  <si>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</si>
  <si>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</si>
  <si>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</si>
  <si>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</si>
  <si>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</si>
  <si>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</si>
  <si>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</si>
  <si>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</si>
  <si>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</si>
  <si>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</si>
  <si>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</si>
  <si>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</si>
  <si>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</si>
  <si>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</si>
  <si>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</si>
  <si>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</si>
  <si>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</si>
  <si>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</si>
  <si>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</si>
  <si>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</si>
  <si>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</si>
  <si>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</si>
  <si>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</si>
  <si>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</si>
  <si>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</si>
  <si>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</si>
  <si>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</si>
  <si>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</si>
  <si>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</si>
  <si>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</si>
  <si>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</si>
  <si>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</si>
  <si>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</si>
  <si>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</si>
  <si>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</si>
  <si>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</si>
  <si>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</si>
  <si>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</si>
  <si>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</si>
  <si>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</si>
  <si>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</si>
  <si>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</si>
  <si>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</si>
  <si>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</si>
  <si>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</si>
  <si>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</si>
  <si>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</si>
  <si>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</si>
  <si>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</si>
  <si>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</si>
  <si>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</si>
  <si>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</si>
  <si>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</si>
  <si>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</si>
  <si>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</si>
  <si>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</si>
  <si>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</si>
  <si>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</si>
  <si>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</si>
  <si>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</si>
  <si>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</si>
  <si>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</si>
  <si>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</si>
  <si>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</si>
  <si>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</si>
  <si>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</si>
  <si>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</si>
  <si>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</si>
  <si>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</si>
  <si>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</si>
  <si>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</si>
  <si>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</si>
  <si>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</si>
  <si>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</si>
  <si>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</si>
  <si>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</si>
  <si>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</si>
  <si>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</si>
  <si>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</si>
  <si>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</si>
  <si>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</si>
  <si>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</si>
  <si>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</si>
  <si>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</si>
  <si>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</si>
  <si>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</si>
  <si>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</si>
  <si>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</si>
  <si>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</si>
  <si>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</si>
  <si>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</si>
  <si>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</si>
  <si>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</si>
  <si>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</si>
  <si>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</si>
  <si>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</si>
  <si>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</si>
  <si>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</si>
  <si>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</si>
  <si>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</si>
  <si>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</si>
  <si>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</si>
  <si>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</si>
  <si>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</si>
  <si>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</si>
  <si>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</si>
  <si>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</si>
  <si>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</si>
  <si>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</si>
  <si>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</si>
  <si>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</si>
  <si>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</si>
  <si>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</si>
  <si>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</si>
  <si>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</si>
  <si>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</si>
  <si>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</si>
  <si>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</si>
  <si>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</si>
  <si>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</si>
  <si>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</si>
  <si>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</si>
  <si>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</si>
  <si>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</si>
  <si>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</si>
  <si>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</si>
  <si>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</si>
  <si>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</si>
  <si>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</si>
  <si>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</si>
  <si>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</si>
  <si>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</si>
  <si>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</si>
  <si>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</si>
  <si>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</si>
  <si>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</si>
  <si>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</si>
  <si>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</si>
  <si>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</si>
  <si>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</si>
  <si>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</si>
  <si>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</si>
  <si>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</si>
  <si>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</si>
  <si>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</si>
  <si>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</si>
  <si>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</si>
  <si>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</si>
  <si>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</si>
  <si>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</si>
  <si>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</si>
  <si>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</si>
  <si>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</si>
  <si>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</si>
  <si>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</si>
  <si>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</si>
  <si>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</si>
  <si>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</si>
  <si>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</si>
  <si>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</si>
  <si>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</si>
  <si>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</si>
  <si>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</si>
  <si>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</si>
  <si>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</si>
  <si>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</si>
  <si>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</si>
  <si>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</si>
  <si>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</si>
  <si>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</si>
  <si>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</si>
  <si>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</si>
  <si>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</si>
  <si>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</si>
  <si>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</si>
  <si>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</si>
  <si>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</si>
  <si>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</si>
  <si>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</si>
  <si>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</si>
  <si>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</si>
  <si>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</si>
  <si>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</si>
  <si>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</si>
  <si>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</si>
  <si>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</si>
  <si>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</si>
  <si>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</si>
  <si>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</si>
  <si>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</si>
  <si>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</si>
  <si>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</si>
  <si>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</si>
  <si>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</si>
  <si>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</si>
  <si>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</si>
  <si>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</si>
  <si>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</si>
  <si>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</si>
  <si>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</si>
  <si>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</si>
  <si>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</si>
  <si>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</si>
  <si>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</si>
  <si>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</si>
  <si>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</si>
  <si>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</si>
  <si>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</si>
  <si>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</si>
  <si>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</si>
  <si>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</si>
  <si>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</si>
  <si>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</si>
  <si>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</si>
  <si>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</si>
  <si>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</si>
  <si>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</si>
  <si>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</si>
  <si>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</si>
  <si>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</si>
  <si>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</si>
  <si>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</si>
  <si>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</si>
  <si>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</si>
  <si>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</si>
  <si>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</si>
  <si>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</si>
  <si>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</si>
  <si>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</si>
  <si>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</si>
  <si>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</si>
  <si>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</si>
  <si>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</si>
  <si>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</si>
  <si>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</si>
  <si>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</si>
  <si>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</si>
  <si>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</si>
  <si>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</si>
  <si>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</si>
  <si>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</si>
  <si>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</si>
  <si>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</si>
  <si>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</si>
  <si>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</si>
  <si>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</si>
  <si>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</si>
  <si>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</si>
  <si>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</si>
  <si>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</si>
  <si>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</si>
  <si>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</si>
  <si>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</si>
  <si>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</si>
  <si>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</si>
  <si>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</si>
  <si>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</si>
  <si>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</si>
  <si>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</si>
  <si>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</si>
  <si>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</si>
  <si>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</si>
  <si>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</si>
  <si>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</si>
  <si>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</si>
  <si>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</si>
  <si>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</si>
  <si>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</si>
  <si>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</si>
  <si>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</si>
  <si>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</si>
  <si>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</si>
  <si>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</si>
  <si>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</si>
  <si>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</si>
  <si>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</si>
  <si>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</si>
  <si>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</si>
  <si>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</si>
  <si>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</si>
  <si>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</si>
  <si>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</si>
  <si>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</si>
  <si>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</si>
  <si>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</si>
  <si>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</si>
  <si>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</si>
  <si>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</si>
  <si>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</si>
  <si>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</si>
  <si>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</si>
  <si>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</si>
  <si>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</si>
  <si>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</si>
  <si>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</si>
  <si>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</si>
  <si>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</si>
  <si>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</si>
  <si>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</si>
  <si>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</si>
  <si>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</si>
  <si>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</si>
  <si>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</si>
  <si>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</si>
  <si>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</si>
  <si>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</si>
  <si>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</si>
  <si>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</si>
  <si>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</si>
  <si>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</si>
  <si>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</si>
  <si>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</si>
  <si>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</si>
  <si>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</si>
  <si>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</si>
  <si>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</si>
  <si>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</si>
  <si>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</si>
  <si>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</si>
  <si>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</si>
  <si>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</si>
  <si>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</si>
  <si>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</si>
  <si>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</si>
  <si>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</si>
  <si>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</si>
  <si>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</si>
  <si>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</si>
  <si>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</si>
  <si>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</si>
  <si>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</si>
  <si>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</si>
  <si>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</si>
  <si>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</si>
  <si>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</si>
  <si>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</si>
  <si>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</si>
  <si>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</si>
  <si>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</si>
  <si>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</si>
  <si>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</si>
  <si>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</si>
  <si>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</si>
  <si>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</si>
  <si>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</si>
  <si>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</si>
  <si>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</si>
  <si>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</si>
  <si>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</si>
  <si>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</si>
  <si>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</si>
  <si>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</si>
  <si>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</si>
  <si>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</si>
  <si>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</si>
  <si>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</si>
  <si>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</si>
  <si>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</si>
  <si>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</si>
  <si>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</si>
  <si>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</si>
  <si>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</si>
  <si>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</si>
  <si>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</si>
  <si>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</si>
  <si>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</si>
  <si>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</si>
  <si>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</si>
  <si>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</si>
  <si>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</si>
  <si>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</si>
  <si>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</si>
  <si>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</si>
  <si>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</si>
  <si>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</si>
  <si>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</si>
  <si>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</si>
  <si>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</si>
  <si>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</si>
  <si>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</si>
  <si>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</si>
  <si>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</si>
  <si>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</si>
  <si>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</si>
  <si>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</si>
  <si>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</si>
  <si>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</si>
  <si>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</si>
  <si>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</si>
  <si>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</si>
  <si>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</si>
  <si>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</si>
  <si>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</si>
  <si>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</si>
  <si>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</si>
  <si>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</si>
  <si>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</si>
  <si>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</si>
  <si>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</si>
  <si>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</si>
  <si>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</si>
  <si>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</si>
  <si>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</si>
  <si>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</si>
  <si>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</si>
  <si>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</si>
  <si>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</si>
  <si>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</si>
  <si>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</si>
  <si>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</si>
  <si>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</si>
  <si>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</si>
  <si>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</si>
  <si>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</si>
  <si>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</si>
  <si>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</si>
  <si>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</si>
  <si>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</si>
  <si>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</si>
  <si>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</si>
  <si>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</si>
  <si>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</si>
  <si>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</si>
  <si>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</si>
  <si>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</si>
  <si>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</si>
  <si>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</si>
  <si>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</si>
  <si>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</si>
  <si>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</si>
  <si>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</si>
  <si>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</si>
  <si>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</si>
  <si>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</si>
  <si>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</si>
  <si>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</si>
  <si>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</si>
  <si>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</si>
  <si>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</si>
  <si>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</si>
  <si>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</si>
  <si>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</si>
  <si>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</si>
  <si>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</si>
  <si>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</si>
  <si>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</si>
  <si>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</si>
  <si>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</si>
  <si>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</si>
  <si>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</si>
  <si>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</si>
  <si>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</si>
  <si>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</si>
  <si>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</si>
  <si>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</si>
  <si>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</si>
  <si>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</si>
  <si>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</si>
  <si>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</si>
  <si>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</si>
  <si>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</si>
  <si>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</si>
  <si>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</si>
  <si>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</si>
  <si>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</si>
  <si>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</si>
  <si>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</si>
  <si>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</si>
  <si>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</si>
  <si>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</si>
  <si>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</si>
  <si>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</si>
  <si>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</si>
  <si>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</si>
  <si>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</si>
  <si>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</si>
  <si>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</si>
  <si>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</si>
  <si>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</si>
  <si>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</si>
  <si>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</si>
  <si>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</si>
  <si>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</si>
  <si>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</si>
  <si>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</si>
  <si>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</si>
  <si>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</si>
  <si>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</si>
  <si>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</si>
  <si>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</si>
  <si>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</si>
  <si>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</si>
  <si>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</si>
  <si>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</si>
  <si>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</si>
  <si>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</si>
  <si>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</si>
  <si>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</si>
  <si>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</si>
  <si>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</si>
  <si>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</si>
  <si>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</si>
  <si>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</si>
  <si>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</si>
  <si>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</si>
  <si>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</si>
  <si>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</si>
  <si>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</si>
  <si>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</si>
  <si>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</si>
  <si>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</si>
  <si>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</si>
  <si>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</si>
  <si>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</si>
  <si>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</si>
  <si>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</si>
  <si>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</si>
  <si>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</si>
  <si>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</si>
  <si>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</si>
  <si>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</si>
  <si>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</si>
  <si>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</si>
  <si>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</si>
  <si>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</si>
  <si>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</si>
  <si>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</si>
  <si>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</si>
  <si>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</si>
  <si>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</si>
  <si>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</si>
  <si>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</si>
  <si>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</si>
  <si>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</si>
  <si>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</si>
  <si>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</si>
  <si>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</si>
  <si>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</si>
  <si>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</si>
  <si>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</si>
  <si>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</si>
  <si>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</si>
  <si>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</si>
  <si>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</si>
  <si>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</si>
  <si>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</si>
  <si>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</si>
  <si>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</si>
  <si>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</si>
  <si>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</si>
  <si>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</si>
  <si>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</si>
  <si>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</si>
  <si>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</si>
  <si>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</si>
  <si>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</si>
  <si>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</si>
  <si>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</si>
  <si>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</si>
  <si>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</si>
  <si>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</si>
  <si>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</si>
  <si>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</si>
  <si>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</si>
  <si>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</si>
  <si>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</si>
  <si>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</si>
  <si>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</si>
  <si>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</si>
  <si>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</si>
  <si>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</si>
  <si>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</si>
  <si>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</si>
  <si>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</si>
  <si>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</si>
  <si>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</si>
  <si>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</si>
  <si>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</si>
  <si>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</si>
  <si>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</si>
  <si>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</si>
  <si>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</si>
  <si>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</si>
  <si>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</si>
  <si>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</si>
  <si>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</si>
  <si>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</si>
  <si>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</si>
  <si>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</si>
  <si>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</si>
  <si>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</si>
  <si>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</si>
  <si>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</si>
  <si>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</si>
  <si>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</si>
  <si>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</si>
  <si>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</si>
  <si>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</si>
  <si>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</si>
  <si>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</si>
  <si>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</si>
  <si>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</si>
  <si>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</si>
  <si>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</si>
  <si>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</si>
  <si>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</si>
  <si>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</si>
  <si>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</si>
  <si>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</si>
  <si>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</si>
  <si>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</si>
  <si>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</si>
  <si>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</si>
  <si>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</si>
  <si>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</si>
  <si>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</si>
  <si>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</si>
  <si>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</si>
  <si>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</si>
  <si>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</si>
  <si>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</si>
  <si>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</si>
  <si>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</si>
  <si>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</si>
  <si>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</si>
  <si>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</si>
  <si>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</si>
  <si>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</si>
  <si>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</si>
  <si>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</si>
  <si>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</si>
  <si>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</si>
  <si>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</si>
  <si>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</si>
  <si>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</si>
  <si>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</si>
  <si>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</si>
  <si>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</si>
  <si>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</si>
  <si>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</si>
  <si>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</si>
  <si>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</si>
  <si>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</si>
  <si>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</si>
  <si>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</si>
  <si>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</si>
  <si>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</si>
  <si>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</si>
  <si>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</si>
  <si>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</si>
  <si>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</si>
  <si>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</si>
  <si>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</si>
  <si>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</si>
  <si>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</si>
  <si>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</si>
  <si>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</si>
  <si>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</si>
  <si>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</si>
  <si>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</si>
  <si>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</si>
  <si>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</si>
  <si>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</si>
  <si>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</si>
  <si>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</si>
  <si>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</si>
  <si>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</si>
  <si>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</si>
  <si>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</si>
  <si>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</si>
  <si>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</si>
  <si>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</si>
  <si>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</si>
  <si>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</si>
  <si>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</si>
  <si>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</si>
  <si>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</si>
  <si>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</si>
  <si>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</si>
  <si>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</si>
  <si>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</si>
  <si>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</si>
  <si>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</si>
  <si>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</si>
  <si>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</si>
  <si>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</si>
  <si>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</si>
  <si>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</si>
  <si>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</si>
  <si>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</si>
  <si>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</si>
  <si>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</si>
  <si>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</si>
  <si>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</si>
  <si>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</si>
  <si>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</si>
  <si>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</si>
  <si>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</si>
  <si>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</si>
  <si>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</si>
  <si>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</si>
  <si>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</si>
  <si>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</si>
  <si>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</si>
  <si>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</si>
  <si>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</si>
  <si>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</si>
  <si>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</si>
  <si>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</si>
  <si>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</si>
  <si>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</si>
  <si>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</si>
  <si>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</si>
  <si>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</si>
  <si>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</si>
  <si>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</si>
  <si>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</si>
  <si>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</si>
  <si>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</si>
  <si>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</si>
  <si>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</si>
  <si>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</si>
  <si>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</si>
  <si>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</si>
  <si>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</si>
  <si>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</si>
  <si>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</si>
  <si>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</si>
  <si>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</si>
  <si>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</si>
  <si>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</si>
  <si>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</si>
  <si>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</si>
  <si>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</si>
  <si>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</si>
  <si>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</si>
  <si>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</si>
  <si>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</si>
  <si>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</si>
  <si>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</si>
  <si>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</si>
  <si>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</si>
  <si>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</si>
  <si>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</si>
  <si>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</si>
  <si>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</si>
  <si>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</si>
  <si>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</si>
  <si>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</si>
  <si>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</si>
  <si>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</si>
  <si>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</si>
  <si>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</si>
  <si>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</si>
  <si>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</si>
  <si>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</si>
  <si>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</si>
  <si>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</si>
  <si>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</si>
  <si>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</si>
  <si>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</si>
  <si>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</si>
  <si>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</si>
  <si>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</si>
  <si>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</si>
  <si>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</si>
  <si>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</si>
  <si>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</si>
  <si>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</si>
  <si>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</si>
  <si>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</si>
  <si>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</si>
  <si>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</si>
  <si>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</si>
  <si>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</si>
  <si>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</si>
  <si>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</si>
  <si>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</si>
  <si>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</si>
  <si>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</si>
  <si>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</si>
  <si>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</si>
  <si>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</si>
  <si>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</si>
  <si>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</si>
  <si>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</si>
  <si>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</si>
  <si>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</si>
  <si>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</si>
  <si>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</si>
  <si>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</si>
  <si>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</si>
  <si>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</si>
  <si>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</si>
  <si>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</si>
  <si>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</si>
  <si>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</si>
  <si>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</si>
  <si>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</si>
  <si>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</si>
  <si>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</si>
  <si>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</si>
  <si>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</si>
  <si>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</si>
  <si>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</si>
  <si>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</si>
  <si>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</si>
  <si>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</si>
  <si>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</si>
  <si>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</si>
  <si>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</si>
  <si>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</si>
  <si>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</si>
  <si>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</si>
  <si>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</si>
  <si>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</si>
  <si>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</si>
  <si>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</si>
  <si>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</si>
  <si>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</si>
  <si>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</si>
  <si>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</si>
  <si>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</si>
  <si>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</si>
  <si>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</si>
  <si>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</si>
  <si>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</si>
  <si>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</si>
  <si>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</si>
  <si>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</si>
  <si>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</si>
  <si>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</si>
  <si>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</si>
  <si>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</si>
  <si>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</si>
  <si>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</si>
  <si>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</si>
  <si>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</si>
  <si>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</si>
  <si>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</si>
  <si>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</si>
  <si>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</si>
  <si>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</si>
  <si>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</si>
  <si>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</si>
  <si>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</si>
  <si>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</si>
  <si>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</si>
  <si>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</si>
  <si>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</si>
  <si>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</si>
  <si>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</si>
  <si>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</si>
  <si>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</si>
  <si>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</si>
  <si>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</si>
  <si>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</si>
  <si>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</si>
  <si>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</si>
  <si>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</si>
  <si>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</si>
  <si>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</si>
  <si>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</si>
  <si>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</si>
  <si>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</si>
  <si>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</si>
  <si>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</si>
  <si>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</si>
  <si>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</si>
  <si>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</si>
  <si>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</si>
  <si>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</si>
  <si>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</si>
  <si>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</si>
  <si>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</si>
  <si>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</si>
  <si>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</si>
  <si>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</si>
  <si>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</si>
  <si>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</si>
  <si>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</si>
  <si>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</si>
  <si>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</si>
  <si>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</si>
  <si>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</si>
  <si>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</si>
  <si>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</si>
  <si>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</si>
  <si>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</si>
  <si>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</si>
  <si>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</si>
  <si>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</si>
  <si>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</si>
  <si>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</si>
  <si>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</si>
  <si>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</si>
  <si>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</si>
  <si>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</si>
  <si>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</si>
  <si>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</si>
  <si>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</si>
  <si>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</si>
  <si>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</si>
  <si>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</si>
  <si>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</si>
  <si>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</si>
  <si>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</si>
  <si>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</si>
  <si>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</si>
  <si>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</si>
  <si>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</si>
  <si>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</si>
  <si>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</si>
  <si>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</si>
  <si>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</si>
  <si>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</si>
  <si>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</si>
  <si>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</si>
  <si>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</si>
  <si>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</si>
  <si>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</si>
  <si>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</si>
  <si>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</si>
  <si>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</si>
  <si>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</si>
  <si>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</si>
  <si>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</si>
  <si>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</si>
  <si>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</si>
  <si>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</si>
  <si>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</si>
  <si>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</si>
  <si>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</si>
  <si>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</si>
  <si>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</si>
  <si>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</si>
  <si>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</si>
  <si>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</si>
  <si>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</si>
  <si>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</si>
  <si>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</si>
  <si>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</si>
  <si>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</si>
  <si>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</si>
  <si>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</si>
  <si>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</si>
  <si>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</si>
  <si>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</si>
  <si>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</si>
  <si>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</si>
  <si>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</si>
  <si>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</si>
  <si>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</si>
  <si>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</si>
  <si>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</si>
  <si>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</si>
  <si>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</si>
  <si>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</si>
  <si>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</si>
  <si>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</si>
  <si>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</si>
  <si>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</si>
  <si>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</si>
  <si>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</si>
  <si>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</si>
  <si>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</si>
  <si>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</si>
  <si>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</si>
  <si>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</si>
  <si>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</si>
  <si>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</si>
  <si>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</si>
  <si>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</si>
  <si>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</si>
  <si>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</si>
  <si>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</si>
  <si>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</si>
  <si>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</si>
  <si>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</si>
  <si>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</si>
  <si>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</si>
  <si>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</si>
  <si>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</si>
  <si>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</si>
  <si>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</si>
  <si>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</si>
  <si>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</si>
  <si>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</si>
  <si>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</si>
  <si>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</si>
  <si>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</si>
  <si>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</si>
  <si>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</si>
  <si>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</si>
  <si>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</si>
  <si>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</si>
  <si>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</si>
  <si>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</si>
  <si>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</si>
  <si>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</si>
  <si>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</si>
  <si>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</si>
  <si>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</si>
  <si>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</si>
  <si>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</si>
  <si>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</si>
  <si>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</si>
  <si>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</si>
  <si>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</si>
  <si>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</si>
  <si>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</si>
  <si>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</si>
  <si>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</si>
  <si>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</si>
  <si>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</si>
  <si>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</si>
  <si>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</si>
  <si>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</si>
  <si>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</si>
  <si>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</si>
  <si>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</si>
  <si>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</si>
  <si>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</si>
  <si>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</si>
  <si>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</si>
  <si>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</si>
  <si>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</si>
  <si>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</si>
  <si>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</si>
  <si>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</si>
  <si>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</si>
  <si>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</si>
  <si>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</si>
  <si>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</si>
  <si>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</si>
  <si>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</si>
  <si>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</si>
  <si>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</si>
  <si>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</si>
  <si>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</si>
  <si>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</si>
  <si>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</si>
  <si>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</si>
  <si>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</si>
  <si>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</si>
  <si>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</si>
  <si>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</si>
  <si>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</si>
  <si>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</si>
  <si>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</si>
  <si>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</si>
  <si>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</si>
  <si>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</si>
  <si>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</si>
  <si>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</si>
  <si>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</si>
  <si>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</si>
  <si>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</si>
  <si>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</si>
  <si>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</si>
  <si>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</si>
  <si>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</si>
  <si>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</si>
  <si>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</si>
  <si>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</si>
  <si>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</si>
  <si>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</si>
  <si>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</si>
  <si>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</si>
  <si>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</si>
  <si>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</si>
  <si>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</si>
  <si>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</si>
  <si>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</si>
  <si>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</si>
  <si>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</si>
  <si>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</si>
  <si>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</si>
  <si>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</si>
  <si>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</si>
  <si>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</si>
  <si>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</si>
  <si>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</si>
  <si>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</si>
  <si>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</si>
  <si>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</si>
  <si>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</si>
  <si>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</si>
  <si>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</si>
  <si>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</si>
  <si>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</si>
  <si>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</si>
  <si>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</si>
  <si>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</si>
  <si>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</si>
  <si>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</si>
  <si>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</si>
  <si>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</si>
  <si>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</si>
  <si>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</si>
  <si>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</si>
  <si>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</si>
  <si>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</si>
  <si>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</si>
  <si>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</si>
  <si>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</si>
  <si>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</si>
  <si>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</si>
  <si>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</si>
  <si>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</si>
  <si>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</si>
  <si>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</si>
  <si>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</si>
  <si>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</si>
  <si>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</si>
  <si>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</si>
  <si>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</si>
  <si>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</si>
  <si>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</si>
  <si>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</si>
  <si>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</si>
  <si>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</si>
  <si>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</si>
  <si>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</si>
  <si>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</si>
  <si>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</si>
  <si>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</si>
  <si>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</si>
  <si>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</si>
  <si>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</si>
  <si>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</si>
  <si>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</si>
  <si>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</si>
  <si>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</si>
  <si>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</si>
  <si>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</si>
  <si>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</si>
  <si>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</si>
  <si>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</si>
  <si>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</si>
  <si>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</si>
  <si>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</si>
  <si>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</si>
  <si>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</si>
  <si>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</si>
  <si>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</si>
  <si>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</si>
  <si>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</si>
  <si>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</si>
  <si>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</si>
  <si>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</si>
  <si>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</si>
  <si>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</si>
  <si>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</si>
  <si>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</si>
  <si>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</si>
  <si>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</si>
  <si>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</si>
  <si>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</si>
  <si>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</si>
  <si>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</si>
  <si>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</si>
  <si>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</si>
  <si>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</si>
  <si>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</si>
  <si>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</si>
  <si>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</si>
  <si>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</si>
  <si>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</si>
  <si>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</si>
  <si>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</si>
  <si>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</si>
  <si>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</si>
  <si>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</si>
  <si>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</si>
  <si>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</si>
  <si>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</si>
  <si>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</si>
  <si>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</si>
  <si>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</si>
  <si>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</si>
  <si>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</si>
  <si>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</si>
  <si>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</si>
  <si>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</si>
  <si>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</si>
  <si>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</si>
  <si>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</si>
  <si>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</si>
  <si>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</si>
  <si>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</si>
  <si>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</si>
  <si>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</si>
  <si>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</si>
  <si>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</si>
  <si>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</si>
  <si>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</si>
  <si>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</si>
  <si>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</si>
  <si>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</si>
  <si>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</si>
  <si>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</si>
  <si>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</si>
  <si>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</si>
  <si>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</si>
  <si>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</si>
  <si>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</si>
  <si>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</si>
  <si>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</si>
  <si>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</si>
  <si>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</si>
  <si>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</si>
  <si>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</si>
  <si>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</si>
  <si>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</si>
  <si>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</si>
  <si>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</si>
  <si>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</si>
  <si>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</si>
  <si>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</si>
  <si>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</si>
  <si>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</si>
  <si>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</si>
  <si>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</si>
  <si>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</si>
  <si>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</si>
  <si>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</si>
  <si>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</si>
  <si>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</si>
  <si>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</si>
  <si>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</si>
  <si>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</si>
  <si>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</si>
  <si>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</si>
  <si>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</si>
  <si>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</si>
  <si>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</si>
  <si>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</si>
  <si>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</si>
  <si>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</si>
  <si>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</si>
  <si>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</si>
  <si>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</si>
  <si>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</si>
  <si>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</si>
  <si>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</si>
  <si>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</si>
  <si>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</si>
  <si>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</si>
  <si>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</si>
  <si>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</si>
  <si>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</si>
  <si>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</si>
  <si>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</si>
  <si>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</si>
  <si>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</si>
  <si>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</si>
  <si>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</si>
  <si>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</si>
  <si>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</si>
  <si>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</si>
  <si>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</si>
  <si>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</si>
  <si>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</si>
  <si>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</si>
  <si>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</si>
  <si>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</si>
  <si>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</si>
  <si>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</si>
  <si>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</si>
  <si>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</si>
  <si>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</si>
  <si>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</si>
  <si>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</si>
  <si>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</si>
  <si>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</si>
  <si>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</si>
  <si>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</si>
  <si>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</si>
  <si>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</si>
  <si>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</si>
  <si>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</si>
  <si>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</si>
  <si>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</si>
  <si>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</si>
  <si>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</si>
  <si>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</si>
  <si>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</si>
  <si>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</si>
  <si>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</si>
  <si>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</si>
  <si>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</si>
  <si>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</si>
  <si>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</si>
  <si>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</si>
  <si>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</si>
  <si>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</si>
  <si>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</si>
  <si>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</si>
  <si>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</si>
  <si>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</si>
  <si>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</si>
  <si>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</si>
  <si>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</si>
  <si>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</si>
  <si>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</si>
  <si>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</si>
  <si>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</si>
  <si>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</si>
  <si>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</si>
  <si>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</si>
  <si>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</si>
  <si>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</si>
  <si>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</si>
  <si>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</si>
  <si>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</si>
  <si>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</si>
  <si>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</si>
  <si>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</si>
  <si>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</si>
  <si>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</si>
  <si>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</si>
  <si>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</si>
  <si>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</si>
  <si>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</si>
  <si>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</si>
  <si>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</si>
  <si>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</si>
  <si>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</si>
  <si>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</si>
  <si>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</si>
  <si>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</si>
  <si>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</si>
  <si>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</si>
  <si>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</si>
  <si>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</si>
  <si>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</si>
  <si>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</si>
  <si>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</si>
  <si>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</si>
  <si>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</si>
  <si>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</si>
  <si>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</si>
  <si>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</si>
  <si>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</si>
  <si>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</si>
  <si>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</si>
  <si>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</si>
  <si>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</si>
  <si>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</si>
  <si>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</si>
  <si>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</si>
  <si>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</si>
  <si>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</si>
  <si>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</si>
  <si>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</si>
  <si>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</si>
  <si>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</si>
  <si>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</si>
  <si>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</si>
  <si>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</si>
  <si>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</si>
  <si>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</si>
  <si>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</si>
  <si>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</si>
  <si>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</si>
  <si>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</si>
  <si>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</si>
  <si>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</si>
  <si>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</si>
  <si>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</si>
  <si>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</si>
  <si>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</si>
  <si>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</si>
  <si>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</si>
  <si>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</si>
  <si>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</si>
  <si>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</si>
  <si>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</si>
  <si>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</si>
  <si>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</si>
  <si>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</si>
  <si>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</si>
  <si>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</si>
  <si>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</si>
  <si>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</si>
  <si>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</si>
  <si>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</si>
  <si>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</si>
  <si>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</si>
  <si>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</si>
  <si>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</si>
  <si>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</si>
  <si>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</si>
  <si>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</si>
  <si>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</si>
  <si>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</si>
  <si>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</si>
  <si>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</si>
  <si>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</si>
  <si>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</si>
  <si>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</si>
  <si>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</si>
  <si>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</si>
  <si>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</si>
  <si>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</si>
  <si>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</si>
  <si>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</si>
  <si>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</si>
  <si>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</si>
  <si>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</si>
  <si>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</si>
  <si>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</si>
  <si>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</si>
  <si>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</si>
  <si>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</si>
  <si>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</si>
  <si>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</si>
  <si>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</si>
  <si>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</si>
  <si>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</si>
  <si>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</si>
  <si>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</si>
  <si>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</si>
  <si>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</si>
  <si>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</si>
  <si>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</si>
  <si>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</si>
  <si>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</si>
  <si>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</si>
  <si>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</si>
  <si>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</si>
  <si>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</si>
  <si>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</si>
  <si>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</si>
  <si>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</si>
  <si>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</si>
  <si>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</si>
  <si>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</si>
  <si>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</si>
  <si>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</si>
  <si>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</si>
  <si>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</si>
  <si>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</si>
  <si>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</si>
  <si>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</si>
  <si>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</si>
  <si>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</si>
  <si>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</si>
  <si>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</si>
  <si>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</si>
  <si>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</si>
  <si>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</si>
  <si>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</si>
  <si>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</si>
  <si>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</si>
  <si>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</si>
  <si>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</si>
  <si>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</si>
  <si>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</si>
  <si>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</si>
  <si>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</si>
  <si>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</si>
  <si>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</si>
  <si>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</si>
  <si>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</si>
  <si>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</si>
  <si>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</si>
  <si>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</si>
  <si>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</si>
  <si>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</si>
  <si>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</si>
  <si>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</si>
  <si>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</si>
  <si>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</si>
  <si>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</si>
  <si>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</si>
  <si>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</si>
  <si>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</si>
  <si>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</si>
  <si>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</si>
  <si>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</si>
  <si>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</si>
  <si>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</si>
  <si>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</si>
  <si>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</si>
  <si>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</si>
  <si>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</si>
  <si>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</si>
  <si>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</si>
  <si>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</si>
  <si>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</si>
  <si>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</si>
  <si>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</si>
  <si>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</si>
  <si>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</si>
  <si>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</si>
  <si>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</si>
  <si>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</si>
  <si>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</si>
  <si>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</si>
  <si>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</si>
  <si>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</si>
  <si>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</si>
  <si>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</si>
  <si>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</si>
  <si>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</si>
  <si>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</si>
  <si>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</si>
  <si>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</si>
  <si>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</si>
  <si>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</si>
  <si>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</si>
  <si>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</si>
  <si>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</si>
  <si>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</si>
  <si>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</si>
  <si>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</si>
  <si>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</si>
  <si>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</si>
  <si>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</si>
  <si>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</si>
  <si>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</si>
  <si>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</si>
  <si>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</si>
  <si>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</si>
  <si>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</si>
  <si>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</si>
  <si>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</si>
  <si>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</si>
  <si>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</si>
  <si>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</si>
  <si>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</si>
  <si>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</si>
  <si>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</si>
  <si>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</si>
  <si>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</si>
  <si>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</si>
  <si>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</si>
  <si>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</si>
  <si>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</si>
  <si>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</si>
  <si>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</si>
  <si>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</si>
  <si>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</si>
  <si>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</si>
  <si>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</si>
  <si>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</si>
  <si>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</si>
  <si>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</si>
  <si>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</si>
  <si>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</si>
  <si>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</si>
  <si>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</si>
  <si>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</si>
  <si>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</si>
  <si>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</si>
  <si>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</si>
  <si>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</si>
  <si>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</si>
  <si>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</si>
  <si>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</si>
  <si>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</si>
  <si>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</si>
  <si>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</si>
  <si>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</si>
  <si>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</si>
  <si>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</si>
  <si>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</si>
  <si>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</si>
  <si>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</si>
  <si>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</si>
  <si>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</si>
  <si>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</si>
  <si>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</si>
  <si>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</si>
  <si>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</si>
  <si>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</si>
  <si>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</si>
  <si>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</si>
  <si>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</si>
  <si>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</si>
  <si>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</si>
  <si>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</si>
  <si>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</si>
  <si>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</si>
  <si>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</si>
  <si>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</si>
  <si>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</si>
  <si>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</si>
  <si>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</si>
  <si>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</si>
  <si>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</si>
  <si>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</si>
  <si>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</si>
  <si>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</si>
  <si>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</si>
  <si>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</si>
  <si>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</si>
  <si>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</si>
  <si>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</si>
  <si>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</si>
  <si>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</si>
  <si>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</si>
  <si>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</si>
  <si>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</si>
  <si>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</si>
  <si>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</si>
  <si>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</si>
  <si>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</si>
  <si>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</si>
  <si>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</si>
  <si>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</si>
  <si>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</si>
  <si>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</si>
  <si>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</si>
  <si>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</si>
  <si>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</si>
  <si>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</si>
  <si>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</si>
  <si>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</si>
  <si>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</si>
  <si>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</si>
  <si>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</si>
  <si>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</si>
  <si>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</si>
  <si>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</si>
  <si>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</si>
  <si>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</si>
  <si>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</si>
  <si>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</si>
  <si>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</si>
  <si>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</si>
  <si>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</si>
  <si>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</si>
  <si>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</si>
  <si>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</si>
  <si>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</si>
  <si>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</si>
  <si>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</si>
  <si>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</si>
  <si>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</si>
  <si>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</si>
  <si>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</si>
  <si>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</si>
  <si>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</si>
  <si>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</si>
  <si>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</si>
  <si>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</si>
  <si>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</si>
  <si>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</si>
  <si>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</si>
  <si>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</si>
  <si>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</si>
  <si>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</si>
  <si>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</si>
  <si>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</si>
  <si>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</si>
  <si>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</si>
  <si>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</si>
  <si>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</si>
  <si>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</si>
  <si>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</si>
  <si>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</si>
  <si>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</si>
  <si>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</si>
  <si>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</si>
  <si>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</si>
  <si>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</si>
  <si>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</si>
  <si>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</si>
  <si>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</si>
  <si>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</si>
  <si>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</si>
  <si>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</si>
  <si>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</si>
  <si>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</si>
  <si>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</si>
  <si>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</si>
  <si>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</si>
  <si>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</si>
  <si>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</si>
  <si>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</si>
  <si>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</si>
  <si>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</si>
  <si>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</si>
  <si>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</si>
  <si>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</si>
  <si>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</si>
  <si>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</si>
  <si>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</si>
  <si>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</si>
  <si>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</si>
  <si>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</si>
  <si>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</si>
  <si>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</si>
  <si>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</si>
  <si>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</si>
  <si>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</si>
  <si>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</si>
  <si>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</si>
  <si>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</si>
  <si>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</si>
  <si>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</si>
  <si>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</si>
  <si>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</si>
  <si>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</si>
  <si>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</si>
  <si>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</si>
  <si>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</si>
  <si>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</si>
  <si>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</si>
  <si>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</si>
  <si>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</si>
  <si>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</si>
  <si>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</si>
  <si>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</si>
  <si>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</si>
  <si>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</si>
  <si>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</si>
  <si>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</si>
  <si>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</si>
  <si>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</si>
  <si>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</si>
  <si>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</si>
  <si>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</si>
  <si>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</si>
  <si>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</si>
  <si>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</si>
  <si>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</si>
  <si>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</si>
  <si>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</si>
  <si>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</si>
  <si>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</si>
  <si>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</si>
  <si>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</si>
  <si>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</si>
  <si>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</si>
  <si>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</si>
  <si>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</si>
  <si>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</si>
  <si>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</si>
  <si>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</si>
  <si>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</si>
  <si>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</si>
  <si>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</si>
  <si>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</si>
  <si>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</si>
  <si>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</si>
  <si>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</si>
  <si>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</si>
  <si>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</si>
  <si>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</si>
  <si>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</si>
  <si>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</si>
  <si>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</si>
  <si>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</si>
  <si>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</si>
  <si>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</si>
  <si>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</si>
  <si>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</si>
  <si>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</si>
  <si>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</si>
  <si>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</si>
  <si>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</si>
  <si>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</si>
  <si>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</si>
  <si>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</si>
  <si>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</si>
  <si>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</si>
  <si>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</si>
  <si>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</si>
  <si>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</si>
  <si>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</si>
  <si>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</si>
  <si>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</si>
  <si>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</si>
  <si>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</si>
  <si>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</si>
  <si>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</si>
  <si>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</si>
  <si>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</si>
  <si>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</si>
  <si>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</si>
  <si>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</si>
  <si>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</si>
  <si>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</si>
  <si>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</si>
  <si>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</si>
  <si>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</si>
  <si>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</si>
  <si>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</si>
  <si>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</si>
  <si>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</si>
  <si>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</si>
  <si>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</si>
  <si>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</si>
  <si>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</si>
  <si>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</si>
  <si>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</si>
  <si>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</si>
  <si>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</si>
  <si>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</si>
  <si>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</si>
  <si>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</si>
  <si>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</si>
  <si>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</si>
  <si>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</si>
  <si>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</si>
  <si>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</si>
  <si>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</si>
  <si>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</si>
  <si>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</si>
  <si>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</si>
  <si>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</si>
  <si>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</si>
  <si>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</si>
  <si>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</si>
  <si>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</si>
  <si>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</si>
  <si>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</si>
  <si>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</si>
  <si>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</si>
  <si>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</si>
  <si>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</si>
  <si>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</si>
  <si>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</si>
  <si>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</si>
  <si>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</si>
  <si>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</si>
  <si>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</si>
  <si>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</si>
  <si>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</si>
  <si>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</si>
  <si>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</si>
  <si>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</si>
  <si>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</si>
  <si>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</si>
  <si>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</si>
  <si>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</si>
  <si>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</si>
  <si>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</si>
  <si>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</si>
  <si>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</si>
  <si>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</si>
  <si>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</si>
  <si>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</si>
  <si>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</si>
  <si>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</si>
  <si>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</si>
  <si>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</si>
  <si>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</si>
  <si>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</si>
  <si>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</si>
  <si>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</si>
  <si>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</si>
  <si>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</si>
  <si>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</si>
  <si>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</si>
  <si>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</si>
  <si>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</si>
  <si>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</si>
  <si>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</si>
  <si>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</si>
  <si>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</si>
  <si>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</si>
  <si>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</si>
  <si>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</si>
  <si>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</si>
  <si>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</si>
  <si>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</si>
  <si>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</si>
  <si>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</si>
  <si>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</si>
  <si>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</si>
  <si>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</si>
  <si>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</si>
  <si>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</si>
  <si>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</si>
  <si>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</si>
  <si>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</si>
  <si>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</si>
  <si>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</si>
  <si>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</si>
  <si>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</si>
  <si>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</si>
  <si>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</si>
  <si>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</si>
  <si>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</si>
  <si>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</si>
  <si>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</si>
  <si>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</si>
  <si>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</si>
  <si>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</si>
  <si>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</si>
  <si>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</si>
  <si>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</si>
  <si>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</si>
  <si>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</si>
  <si>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</si>
  <si>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</si>
  <si>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</si>
  <si>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</si>
  <si>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</si>
  <si>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</si>
  <si>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</si>
  <si>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</si>
  <si>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</si>
  <si>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</si>
  <si>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</si>
  <si>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</si>
  <si>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</si>
  <si>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</si>
  <si>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</si>
  <si>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</si>
  <si>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</si>
  <si>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</si>
  <si>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</si>
  <si>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</si>
  <si>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</si>
  <si>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</si>
  <si>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</si>
  <si>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</si>
  <si>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</si>
  <si>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</si>
  <si>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</si>
  <si>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</si>
  <si>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</si>
  <si>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</si>
  <si>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</si>
  <si>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</si>
  <si>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</si>
  <si>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</si>
  <si>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</si>
  <si>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</si>
  <si>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</si>
  <si>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</si>
  <si>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</si>
  <si>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</si>
  <si>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</si>
  <si>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</si>
  <si>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</si>
  <si>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</si>
  <si>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</si>
  <si>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</si>
  <si>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</si>
  <si>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</si>
  <si>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</si>
  <si>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</si>
  <si>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</si>
  <si>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</si>
  <si>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</si>
  <si>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</si>
  <si>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</si>
  <si>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</si>
  <si>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</si>
  <si>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</si>
  <si>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</si>
  <si>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</si>
  <si>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</si>
  <si>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</si>
  <si>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</si>
  <si>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</si>
  <si>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</si>
  <si>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</si>
  <si>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</si>
  <si>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</si>
  <si>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</si>
  <si>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</si>
  <si>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</si>
  <si>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</si>
  <si>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</si>
  <si>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</si>
  <si>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</si>
  <si>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</si>
  <si>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</si>
  <si>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</si>
  <si>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</si>
  <si>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</si>
  <si>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</si>
  <si>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</si>
  <si>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</si>
  <si>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</si>
  <si>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</si>
  <si>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</si>
  <si>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</si>
  <si>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</si>
  <si>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</si>
  <si>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</si>
  <si>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</si>
  <si>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</si>
  <si>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</si>
  <si>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</si>
  <si>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</si>
  <si>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</si>
  <si>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</si>
  <si>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</si>
  <si>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</si>
  <si>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</si>
  <si>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</si>
  <si>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</si>
  <si>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</si>
  <si>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</si>
  <si>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</si>
  <si>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</si>
  <si>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</si>
  <si>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</si>
  <si>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</si>
  <si>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</si>
  <si>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</si>
  <si>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</si>
  <si>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</si>
  <si>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</si>
  <si>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</si>
  <si>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</si>
  <si>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</si>
  <si>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</si>
  <si>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</si>
  <si>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</si>
  <si>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</si>
  <si>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</si>
  <si>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</si>
  <si>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</si>
  <si>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</si>
  <si>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</si>
  <si>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</si>
  <si>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</si>
  <si>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</si>
  <si>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</si>
  <si>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</si>
  <si>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</si>
  <si>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</si>
  <si>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</si>
  <si>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</si>
  <si>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</si>
  <si>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</si>
  <si>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</si>
  <si>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</si>
  <si>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</si>
  <si>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</si>
  <si>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</si>
  <si>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</si>
  <si>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</si>
  <si>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</si>
  <si>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</si>
  <si>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</si>
  <si>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</si>
  <si>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</si>
  <si>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</si>
  <si>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</si>
  <si>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</si>
  <si>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</si>
  <si>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</si>
  <si>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</si>
  <si>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</si>
  <si>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</si>
  <si>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</si>
  <si>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</si>
  <si>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</si>
  <si>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</si>
  <si>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</si>
  <si>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</si>
  <si>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</si>
  <si>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</si>
  <si>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</si>
  <si>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</si>
  <si>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</si>
  <si>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</si>
  <si>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</si>
  <si>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</si>
  <si>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</si>
  <si>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</si>
  <si>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</si>
  <si>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</si>
  <si>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</si>
  <si>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</si>
  <si>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</si>
  <si>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</si>
  <si>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</si>
  <si>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</si>
  <si>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</si>
  <si>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</si>
  <si>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</si>
  <si>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</si>
  <si>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</si>
  <si>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</si>
  <si>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</si>
  <si>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</si>
  <si>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</si>
  <si>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</si>
  <si>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</si>
  <si>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</si>
  <si>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</si>
  <si>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</si>
  <si>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</si>
  <si>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</si>
  <si>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</si>
  <si>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</si>
  <si>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</si>
  <si>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</si>
  <si>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</si>
  <si>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</si>
  <si>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</si>
  <si>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</si>
  <si>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</si>
  <si>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</si>
  <si>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</si>
  <si>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</si>
  <si>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</si>
  <si>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</si>
  <si>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</si>
  <si>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</si>
  <si>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</si>
  <si>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</si>
  <si>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</si>
  <si>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</si>
  <si>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</si>
  <si>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</si>
  <si>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</si>
  <si>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</si>
  <si>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</si>
  <si>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</si>
  <si>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</si>
  <si>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</si>
  <si>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</si>
  <si>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</si>
  <si>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</si>
  <si>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</si>
  <si>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</si>
  <si>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</si>
  <si>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</si>
  <si>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</si>
  <si>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</si>
  <si>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</si>
  <si>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</si>
  <si>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</si>
  <si>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</si>
  <si>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</si>
  <si>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</si>
  <si>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</si>
  <si>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</si>
  <si>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</si>
  <si>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</si>
  <si>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</si>
  <si>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</si>
  <si>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</si>
  <si>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</si>
  <si>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</si>
  <si>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</si>
  <si>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</si>
  <si>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</si>
  <si>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</si>
  <si>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</si>
  <si>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</si>
  <si>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</si>
  <si>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</si>
  <si>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</si>
  <si>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</si>
  <si>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</si>
  <si>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</si>
  <si>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</si>
  <si>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</si>
  <si>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</si>
  <si>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</si>
  <si>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</si>
  <si>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</si>
  <si>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</si>
  <si>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</si>
  <si>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</si>
  <si>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</si>
  <si>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</si>
  <si>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</si>
  <si>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</si>
  <si>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</si>
  <si>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</si>
  <si>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</si>
  <si>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</si>
  <si>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</si>
  <si>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</si>
  <si>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</si>
  <si>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</si>
  <si>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</si>
  <si>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</si>
  <si>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</si>
  <si>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</si>
  <si>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</si>
  <si>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</si>
  <si>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</si>
  <si>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</si>
  <si>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</si>
  <si>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</si>
  <si>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</si>
  <si>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</si>
  <si>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</si>
  <si>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</si>
  <si>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</si>
  <si>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</si>
  <si>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</si>
  <si>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</si>
  <si>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</si>
  <si>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</si>
  <si>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</si>
  <si>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</si>
  <si>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</si>
  <si>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</si>
  <si>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</si>
  <si>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</si>
  <si>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</si>
  <si>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</si>
  <si>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</si>
  <si>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</si>
  <si>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</si>
  <si>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</si>
  <si>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</si>
  <si>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</si>
  <si>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</si>
  <si>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</si>
  <si>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</si>
  <si>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</si>
  <si>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</si>
  <si>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</si>
  <si>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</si>
  <si>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</si>
  <si>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</si>
  <si>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</si>
  <si>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</si>
  <si>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</si>
  <si>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</si>
  <si>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</si>
  <si>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</si>
  <si>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</si>
  <si>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</si>
  <si>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</si>
  <si>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</si>
  <si>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</si>
  <si>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</si>
  <si>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</si>
  <si>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</si>
  <si>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</si>
  <si>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</si>
  <si>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</si>
  <si>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</si>
  <si>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</si>
  <si>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</si>
  <si>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</si>
  <si>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</si>
  <si>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</si>
  <si>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</si>
  <si>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</si>
  <si>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</si>
  <si>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</si>
  <si>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</si>
  <si>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</si>
  <si>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</si>
  <si>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</si>
  <si>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</si>
  <si>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</si>
  <si>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</si>
  <si>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</si>
  <si>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</si>
  <si>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</si>
  <si>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</si>
  <si>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</si>
  <si>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</si>
  <si>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</si>
  <si>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</si>
  <si>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</si>
  <si>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</si>
  <si>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</si>
  <si>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</si>
  <si>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</si>
  <si>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</si>
  <si>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</si>
  <si>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</si>
  <si>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</si>
  <si>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</si>
  <si>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</si>
  <si>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</si>
  <si>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</si>
  <si>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</si>
  <si>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</si>
  <si>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</si>
  <si>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</si>
  <si>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</si>
  <si>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</si>
  <si>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</si>
  <si>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</si>
  <si>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</si>
  <si>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</si>
  <si>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</si>
  <si>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</si>
  <si>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</si>
  <si>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</si>
  <si>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</si>
  <si>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</si>
  <si>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</si>
  <si>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</si>
  <si>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</si>
  <si>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</si>
  <si>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</si>
  <si>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</si>
  <si>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</si>
  <si>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</si>
  <si>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</si>
  <si>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</si>
  <si>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</si>
  <si>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</si>
  <si>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</si>
  <si>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</si>
  <si>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</si>
  <si>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</si>
  <si>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</si>
  <si>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</si>
  <si>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</si>
  <si>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</si>
  <si>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</si>
  <si>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</si>
  <si>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</si>
  <si>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</si>
  <si>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</si>
  <si>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</si>
  <si>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</si>
  <si>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</si>
  <si>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</si>
  <si>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</si>
  <si>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</si>
  <si>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</si>
  <si>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</si>
  <si>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</si>
  <si>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</si>
  <si>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</si>
  <si>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</si>
  <si>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</si>
  <si>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</si>
  <si>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</si>
  <si>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</si>
  <si>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</si>
  <si>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</si>
  <si>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</si>
  <si>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</si>
  <si>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</si>
  <si>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</si>
  <si>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</si>
  <si>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</si>
  <si>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</si>
  <si>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</si>
  <si>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</si>
  <si>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</si>
  <si>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</si>
  <si>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</si>
  <si>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</si>
  <si>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</si>
  <si>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</si>
  <si>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</si>
  <si>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</si>
  <si>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</si>
  <si>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</si>
  <si>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</si>
  <si>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</si>
  <si>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</si>
  <si>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</si>
  <si>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</si>
  <si>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</si>
  <si>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</si>
  <si>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</si>
  <si>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</si>
  <si>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</si>
  <si>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</si>
  <si>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</si>
  <si>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</si>
  <si>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</si>
  <si>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</si>
  <si>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</si>
  <si>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</si>
  <si>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</si>
  <si>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</si>
  <si>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</si>
  <si>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</si>
  <si>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</si>
  <si>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</si>
  <si>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</si>
  <si>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</si>
  <si>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</si>
  <si>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</si>
  <si>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</si>
  <si>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</si>
  <si>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</si>
  <si>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</si>
  <si>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</si>
  <si>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</si>
  <si>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</si>
  <si>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</si>
  <si>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</si>
  <si>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</si>
  <si>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</si>
  <si>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</si>
  <si>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</si>
  <si>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</si>
  <si>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</si>
  <si>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</si>
  <si>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</si>
  <si>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</si>
  <si>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</si>
  <si>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</si>
  <si>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</si>
  <si>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</si>
  <si>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</si>
  <si>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</si>
  <si>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</si>
  <si>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</si>
  <si>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</si>
  <si>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</si>
  <si>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</si>
  <si>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</si>
  <si>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</si>
  <si>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</si>
  <si>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</si>
  <si>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</si>
  <si>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</si>
  <si>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</si>
  <si>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</si>
  <si>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</si>
  <si>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</si>
  <si>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</si>
  <si>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</si>
  <si>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</si>
  <si>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</si>
  <si>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</si>
  <si>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</si>
  <si>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</si>
  <si>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</si>
  <si>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</si>
  <si>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</si>
  <si>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</si>
  <si>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</si>
  <si>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</si>
  <si>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</si>
  <si>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</si>
  <si>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</si>
  <si>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</si>
  <si>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</si>
  <si>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</si>
  <si>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</si>
  <si>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</si>
  <si>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</si>
  <si>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</si>
  <si>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</si>
  <si>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</si>
  <si>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</si>
  <si>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</si>
  <si>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</si>
  <si>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</si>
  <si>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</si>
  <si>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</si>
  <si>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</si>
  <si>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</si>
  <si>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</si>
  <si>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</si>
  <si>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</si>
  <si>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</si>
  <si>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</si>
  <si>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</si>
  <si>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</si>
  <si>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</si>
  <si>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</si>
  <si>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</si>
  <si>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</si>
  <si>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</si>
  <si>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</si>
  <si>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</si>
  <si>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</si>
  <si>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</si>
  <si>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</si>
  <si>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</si>
  <si>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</si>
  <si>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</si>
  <si>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</si>
  <si>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</si>
  <si>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</si>
  <si>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</si>
  <si>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</si>
  <si>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</si>
  <si>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</si>
  <si>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</si>
  <si>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</si>
  <si>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</si>
  <si>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</si>
  <si>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</si>
  <si>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</si>
  <si>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</si>
  <si>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</si>
  <si>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</si>
  <si>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</si>
  <si>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</si>
  <si>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</si>
  <si>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</si>
  <si>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</si>
  <si>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</si>
  <si>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</si>
  <si>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</si>
  <si>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</si>
  <si>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</si>
  <si>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</si>
  <si>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</si>
  <si>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</si>
  <si>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</si>
  <si>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</si>
  <si>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</si>
  <si>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</si>
  <si>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</si>
  <si>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</si>
  <si>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</si>
  <si>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</si>
  <si>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</si>
  <si>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</si>
  <si>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</si>
  <si>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</si>
  <si>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</si>
  <si>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</si>
  <si>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</si>
  <si>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</si>
  <si>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</si>
  <si>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</si>
  <si>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</si>
  <si>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</si>
  <si>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</si>
  <si>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</si>
  <si>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</si>
  <si>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</si>
  <si>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</si>
  <si>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</si>
  <si>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</si>
  <si>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</si>
  <si>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</si>
  <si>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</si>
  <si>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</si>
  <si>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</si>
  <si>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</si>
  <si>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</si>
  <si>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</si>
  <si>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</si>
  <si>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</si>
  <si>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</si>
  <si>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</si>
  <si>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</si>
  <si>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</si>
  <si>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</si>
  <si>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</si>
  <si>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</si>
  <si>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</si>
  <si>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</si>
  <si>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</si>
  <si>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</si>
  <si>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</si>
  <si>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</si>
  <si>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</si>
  <si>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</si>
  <si>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</si>
  <si>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</si>
  <si>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</si>
  <si>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</si>
  <si>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</si>
  <si>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</si>
  <si>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</si>
  <si>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</si>
  <si>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</si>
  <si>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</si>
  <si>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</si>
  <si>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</si>
  <si>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</si>
  <si>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</si>
  <si>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</si>
  <si>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</si>
  <si>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</si>
  <si>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</si>
  <si>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</si>
  <si>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</si>
  <si>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</si>
  <si>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</si>
  <si>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</si>
  <si>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</si>
  <si>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</si>
  <si>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</si>
  <si>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</si>
  <si>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</si>
  <si>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</si>
  <si>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</si>
  <si>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</si>
  <si>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</si>
  <si>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</si>
  <si>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</si>
  <si>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</si>
  <si>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</si>
  <si>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</si>
  <si>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</si>
  <si>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</si>
  <si>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</si>
  <si>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</si>
  <si>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</si>
  <si>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</si>
  <si>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</si>
  <si>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</si>
  <si>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</si>
  <si>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</si>
  <si>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</si>
  <si>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</si>
  <si>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</si>
  <si>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</si>
  <si>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</si>
  <si>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</si>
  <si>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</si>
  <si>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</si>
  <si>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</si>
  <si>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</si>
  <si>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</si>
  <si>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</si>
  <si>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</si>
  <si>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</si>
  <si>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</si>
  <si>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</si>
  <si>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</si>
  <si>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</si>
  <si>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</si>
  <si>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</si>
  <si>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</si>
  <si>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</si>
  <si>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</si>
  <si>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</si>
  <si>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</si>
  <si>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</si>
  <si>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</si>
  <si>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</si>
  <si>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</si>
  <si>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</si>
  <si>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</si>
  <si>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</si>
  <si>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</si>
  <si>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</si>
  <si>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</si>
  <si>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</si>
  <si>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</si>
  <si>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</si>
  <si>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</si>
  <si>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</si>
  <si>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</si>
  <si>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</si>
  <si>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</si>
  <si>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</si>
  <si>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</si>
  <si>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</si>
  <si>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</si>
  <si>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</si>
  <si>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</si>
  <si>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</si>
  <si>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</si>
  <si>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</si>
  <si>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</si>
  <si>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</si>
  <si>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</si>
  <si>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</si>
  <si>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</si>
  <si>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</si>
  <si>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</si>
  <si>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</si>
  <si>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</si>
  <si>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</si>
  <si>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</si>
  <si>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</si>
  <si>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</si>
  <si>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</si>
  <si>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</si>
  <si>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</si>
  <si>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</si>
  <si>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</si>
  <si>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</si>
  <si>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</si>
  <si>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</si>
  <si>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</si>
  <si>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</si>
  <si>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</si>
  <si>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</si>
  <si>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</si>
  <si>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</si>
  <si>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</si>
  <si>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</si>
  <si>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</si>
  <si>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</si>
  <si>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</si>
  <si>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</si>
  <si>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</si>
  <si>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</si>
  <si>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</si>
  <si>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</si>
  <si>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</si>
  <si>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</si>
  <si>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</si>
  <si>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</si>
  <si>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</si>
  <si>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</si>
  <si>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</si>
  <si>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</si>
  <si>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</si>
  <si>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</si>
  <si>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</si>
  <si>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</si>
  <si>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</si>
  <si>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</si>
  <si>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</si>
  <si>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</si>
  <si>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</si>
  <si>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</si>
  <si>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</si>
  <si>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</si>
  <si>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</si>
  <si>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</si>
  <si>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</si>
  <si>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</si>
  <si>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</si>
  <si>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</si>
  <si>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</si>
  <si>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</si>
  <si>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</si>
  <si>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</si>
  <si>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</si>
  <si>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</si>
  <si>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</si>
  <si>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</si>
  <si>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</si>
  <si>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</si>
  <si>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</si>
  <si>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</si>
  <si>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</si>
  <si>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</si>
  <si>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</si>
  <si>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</si>
  <si>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</si>
  <si>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</si>
  <si>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</si>
  <si>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</si>
  <si>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</si>
  <si>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</si>
  <si>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</si>
  <si>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</si>
  <si>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</si>
  <si>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</si>
  <si>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</si>
  <si>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</si>
  <si>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</si>
  <si>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</si>
  <si>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</si>
  <si>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</si>
  <si>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</si>
  <si>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</si>
  <si>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</si>
  <si>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</si>
  <si>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</si>
  <si>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</si>
  <si>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</si>
  <si>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</si>
  <si>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</si>
  <si>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</si>
  <si>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</si>
  <si>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</si>
  <si>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</si>
  <si>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</si>
  <si>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</si>
  <si>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</si>
  <si>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</si>
  <si>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</si>
  <si>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</si>
  <si>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</si>
  <si>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</si>
  <si>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</si>
  <si>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</si>
  <si>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</si>
  <si>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</si>
  <si>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</si>
  <si>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</si>
  <si>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</si>
  <si>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</si>
  <si>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</si>
  <si>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</si>
  <si>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</si>
  <si>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</si>
  <si>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</si>
  <si>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</si>
  <si>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</si>
  <si>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</si>
  <si>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</si>
  <si>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</si>
  <si>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</si>
  <si>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</si>
  <si>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</si>
  <si>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</si>
  <si>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</si>
  <si>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</si>
  <si>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</si>
  <si>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</si>
  <si>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</si>
  <si>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</si>
  <si>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</si>
  <si>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</si>
  <si>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</si>
  <si>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</si>
  <si>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</si>
  <si>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</si>
  <si>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</si>
  <si>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</si>
  <si>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</si>
  <si>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</si>
  <si>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</si>
  <si>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</si>
  <si>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</si>
  <si>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</si>
  <si>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</si>
  <si>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</si>
  <si>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</si>
  <si>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</si>
  <si>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</si>
  <si>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</si>
  <si>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</si>
  <si>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</si>
  <si>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</si>
  <si>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</si>
  <si>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</si>
  <si>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</si>
  <si>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</si>
  <si>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</si>
  <si>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</si>
  <si>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</si>
  <si>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</si>
  <si>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</si>
  <si>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</si>
  <si>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</si>
  <si>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</si>
  <si>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</si>
  <si>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</si>
  <si>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</si>
  <si>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</si>
  <si>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</si>
  <si>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</si>
  <si>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</si>
  <si>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</si>
  <si>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</si>
  <si>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</si>
  <si>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</si>
  <si>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</si>
  <si>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</si>
  <si>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</si>
  <si>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</si>
  <si>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</si>
  <si>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</si>
  <si>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</si>
  <si>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</si>
  <si>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</si>
  <si>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</si>
  <si>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</si>
  <si>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</si>
  <si>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</si>
  <si>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</si>
  <si>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</si>
  <si>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</si>
  <si>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</si>
  <si>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</si>
  <si>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</si>
  <si>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</si>
  <si>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</si>
  <si>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</si>
  <si>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</si>
  <si>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</si>
  <si>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</si>
  <si>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</si>
  <si>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</si>
  <si>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</si>
  <si>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</si>
  <si>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</si>
  <si>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</si>
  <si>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</si>
  <si>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</si>
  <si>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</si>
  <si>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</si>
  <si>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</si>
  <si>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</si>
  <si>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</si>
  <si>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</si>
  <si>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</si>
  <si>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</si>
  <si>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</si>
  <si>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</si>
  <si>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</si>
  <si>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</si>
  <si>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</si>
  <si>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</si>
  <si>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</si>
  <si>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</si>
  <si>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</si>
  <si>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</si>
  <si>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</si>
  <si>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</si>
  <si>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</si>
  <si>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</si>
  <si>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</si>
  <si>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</si>
  <si>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</si>
  <si>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</si>
  <si>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</si>
  <si>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</si>
  <si>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</si>
  <si>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</si>
  <si>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</si>
  <si>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</si>
  <si>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</si>
  <si>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</si>
  <si>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</si>
  <si>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</si>
  <si>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</si>
  <si>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</si>
  <si>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</si>
  <si>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</si>
  <si>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</si>
  <si>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</si>
  <si>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</si>
  <si>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</si>
  <si>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</si>
  <si>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</si>
  <si>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</si>
  <si>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</si>
  <si>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</si>
  <si>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</si>
  <si>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</si>
  <si>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</si>
  <si>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</si>
  <si>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</si>
  <si>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</si>
  <si>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</si>
  <si>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</si>
  <si>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</si>
  <si>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</si>
  <si>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</si>
  <si>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</si>
  <si>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</si>
  <si>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</si>
  <si>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</si>
  <si>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</si>
  <si>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</si>
  <si>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</si>
  <si>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</si>
  <si>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</si>
  <si>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</si>
  <si>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</si>
  <si>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</si>
  <si>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</si>
  <si>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</si>
  <si>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</si>
  <si>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</si>
  <si>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</si>
  <si>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</si>
  <si>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</si>
  <si>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</si>
  <si>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</si>
  <si>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</si>
  <si>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</si>
  <si>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</si>
  <si>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</si>
  <si>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</si>
  <si>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</si>
  <si>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</si>
  <si>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</si>
  <si>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</si>
  <si>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</si>
  <si>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</si>
  <si>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</si>
  <si>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</si>
  <si>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</si>
  <si>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</si>
  <si>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</si>
  <si>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</si>
  <si>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</si>
  <si>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</si>
  <si>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</si>
  <si>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</si>
  <si>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</si>
  <si>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</si>
  <si>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</si>
  <si>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</si>
  <si>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</si>
  <si>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</si>
  <si>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</si>
  <si>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</si>
  <si>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</si>
  <si>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</si>
  <si>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</si>
  <si>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</si>
  <si>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</si>
  <si>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</si>
  <si>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</si>
  <si>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</si>
  <si>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</si>
  <si>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</si>
  <si>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</si>
  <si>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</si>
  <si>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</si>
  <si>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</si>
  <si>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</si>
  <si>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</si>
  <si>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</si>
  <si>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</si>
  <si>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</si>
  <si>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</si>
  <si>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</si>
  <si>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</si>
  <si>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</si>
  <si>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</si>
  <si>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</si>
  <si>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</si>
  <si>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</si>
  <si>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</si>
  <si>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</si>
  <si>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</si>
  <si>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</si>
  <si>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</si>
  <si>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</si>
  <si>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</si>
  <si>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</si>
  <si>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</si>
  <si>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</si>
  <si>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</si>
  <si>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</si>
  <si>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</si>
  <si>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</si>
  <si>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</si>
  <si>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</si>
  <si>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</si>
  <si>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</si>
  <si>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</si>
  <si>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</si>
  <si>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</si>
  <si>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</si>
  <si>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</si>
  <si>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</si>
  <si>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</si>
  <si>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</si>
  <si>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</si>
  <si>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</si>
  <si>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</si>
  <si>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</si>
  <si>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</si>
  <si>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</si>
  <si>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</si>
  <si>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</si>
  <si>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</si>
  <si>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</si>
  <si>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</si>
  <si>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</si>
  <si>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</si>
  <si>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</si>
  <si>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</si>
  <si>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</si>
  <si>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</si>
  <si>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</si>
  <si>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</si>
  <si>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</si>
  <si>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</si>
  <si>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</si>
  <si>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</si>
  <si>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</si>
  <si>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</si>
  <si>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</si>
  <si>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</si>
  <si>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</si>
  <si>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</si>
  <si>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</si>
  <si>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</si>
  <si>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</si>
  <si>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</si>
  <si>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</si>
  <si>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</si>
  <si>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</si>
  <si>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</si>
  <si>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</si>
  <si>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</si>
  <si>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</si>
  <si>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</si>
  <si>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</si>
  <si>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</si>
  <si>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</si>
  <si>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</si>
  <si>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</si>
  <si>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</si>
  <si>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</si>
  <si>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</si>
  <si>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</si>
  <si>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</si>
  <si>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</si>
  <si>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</si>
  <si>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</si>
  <si>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</si>
  <si>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</si>
  <si>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</si>
  <si>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</si>
  <si>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</si>
  <si>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</si>
  <si>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</si>
  <si>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</si>
  <si>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</si>
  <si>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</si>
  <si>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</si>
  <si>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</si>
  <si>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</si>
  <si>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</si>
  <si>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</si>
  <si>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</si>
  <si>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</si>
  <si>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</si>
  <si>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</si>
  <si>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</si>
  <si>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</si>
  <si>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</si>
  <si>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</si>
  <si>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</si>
  <si>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</si>
  <si>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</si>
  <si>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</si>
  <si>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</si>
  <si>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</si>
  <si>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</si>
  <si>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</si>
  <si>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</si>
  <si>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</si>
  <si>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</si>
  <si>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</si>
  <si>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</si>
  <si>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</si>
  <si>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</si>
  <si>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</si>
  <si>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</si>
  <si>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</si>
  <si>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</si>
  <si>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</si>
  <si>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</si>
  <si>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</si>
  <si>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</si>
  <si>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</si>
  <si>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</si>
  <si>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</si>
  <si>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</si>
  <si>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</si>
  <si>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</si>
  <si>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</si>
  <si>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</si>
  <si>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</si>
  <si>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</si>
  <si>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</si>
  <si>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</si>
  <si>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</si>
  <si>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</si>
  <si>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</si>
  <si>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</si>
  <si>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</si>
  <si>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</si>
  <si>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</si>
  <si>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</si>
  <si>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</si>
  <si>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</si>
  <si>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</si>
  <si>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</si>
  <si>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</si>
  <si>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</si>
  <si>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</si>
  <si>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</si>
  <si>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</si>
  <si>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</si>
  <si>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</si>
  <si>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</si>
  <si>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</si>
  <si>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</si>
  <si>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</si>
  <si>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</si>
  <si>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</si>
  <si>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</si>
  <si>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</si>
  <si>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</si>
  <si>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</si>
  <si>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</si>
  <si>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</si>
  <si>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</si>
  <si>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</si>
  <si>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</si>
  <si>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</si>
  <si>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</si>
  <si>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</si>
  <si>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</si>
  <si>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</si>
  <si>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</si>
  <si>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</si>
  <si>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</si>
  <si>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</si>
  <si>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</si>
  <si>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</si>
  <si>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</si>
  <si>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</si>
  <si>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</si>
  <si>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</si>
  <si>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</si>
  <si>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</si>
  <si>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</si>
  <si>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</si>
  <si>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</si>
  <si>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</si>
  <si>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</si>
  <si>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</si>
  <si>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</si>
  <si>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</si>
  <si>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</si>
  <si>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</si>
  <si>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</si>
  <si>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</si>
  <si>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</si>
  <si>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</si>
  <si>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</si>
  <si>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</si>
  <si>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</si>
  <si>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</si>
  <si>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</si>
  <si>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</si>
  <si>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</si>
  <si>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</si>
  <si>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</si>
  <si>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</si>
  <si>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</si>
  <si>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</si>
  <si>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</si>
  <si>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</si>
  <si>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</si>
  <si>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</si>
  <si>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</si>
  <si>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</si>
  <si>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</si>
  <si>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</si>
  <si>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</si>
  <si>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</si>
  <si>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</si>
  <si>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</si>
  <si>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</si>
  <si>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</si>
  <si>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</si>
  <si>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</si>
  <si>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</si>
  <si>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</si>
  <si>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</si>
  <si>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</si>
  <si>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</si>
  <si>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</si>
  <si>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</si>
  <si>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</si>
  <si>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</si>
  <si>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</si>
  <si>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</si>
  <si>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</si>
  <si>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</si>
  <si>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</si>
  <si>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</si>
  <si>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</si>
  <si>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</si>
  <si>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</si>
  <si>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</si>
  <si>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</si>
  <si>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</si>
  <si>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</si>
  <si>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</si>
  <si>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</si>
  <si>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</si>
  <si>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</si>
  <si>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</si>
  <si>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</si>
  <si>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</si>
  <si>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</si>
  <si>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</si>
  <si>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</si>
  <si>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</si>
  <si>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</si>
  <si>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</si>
  <si>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</si>
  <si>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</si>
  <si>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</si>
  <si>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</si>
  <si>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</si>
  <si>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</si>
  <si>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</si>
  <si>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</si>
  <si>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</si>
  <si>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</si>
  <si>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</si>
  <si>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</si>
  <si>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</si>
  <si>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</si>
  <si>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</si>
  <si>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</si>
  <si>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</si>
  <si>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</si>
  <si>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</si>
  <si>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</si>
  <si>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</si>
  <si>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</si>
  <si>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</si>
  <si>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</si>
  <si>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</si>
  <si>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</si>
  <si>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</si>
  <si>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</si>
  <si>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</si>
  <si>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</si>
  <si>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</si>
  <si>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</si>
  <si>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</si>
  <si>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</si>
  <si>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</si>
  <si>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</si>
  <si>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</si>
  <si>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</si>
  <si>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</si>
  <si>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</si>
  <si>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</si>
  <si>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</si>
  <si>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</si>
  <si>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</si>
  <si>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</si>
  <si>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</si>
  <si>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</si>
  <si>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</si>
  <si>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</si>
  <si>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</si>
  <si>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</si>
  <si>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</si>
  <si>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</si>
  <si>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</si>
  <si>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</si>
  <si>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</si>
  <si>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</si>
  <si>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</si>
  <si>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</si>
  <si>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</si>
  <si>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</si>
  <si>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</si>
  <si>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</si>
  <si>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</si>
  <si>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</si>
  <si>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</si>
  <si>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</si>
  <si>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</si>
  <si>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</si>
  <si>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</si>
  <si>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</si>
  <si>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</si>
  <si>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</si>
  <si>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</si>
  <si>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</si>
  <si>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</si>
  <si>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</si>
  <si>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</si>
  <si>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</si>
  <si>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</si>
  <si>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</si>
  <si>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</si>
  <si>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</si>
  <si>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</si>
  <si>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</si>
  <si>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</si>
  <si>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</si>
  <si>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</si>
  <si>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</si>
  <si>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</si>
  <si>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</si>
  <si>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</si>
  <si>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</si>
  <si>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</si>
  <si>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</si>
  <si>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</si>
  <si>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</si>
  <si>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</si>
  <si>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</si>
  <si>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</si>
  <si>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</si>
  <si>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</si>
  <si>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</si>
  <si>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</si>
  <si>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</si>
  <si>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</si>
  <si>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</si>
  <si>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</si>
  <si>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</si>
  <si>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</si>
  <si>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</si>
  <si>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</si>
  <si>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</si>
  <si>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</si>
  <si>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</si>
  <si>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</si>
  <si>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</si>
  <si>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</si>
  <si>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</si>
  <si>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</si>
  <si>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</si>
  <si>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</si>
  <si>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</si>
  <si>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</si>
  <si>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</si>
  <si>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</si>
  <si>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</si>
  <si>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</si>
  <si>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</si>
  <si>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</si>
  <si>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</si>
  <si>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</si>
  <si>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</si>
  <si>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</si>
  <si>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</si>
  <si>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</si>
  <si>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</si>
  <si>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</si>
  <si>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</si>
  <si>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</si>
  <si>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</si>
  <si>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</si>
  <si>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</si>
  <si>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</si>
  <si>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</si>
  <si>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</si>
  <si>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</si>
  <si>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</si>
  <si>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</si>
  <si>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</si>
  <si>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</si>
  <si>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</si>
  <si>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</si>
  <si>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</si>
  <si>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</si>
  <si>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</si>
  <si>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</si>
  <si>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</si>
  <si>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</si>
  <si>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</si>
  <si>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</si>
  <si>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</si>
  <si>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</si>
  <si>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</si>
  <si>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</si>
  <si>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</si>
  <si>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</si>
  <si>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</si>
  <si>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</si>
  <si>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</si>
  <si>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</si>
  <si>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</si>
  <si>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</si>
  <si>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</si>
  <si>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</si>
  <si>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</si>
  <si>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</si>
  <si>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</si>
  <si>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</si>
  <si>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</si>
  <si>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</si>
  <si>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</si>
  <si>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</si>
  <si>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</si>
  <si>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</si>
  <si>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</si>
  <si>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</si>
  <si>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</si>
  <si>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</si>
  <si>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</si>
  <si>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</si>
  <si>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</si>
  <si>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</si>
  <si>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</si>
  <si>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</si>
  <si>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</si>
  <si>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</si>
  <si>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</si>
  <si>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</si>
  <si>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</si>
  <si>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</si>
  <si>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</si>
  <si>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</si>
  <si>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</si>
  <si>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</si>
  <si>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</si>
  <si>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</si>
  <si>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</si>
  <si>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</si>
  <si>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</si>
  <si>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</si>
  <si>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</si>
  <si>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</si>
  <si>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</si>
  <si>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</si>
  <si>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</si>
  <si>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</si>
  <si>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</si>
  <si>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</si>
  <si>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</si>
  <si>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</si>
  <si>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</si>
  <si>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</si>
  <si>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</si>
  <si>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</si>
  <si>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</si>
  <si>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</si>
  <si>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</si>
  <si>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</si>
  <si>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</si>
  <si>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</si>
  <si>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</si>
  <si>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</si>
  <si>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</si>
  <si>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</si>
  <si>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</si>
  <si>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</si>
  <si>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</si>
  <si>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</si>
  <si>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</si>
  <si>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</si>
  <si>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</si>
  <si>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</si>
  <si>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</si>
  <si>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</si>
  <si>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</si>
  <si>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</si>
  <si>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</si>
  <si>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</si>
  <si>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</si>
  <si>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</si>
  <si>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</si>
  <si>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</si>
  <si>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</si>
  <si>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</si>
  <si>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</si>
  <si>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</si>
  <si>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</si>
  <si>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</si>
  <si>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</si>
  <si>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</si>
  <si>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</si>
  <si>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</si>
  <si>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</si>
  <si>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</si>
  <si>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</si>
  <si>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</si>
  <si>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</si>
  <si>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</si>
  <si>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</si>
  <si>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</si>
  <si>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</si>
  <si>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</si>
  <si>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</si>
  <si>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</si>
  <si>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</si>
  <si>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</si>
  <si>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</si>
  <si>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</si>
  <si>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</si>
  <si>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</si>
  <si>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</si>
  <si>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</si>
  <si>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</si>
  <si>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</si>
  <si>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</si>
  <si>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</si>
  <si>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</si>
  <si>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</si>
  <si>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</si>
  <si>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</si>
  <si>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</si>
  <si>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</si>
  <si>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</si>
  <si>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</si>
  <si>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</si>
  <si>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</si>
  <si>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</si>
  <si>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</si>
  <si>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</si>
  <si>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</si>
  <si>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</si>
  <si>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</si>
  <si>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</si>
  <si>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</si>
  <si>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</si>
  <si>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</si>
  <si>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</si>
  <si>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</si>
  <si>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</si>
  <si>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</si>
  <si>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</si>
  <si>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</si>
  <si>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</si>
  <si>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</si>
  <si>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</si>
  <si>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</si>
  <si>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</si>
  <si>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</si>
  <si>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</si>
  <si>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</si>
  <si>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</si>
  <si>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</si>
  <si>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</si>
  <si>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</si>
  <si>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</si>
  <si>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</si>
  <si>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</si>
  <si>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</si>
  <si>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</si>
  <si>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</si>
  <si>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</si>
  <si>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</si>
  <si>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</si>
  <si>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</si>
  <si>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</si>
  <si>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</si>
  <si>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</si>
  <si>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</si>
  <si>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</si>
  <si>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</si>
  <si>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</si>
  <si>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</si>
  <si>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</si>
  <si>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</si>
  <si>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</si>
  <si>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</si>
  <si>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</si>
  <si>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</si>
  <si>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</si>
  <si>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</si>
  <si>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</si>
  <si>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</si>
  <si>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</si>
  <si>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</si>
  <si>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</si>
  <si>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</si>
  <si>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</si>
  <si>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</si>
  <si>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</si>
  <si>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</si>
  <si>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</si>
  <si>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</si>
  <si>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</si>
  <si>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</si>
  <si>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</si>
  <si>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</si>
  <si>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</si>
  <si>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</si>
  <si>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</si>
  <si>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</si>
  <si>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</si>
  <si>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</si>
  <si>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</si>
  <si>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</si>
  <si>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</si>
  <si>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</si>
  <si>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</si>
  <si>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</si>
  <si>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</si>
  <si>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</si>
  <si>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</si>
  <si>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</si>
  <si>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</si>
  <si>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</si>
  <si>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</si>
  <si>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</si>
  <si>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</si>
  <si>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</si>
  <si>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</si>
  <si>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</si>
  <si>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</si>
  <si>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</si>
  <si>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</si>
  <si>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</si>
  <si>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</si>
  <si>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</si>
  <si>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</si>
  <si>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</si>
  <si>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</si>
  <si>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</si>
  <si>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</si>
  <si>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</si>
  <si>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</si>
  <si>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</si>
  <si>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</si>
  <si>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</si>
  <si>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</si>
  <si>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</si>
  <si>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</si>
  <si>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</si>
  <si>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</si>
  <si>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</si>
  <si>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</si>
  <si>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</si>
  <si>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</si>
  <si>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</si>
  <si>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</si>
  <si>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</si>
  <si>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</si>
  <si>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</si>
  <si>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</si>
  <si>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</si>
  <si>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</si>
  <si>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</si>
  <si>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</si>
  <si>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</si>
  <si>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</si>
  <si>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</si>
  <si>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</si>
  <si>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</si>
  <si>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</si>
  <si>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</si>
  <si>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</si>
  <si>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</si>
  <si>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</si>
  <si>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</si>
  <si>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</si>
  <si>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</si>
  <si>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</si>
  <si>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</si>
  <si>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</si>
  <si>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</si>
  <si>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</si>
  <si>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</si>
  <si>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</si>
  <si>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</si>
  <si>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</si>
  <si>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</si>
  <si>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</si>
  <si>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</si>
  <si>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</si>
  <si>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</si>
  <si>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</si>
  <si>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</si>
  <si>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</si>
  <si>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</si>
  <si>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</si>
  <si>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</si>
  <si>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</si>
  <si>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</si>
  <si>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</si>
  <si>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</si>
  <si>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</si>
  <si>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</si>
  <si>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</si>
  <si>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</si>
  <si>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</si>
  <si>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</si>
  <si>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</si>
  <si>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</si>
  <si>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</si>
  <si>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</si>
  <si>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</si>
  <si>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</si>
  <si>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</si>
  <si>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</si>
  <si>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</si>
  <si>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</si>
  <si>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</si>
  <si>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</si>
  <si>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</si>
  <si>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</si>
  <si>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</si>
  <si>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</si>
  <si>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</si>
  <si>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</si>
  <si>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</si>
  <si>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</si>
  <si>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</si>
  <si>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</si>
  <si>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</si>
  <si>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</si>
  <si>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</si>
  <si>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</si>
  <si>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</si>
  <si>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</si>
  <si>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</si>
  <si>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</si>
  <si>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</si>
  <si>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</si>
  <si>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</si>
  <si>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</si>
  <si>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</si>
  <si>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</si>
  <si>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</si>
  <si>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</si>
  <si>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</si>
  <si>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</si>
  <si>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</si>
  <si>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</si>
  <si>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</si>
  <si>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</si>
  <si>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</si>
  <si>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</si>
  <si>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</si>
  <si>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</si>
  <si>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</si>
  <si>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</si>
  <si>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</si>
  <si>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</si>
  <si>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</si>
  <si>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</si>
  <si>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</si>
  <si>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</si>
  <si>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</si>
  <si>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</si>
  <si>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</si>
  <si>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</si>
  <si>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</si>
  <si>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</si>
  <si>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</si>
  <si>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</si>
  <si>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</si>
  <si>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</si>
  <si>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</si>
  <si>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</si>
  <si>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</si>
  <si>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</si>
  <si>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</si>
  <si>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</si>
  <si>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</si>
  <si>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</si>
  <si>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</si>
  <si>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</si>
  <si>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</si>
  <si>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</si>
  <si>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</si>
  <si>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</si>
  <si>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</si>
  <si>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</si>
  <si>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</si>
  <si>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</si>
  <si>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</si>
  <si>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</si>
  <si>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</si>
  <si>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</si>
  <si>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</si>
  <si>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</si>
  <si>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</si>
  <si>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</si>
  <si>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</si>
  <si>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</si>
  <si>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</si>
  <si>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</si>
  <si>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</si>
  <si>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</si>
  <si>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</si>
  <si>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</si>
  <si>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</si>
  <si>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</si>
  <si>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</si>
  <si>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</si>
  <si>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</si>
  <si>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</si>
  <si>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</si>
  <si>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</si>
  <si>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</si>
  <si>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</si>
  <si>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</si>
  <si>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</si>
  <si>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</si>
  <si>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</si>
  <si>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</si>
  <si>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</si>
  <si>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</si>
  <si>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</si>
  <si>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</si>
  <si>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</si>
  <si>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</si>
  <si>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</si>
  <si>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</si>
  <si>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</si>
  <si>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</si>
  <si>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</si>
  <si>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</si>
  <si>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</si>
  <si>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</si>
  <si>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</si>
  <si>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</si>
  <si>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</si>
  <si>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</si>
  <si>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</si>
  <si>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</si>
  <si>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</si>
  <si>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</si>
  <si>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</si>
  <si>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</si>
  <si>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</si>
  <si>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</si>
  <si>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</si>
  <si>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</si>
  <si>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</si>
  <si>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</si>
  <si>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</si>
  <si>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</si>
  <si>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</si>
  <si>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</si>
  <si>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</si>
  <si>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</si>
  <si>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</si>
  <si>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</si>
  <si>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</si>
  <si>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</si>
  <si>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</si>
  <si>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</si>
  <si>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</si>
  <si>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</si>
  <si>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</si>
  <si>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</si>
  <si>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</si>
  <si>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</si>
  <si>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</si>
  <si>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</si>
  <si>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</si>
  <si>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</si>
  <si>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</si>
  <si>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</si>
  <si>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</si>
  <si>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</si>
  <si>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</si>
  <si>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</si>
  <si>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</si>
  <si>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</si>
  <si>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</si>
  <si>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</si>
  <si>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</si>
  <si>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</si>
  <si>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</si>
  <si>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</si>
  <si>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</si>
  <si>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</si>
  <si>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</si>
  <si>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</si>
  <si>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</si>
  <si>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</si>
  <si>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</si>
  <si>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</si>
  <si>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</si>
  <si>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</si>
  <si>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</si>
  <si>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</si>
  <si>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</si>
  <si>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</si>
  <si>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</si>
  <si>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</si>
  <si>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</si>
  <si>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</si>
  <si>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</si>
  <si>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</si>
  <si>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</si>
  <si>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</si>
  <si>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</si>
  <si>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</si>
  <si>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</si>
  <si>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</si>
  <si>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</si>
  <si>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</si>
  <si>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</si>
  <si>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</si>
  <si>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</si>
  <si>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</si>
  <si>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</si>
  <si>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</si>
  <si>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</si>
  <si>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</si>
  <si>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</si>
  <si>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</si>
  <si>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</si>
  <si>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</si>
  <si>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</si>
  <si>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</si>
  <si>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</si>
  <si>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</si>
  <si>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</si>
  <si>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</si>
  <si>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</si>
  <si>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</si>
  <si>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</si>
  <si>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</si>
  <si>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</si>
  <si>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</si>
  <si>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</si>
  <si>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</si>
  <si>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</si>
  <si>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</si>
  <si>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</si>
  <si>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</si>
  <si>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</si>
  <si>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</si>
  <si>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</si>
  <si>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</si>
  <si>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</si>
  <si>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</si>
  <si>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</si>
  <si>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</si>
  <si>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</si>
  <si>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</si>
  <si>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</si>
  <si>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</si>
  <si>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</si>
  <si>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</si>
  <si>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</si>
  <si>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</si>
  <si>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</si>
  <si>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</si>
  <si>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</si>
  <si>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</si>
  <si>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</si>
  <si>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</si>
  <si>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</si>
  <si>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</si>
  <si>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</si>
  <si>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</si>
  <si>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</si>
  <si>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</si>
  <si>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</si>
  <si>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</si>
  <si>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</si>
  <si>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</si>
  <si>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</si>
  <si>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</si>
  <si>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</si>
  <si>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</si>
  <si>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</si>
  <si>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</si>
  <si>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</si>
  <si>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</si>
  <si>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</si>
  <si>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</si>
  <si>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</si>
  <si>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</si>
  <si>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</si>
  <si>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</si>
  <si>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</si>
  <si>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</si>
  <si>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</si>
  <si>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</si>
  <si>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</si>
  <si>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</si>
  <si>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</si>
  <si>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</si>
  <si>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</si>
  <si>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</si>
  <si>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</si>
  <si>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</si>
  <si>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</si>
  <si>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</si>
  <si>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</si>
  <si>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</si>
  <si>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</si>
  <si>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</si>
  <si>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</si>
  <si>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</si>
  <si>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</si>
  <si>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</si>
  <si>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</si>
  <si>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</si>
  <si>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</si>
  <si>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</si>
  <si>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</si>
  <si>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</si>
  <si>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</si>
  <si>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</si>
  <si>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</si>
  <si>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</si>
  <si>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</si>
  <si>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</si>
  <si>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</si>
  <si>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</si>
  <si>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</si>
  <si>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</si>
  <si>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</si>
  <si>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</si>
  <si>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</si>
  <si>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</si>
  <si>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</si>
  <si>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</si>
  <si>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</si>
  <si>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</si>
  <si>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</si>
  <si>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</si>
  <si>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</si>
  <si>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</si>
  <si>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</si>
  <si>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</si>
  <si>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</si>
  <si>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</si>
  <si>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</si>
  <si>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</si>
  <si>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</si>
  <si>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</si>
  <si>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</si>
  <si>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</si>
  <si>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</si>
  <si>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</si>
  <si>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</si>
  <si>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</si>
  <si>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</si>
  <si>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</si>
  <si>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</si>
  <si>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</si>
  <si>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</si>
  <si>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</si>
  <si>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</si>
  <si>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</si>
  <si>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</si>
  <si>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</si>
  <si>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</si>
  <si>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</si>
  <si>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</si>
  <si>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</si>
  <si>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</si>
  <si>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</si>
  <si>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</si>
  <si>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</si>
  <si>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</si>
  <si>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</si>
  <si>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</si>
  <si>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</si>
  <si>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</si>
  <si>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</si>
  <si>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</si>
  <si>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</si>
  <si>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</si>
  <si>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</si>
  <si>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</si>
  <si>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</si>
  <si>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</si>
  <si>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</si>
  <si>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</si>
  <si>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</si>
  <si>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</si>
  <si>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</si>
  <si>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</si>
  <si>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</si>
  <si>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</si>
  <si>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</si>
  <si>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</si>
  <si>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</si>
  <si>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</si>
  <si>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</si>
  <si>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</si>
  <si>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</si>
  <si>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</si>
  <si>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</si>
  <si>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</si>
  <si>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</si>
  <si>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</si>
  <si>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</si>
  <si>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</si>
  <si>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</si>
  <si>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</si>
  <si>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</si>
  <si>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</si>
  <si>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</si>
  <si>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</si>
  <si>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</si>
  <si>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</si>
  <si>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</si>
  <si>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</si>
  <si>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</si>
  <si>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</si>
  <si>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</si>
  <si>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</si>
  <si>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</si>
  <si>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</si>
  <si>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</si>
  <si>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</si>
  <si>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</si>
  <si>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</si>
  <si>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</si>
  <si>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</si>
  <si>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</si>
  <si>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</si>
  <si>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</si>
  <si>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</si>
  <si>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</si>
  <si>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</si>
  <si>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</si>
  <si>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</si>
  <si>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</si>
  <si>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</si>
  <si>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</si>
  <si>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</si>
  <si>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</si>
  <si>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</si>
  <si>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</si>
  <si>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</si>
  <si>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</si>
  <si>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</si>
  <si>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</si>
  <si>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</si>
  <si>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</si>
  <si>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</si>
  <si>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</si>
  <si>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</si>
  <si>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</si>
  <si>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</si>
  <si>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</si>
  <si>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</si>
  <si>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</si>
  <si>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</si>
  <si>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</si>
  <si>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</si>
  <si>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</si>
  <si>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</si>
  <si>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</si>
  <si>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</si>
  <si>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</si>
  <si>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</si>
  <si>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</si>
  <si>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</si>
  <si>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</si>
  <si>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</si>
  <si>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</si>
  <si>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</si>
  <si>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</si>
  <si>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</si>
  <si>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</si>
  <si>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</si>
  <si>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</si>
  <si>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</si>
  <si>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</si>
  <si>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</si>
  <si>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</si>
  <si>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</si>
  <si>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</si>
  <si>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</si>
  <si>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</si>
  <si>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</si>
  <si>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</si>
  <si>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</si>
  <si>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</si>
  <si>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</si>
  <si>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</si>
  <si>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</si>
  <si>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</si>
  <si>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</si>
  <si>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</si>
  <si>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</si>
  <si>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</si>
  <si>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</si>
  <si>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</si>
  <si>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</si>
  <si>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</si>
  <si>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</si>
  <si>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</si>
  <si>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</si>
  <si>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</si>
  <si>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</si>
  <si>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</si>
  <si>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</si>
  <si>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</si>
  <si>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</si>
  <si>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</si>
  <si>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</si>
  <si>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</si>
  <si>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</si>
  <si>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</si>
  <si>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</si>
  <si>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</si>
  <si>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</si>
  <si>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</si>
  <si>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</si>
  <si>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</si>
  <si>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</si>
  <si>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</si>
  <si>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</si>
  <si>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</si>
  <si>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</si>
  <si>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</si>
  <si>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</si>
  <si>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</si>
  <si>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</si>
  <si>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</si>
  <si>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</si>
  <si>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</si>
  <si>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</si>
  <si>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</si>
  <si>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</si>
  <si>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</si>
  <si>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</si>
  <si>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</si>
  <si>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</si>
  <si>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</si>
  <si>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</si>
  <si>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</si>
  <si>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</si>
  <si>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</si>
  <si>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</si>
  <si>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</si>
  <si>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</si>
  <si>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</si>
  <si>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</si>
  <si>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</si>
  <si>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</si>
  <si>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</si>
  <si>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</si>
  <si>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</si>
  <si>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</si>
  <si>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</si>
  <si>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</si>
  <si>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</si>
  <si>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</si>
  <si>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</si>
  <si>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</si>
  <si>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</si>
  <si>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</si>
  <si>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</si>
  <si>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</si>
  <si>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</si>
  <si>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</si>
  <si>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</si>
  <si>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</si>
  <si>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</si>
  <si>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</si>
  <si>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</si>
  <si>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</si>
  <si>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</si>
  <si>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</si>
  <si>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</si>
  <si>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</si>
  <si>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</si>
  <si>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</si>
  <si>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</si>
  <si>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</si>
  <si>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</si>
  <si>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</si>
  <si>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</si>
  <si>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</si>
  <si>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</si>
  <si>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</si>
  <si>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</si>
  <si>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</si>
  <si>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</si>
  <si>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</si>
  <si>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</si>
  <si>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</si>
  <si>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</si>
  <si>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</si>
  <si>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</si>
  <si>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</si>
  <si>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</si>
  <si>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</si>
  <si>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</si>
  <si>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</si>
  <si>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</si>
  <si>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</si>
  <si>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</si>
  <si>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</si>
  <si>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</si>
  <si>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</si>
  <si>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</si>
  <si>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</si>
  <si>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</si>
  <si>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</si>
  <si>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</si>
  <si>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</si>
  <si>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</si>
  <si>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</si>
  <si>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</si>
  <si>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</si>
  <si>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</si>
  <si>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</si>
  <si>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</si>
  <si>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</si>
  <si>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</si>
  <si>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</si>
  <si>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</si>
  <si>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</si>
  <si>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</si>
  <si>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</si>
  <si>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</si>
  <si>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</si>
  <si>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</si>
  <si>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</si>
  <si>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</si>
  <si>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</si>
  <si>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</si>
  <si>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</si>
  <si>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</si>
  <si>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</si>
  <si>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</si>
  <si>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</si>
  <si>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</si>
  <si>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</si>
  <si>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</si>
  <si>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</si>
  <si>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</si>
  <si>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</si>
  <si>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</si>
  <si>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</si>
  <si>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</si>
  <si>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</si>
  <si>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</si>
  <si>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</si>
  <si>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</si>
  <si>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</si>
  <si>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</si>
  <si>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</si>
  <si>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</si>
  <si>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</si>
  <si>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</si>
  <si>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</si>
  <si>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</si>
  <si>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</si>
  <si>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</si>
  <si>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</si>
  <si>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</si>
  <si>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</si>
  <si>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</si>
  <si>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</si>
  <si>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</si>
  <si>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</si>
  <si>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</si>
  <si>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</si>
  <si>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</si>
  <si>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</si>
  <si>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</si>
  <si>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</si>
  <si>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</si>
  <si>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</si>
  <si>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</si>
  <si>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</si>
  <si>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</si>
  <si>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</si>
  <si>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</si>
  <si>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</si>
  <si>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</si>
  <si>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</si>
  <si>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</si>
  <si>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</si>
  <si>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</si>
  <si>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</si>
  <si>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</si>
  <si>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</si>
  <si>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</si>
  <si>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</si>
  <si>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</si>
  <si>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</si>
  <si>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</si>
  <si>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</si>
  <si>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</si>
  <si>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H000002265 Cardiovascular</t>
  </si>
  <si>
    <t>H000002264 Diabetes</t>
  </si>
  <si>
    <t>H000002266 Thyroids</t>
  </si>
  <si>
    <t>H000002267 Endocrinology</t>
  </si>
  <si>
    <t>Estela Belda Menendez</t>
  </si>
  <si>
    <t xml:space="preserve">CNOW_7210$$$0000498035 </t>
  </si>
  <si>
    <t>DFLTPGCOH_BF-C8_002108</t>
  </si>
  <si>
    <t>H000000948 Global Strategic Insights - GSI</t>
  </si>
  <si>
    <t>Unmapped</t>
  </si>
  <si>
    <t>FR7967809</t>
  </si>
  <si>
    <t>PLEAN_X310201VN5011200 FD COM Advertising</t>
  </si>
  <si>
    <t>LEAN_X310201VN5011000</t>
  </si>
  <si>
    <t>FR7968675</t>
  </si>
  <si>
    <t>CFLTFLE_1044BPOE BP - Others  ISS</t>
  </si>
  <si>
    <t>DFLTPGCOH_DIV-31_001044</t>
  </si>
  <si>
    <t>FR7968701</t>
  </si>
  <si>
    <t>PLEAN_X310301DE6215305 1401_LK_B4_DIA_PROMO OTH</t>
  </si>
  <si>
    <t>FR7968788</t>
  </si>
  <si>
    <t>H000000417</t>
  </si>
  <si>
    <t>H000001318</t>
  </si>
  <si>
    <t>H000001115 - General Management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</si>
  <si>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</si>
  <si>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</si>
  <si>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</si>
  <si>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</si>
  <si>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</si>
  <si>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</si>
  <si>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</si>
  <si>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</si>
  <si>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</si>
  <si>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</si>
  <si>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</si>
  <si>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H000004393 - [CN - Local studies Pimi MA]</t>
  </si>
  <si>
    <t>H000004392 - [CN - Medical activities Pimi MA]</t>
  </si>
  <si>
    <t>H000001382 - [CN - CM&amp;E Sales Promotion MKT]</t>
  </si>
  <si>
    <t>H000001505 - [CN - Medical activities CM&amp;E MA]</t>
  </si>
  <si>
    <t>H000004390 - [CN - Onco Sales Promotion Pimi MKT]</t>
  </si>
  <si>
    <t>H000001422 - [CN - Onco Sales Promotion ERB MKT]</t>
  </si>
  <si>
    <t>H000004199 - [CN-FD SP MKT Non-HCP Head]</t>
  </si>
  <si>
    <t>FR7969110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</si>
</sst>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99" totalsRowShown="0">
  <autoFilter ref="A1:S4699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B1344" sqref="B1344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99"/>
  <sheetViews>
    <sheetView tabSelected="1" topLeftCell="A4678" zoomScale="105" zoomScaleNormal="105" workbookViewId="0">
      <selection activeCell="D4687" sqref="D4687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31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236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211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211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211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211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211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211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211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211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211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211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211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207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204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204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204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204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204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204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204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204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204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204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204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204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204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204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204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204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204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204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204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204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204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204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204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204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204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204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204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204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204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204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204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204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204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204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204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204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204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204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204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204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204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203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203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203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203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203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203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203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203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203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203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203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203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203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203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203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203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203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203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203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203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203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203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203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203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203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203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203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203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203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203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203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203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203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203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203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203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203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203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203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203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203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203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203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203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203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203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203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203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203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203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203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203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203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203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203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203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203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203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203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202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202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202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202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202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201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201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199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199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198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195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195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195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195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195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195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195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195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195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195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195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195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195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195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195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195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195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195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195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195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195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194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194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194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194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194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189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189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189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184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184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184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184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184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184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184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184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184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184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184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184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184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184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184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184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184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184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180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180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180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175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174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174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174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174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174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174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174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174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174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174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174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174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160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160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159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159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159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149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134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134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134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134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134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134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134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134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134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134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134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134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134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134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134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134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134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134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134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134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131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131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131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131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130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130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130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130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130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130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130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130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130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130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130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130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130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130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130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130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130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130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130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130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130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130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130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130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130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130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130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130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130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130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129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129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129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129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129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129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129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129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129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129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129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129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129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129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129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129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129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129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125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125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125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125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125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125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125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125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125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125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125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125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125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125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125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125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125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125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125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125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125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125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125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125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125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125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125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125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125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125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125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125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125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125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125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125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125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125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125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125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125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125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125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125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125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125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125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125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125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125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125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125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125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125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125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125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125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125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125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125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125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125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125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125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125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125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125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125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125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125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125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125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125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125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125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125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125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125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125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125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125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125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125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125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125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125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125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125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125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125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125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125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119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119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114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114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109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109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109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109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109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109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109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109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109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109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109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109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109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109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109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109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109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109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109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109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109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109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109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109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109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109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109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109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109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109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109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109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109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109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109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109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109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109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109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109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109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109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109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109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109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109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109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109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109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109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109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109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109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109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109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109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109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109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109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109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109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109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109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109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109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109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109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109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109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109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109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109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109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109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109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109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109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109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109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109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109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109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109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109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109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109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109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109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109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109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109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109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109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109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109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109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109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109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109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109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109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109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109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109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109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106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106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106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106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107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104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104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99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99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99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99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99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99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99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99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99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99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99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97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97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97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97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97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97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97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97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97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97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97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97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97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97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97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97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97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97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97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97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97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97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97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97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97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97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97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97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97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97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97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97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97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97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97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97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97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97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97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97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97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97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97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97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97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97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97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97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97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97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97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97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97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97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97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97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97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97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97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97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97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97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97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97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97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97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97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97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97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97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97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97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97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97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97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97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97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97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97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97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97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97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97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97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97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97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97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97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97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97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97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97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97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97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97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97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97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97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97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97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97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97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97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97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97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97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97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97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97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97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97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97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97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97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97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97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97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97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97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97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97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97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97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97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97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97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97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97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97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97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97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97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97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97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97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97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97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97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97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97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97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97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97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97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97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97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97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97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97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97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97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97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97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97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97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97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97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97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97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97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97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97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97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97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97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97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97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97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97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97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97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97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97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97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97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97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97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97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97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97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97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97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97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97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97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97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97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97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97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97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97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97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97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97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97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97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97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97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97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97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97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97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97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97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97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97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97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97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97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97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97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97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97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97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97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97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97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97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97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97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97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97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97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97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97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97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97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97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97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97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97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97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97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97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97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97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97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97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97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97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97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97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97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97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97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97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97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97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97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97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97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97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97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97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97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97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97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97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97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97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97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97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97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97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97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97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97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97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97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97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97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97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97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97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97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97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97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97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97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97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97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97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97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97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97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97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97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97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97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97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97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97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97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97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97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97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97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97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97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97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97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97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97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97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97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97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97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97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97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97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97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97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97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97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97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97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97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97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97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97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97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97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97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97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97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97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97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97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97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97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97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97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97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97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97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95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95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95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95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95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95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95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95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95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95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94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94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94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93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93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93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93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93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93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92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92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90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89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89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89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88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88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88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86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86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86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86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86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86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86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83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83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83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83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83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83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83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83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83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83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83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83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83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83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83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83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83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83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83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83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83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83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83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83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83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83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83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83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83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82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82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80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80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80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80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80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80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80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80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80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80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78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78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78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78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78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78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78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78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77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77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77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77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77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77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77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77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77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77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77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77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77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77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77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77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77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75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75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75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75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75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75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75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75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75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75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75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75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75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75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75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75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75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75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75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75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75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75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75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75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75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75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75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75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75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75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75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75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75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75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75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75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75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75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75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75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75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75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75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75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75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75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75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75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75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75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75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75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75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75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75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75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75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75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75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75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75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75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75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75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75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75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75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75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75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75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75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75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75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75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75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75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75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75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75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75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75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75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75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75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75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75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75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75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75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75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75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75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75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75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75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75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75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75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75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75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75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75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75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75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75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75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75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75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75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75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75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75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75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75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75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75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75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75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75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75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75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75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75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75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75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75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75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75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75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75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75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75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75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75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75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75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75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75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75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75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75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75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75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75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75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75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75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75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75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75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75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75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75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75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75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75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75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75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75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75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75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75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75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75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75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75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75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75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75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75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75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75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75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75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75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75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75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75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75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75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75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75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75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75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75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75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75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75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75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75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75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75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75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75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75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75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75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75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75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75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75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75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75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75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75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75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75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75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75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75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75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75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75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75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75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75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75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75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75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75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75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75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75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75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75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75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75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75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75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75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75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75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75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75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75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75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75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75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75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75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75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75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75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75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75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75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75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75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75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75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75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75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75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75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75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75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75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75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75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75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75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75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75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75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75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75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75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75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75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75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75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75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75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75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75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75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75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75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75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75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75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75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75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75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75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75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75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75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75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75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75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75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75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75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75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74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74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74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74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74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74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74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74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74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74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74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74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74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74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74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74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74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74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74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74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74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74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74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74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74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74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74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74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74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74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74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74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74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74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74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74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74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74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74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74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74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74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74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74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74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74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74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74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74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74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74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74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74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74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74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74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74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74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74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74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74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74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74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74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74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74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74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74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74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74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74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74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74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74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74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74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74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74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74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74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74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74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74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74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74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74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74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74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74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74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74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74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74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74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74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74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74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74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74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74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74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74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74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74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74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74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74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74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74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74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74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74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74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74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74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74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74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74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74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74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74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74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74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74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74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74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74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74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74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74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74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74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74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74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74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74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74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74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74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74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74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74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74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74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74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74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74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74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74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74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74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74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74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74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74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74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74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74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74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74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74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74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74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74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74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74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74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74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74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74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74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74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74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74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74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74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74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74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74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74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74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74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74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74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74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74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74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74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74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74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74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74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74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74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74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74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74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74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74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74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74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74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71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71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71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71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71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71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71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71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71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71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71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71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71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71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71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71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71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71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71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71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71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71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71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71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71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71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71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71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71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71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71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71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71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71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71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71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71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71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71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71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71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71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71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70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70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69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69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69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69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69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69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69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68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68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68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67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67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67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67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67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67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67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67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67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67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67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67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67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67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67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67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67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67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67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67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67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67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67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67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67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67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67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67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67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67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67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67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67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67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67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67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67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67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67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67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67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67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67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67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67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67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67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67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67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67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67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67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67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67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67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67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67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67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67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67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67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67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67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67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67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67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67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67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67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67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67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67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67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67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67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67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67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67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67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67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67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67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67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67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67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67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67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67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67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67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67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67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67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67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66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66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66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66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66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66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66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66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66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66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66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66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66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66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66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66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66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66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66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65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65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65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65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65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65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65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65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65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65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65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65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65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65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65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65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65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65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64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64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64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64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64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64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64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64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64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64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64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64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61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61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61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61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61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61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61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61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61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61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61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61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61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61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61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61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61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61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61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61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61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61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61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61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61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61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61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61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61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60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60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60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60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60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60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60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60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60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60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60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60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60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60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60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60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60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60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60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60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60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60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60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60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60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60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60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60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60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60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60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60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60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60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60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59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59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59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59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59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59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59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59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59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59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59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59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59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59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59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59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59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59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59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59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59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59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59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59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59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59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59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59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59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59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59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59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59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59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59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59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59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59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59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59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59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59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59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59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59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59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59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59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59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59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59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59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59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59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59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59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59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59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59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59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59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59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59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59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59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59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59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59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59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59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59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59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59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59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59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59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59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59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59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59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59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59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59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59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59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59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59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59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59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59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59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59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59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59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59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59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59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59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59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59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59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59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59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59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59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59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59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59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59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59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59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59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59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59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59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59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59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59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59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59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59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59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59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59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59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59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59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59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59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59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59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59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59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59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59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59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59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59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59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59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59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59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59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59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59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59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59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59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59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59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59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59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59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59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59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59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59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59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59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59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59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59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59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59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59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59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59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59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59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59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59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59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59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59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59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59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59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59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59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59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59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59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59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59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59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59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59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59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59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59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59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59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59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59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59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59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59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59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59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59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59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59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59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59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59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59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59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59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59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59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59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59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59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59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59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59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59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59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59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59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59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59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59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59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59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59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59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59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59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59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59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59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59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59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59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59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57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57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57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57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57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57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57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57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57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57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57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57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57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57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57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57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56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56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56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56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56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56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56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56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56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56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56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56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56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56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56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56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56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56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56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56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56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56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56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56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56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56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56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56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56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56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56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56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56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56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56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56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56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56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56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55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55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55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55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55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55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55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55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55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55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55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55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55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55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55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55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55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55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54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54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54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54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54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54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54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54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54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54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54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54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54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54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54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54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54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54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54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54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54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54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54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54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54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54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54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54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54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54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54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54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54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54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54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54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54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54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54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54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54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54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54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54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54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54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54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54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54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54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54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54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54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54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54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54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54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54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54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54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54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54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54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54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54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54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54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54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54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54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54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54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54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54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54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54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54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54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54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54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54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54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54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54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54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54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54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54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54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54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54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54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54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54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54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54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54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54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54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54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54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54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54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54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54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54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54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54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54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54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54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54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54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54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54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50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50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50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50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50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50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50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50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50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50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50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50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49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49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49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49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49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49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49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49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49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49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49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49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49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49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49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49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49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49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49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49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49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49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49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49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49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49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49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49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49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49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49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46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46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46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46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46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46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46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46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46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45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44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44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44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44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44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44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43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43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43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43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43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43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43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43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43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43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43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43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43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43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43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43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43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43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43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43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42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42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42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42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42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42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42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42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42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42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42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42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41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41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41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41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41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41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41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41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41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41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41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41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38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38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38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38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38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38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38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38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38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38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38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38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38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38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38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38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38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38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38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38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38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38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38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38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38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38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38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38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38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38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38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38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38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38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38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38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38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38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38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38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38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38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38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38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38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38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38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38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38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38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37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37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37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37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37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37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37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37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37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37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37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37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37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37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37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37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34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33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33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33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33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33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33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31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31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31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31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31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31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31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31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31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31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31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31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31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31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31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31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31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31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31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31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31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31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31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31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31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31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31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31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31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31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31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31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31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31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31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31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31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31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31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31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31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31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31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31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31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31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31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29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29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29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29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29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29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29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29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29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29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29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29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29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29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29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29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29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29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29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29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29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29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29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29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29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29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29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29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27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27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27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27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22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22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22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22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22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21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21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21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21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21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21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21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21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21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21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21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21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18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18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18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18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18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18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18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18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18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18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18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18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18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18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18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18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18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18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18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18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18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18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18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18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18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18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18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18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18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17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16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15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15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15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15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15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15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15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15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15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15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15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15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15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15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15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15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15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15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15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15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15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15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15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15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15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15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15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14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14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14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14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14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14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14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14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14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14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14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14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14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14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14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14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14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14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14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14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14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14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14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14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14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14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14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14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14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14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14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14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14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14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14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14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14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14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14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13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16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16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11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11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11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11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11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11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11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11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11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11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11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11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11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11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11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11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11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11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11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11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11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11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11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11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11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11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11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11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11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11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11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11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11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11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11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11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11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11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11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11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11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11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11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11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11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11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11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11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11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11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11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11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11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11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11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11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11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11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11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11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11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11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11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11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11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11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11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11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11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11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11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11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11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11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11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11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11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11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11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11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11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11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11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11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11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11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11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11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11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11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11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11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11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9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9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9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9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9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9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9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9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9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9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9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9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9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9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9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9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9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9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9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9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9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9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9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9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9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9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9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9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9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404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3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404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3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404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3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404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3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404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3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404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3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404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3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404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3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404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3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404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3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404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3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404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3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404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3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404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3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404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3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404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3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404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3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404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3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404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3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404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3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404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3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404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3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404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3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404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3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404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3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404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3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404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3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404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3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404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3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404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3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404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3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404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3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404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3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404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3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404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3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404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3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404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3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404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3</v>
      </c>
      <c r="R4655" s="168" t="s">
        <v>5709</v>
      </c>
      <c r="S4655" s="150"/>
    </row>
    <row r="4656" spans="1:19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3</v>
      </c>
      <c r="R4656" s="168" t="s">
        <v>489</v>
      </c>
      <c r="S4656" s="150"/>
    </row>
    <row r="4657" spans="1:19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3</v>
      </c>
      <c r="R4657" s="168" t="s">
        <v>489</v>
      </c>
      <c r="S4657" s="150"/>
    </row>
    <row r="4658" spans="1:19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3</v>
      </c>
      <c r="R4658" s="168" t="s">
        <v>489</v>
      </c>
      <c r="S4658" s="150"/>
    </row>
    <row r="4659" spans="1:19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3</v>
      </c>
      <c r="R4659" s="168" t="s">
        <v>489</v>
      </c>
      <c r="S4659" s="150"/>
    </row>
    <row r="4660" spans="1:19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3</v>
      </c>
      <c r="R4660" s="168" t="s">
        <v>489</v>
      </c>
      <c r="S4660" s="150"/>
    </row>
    <row r="4661" spans="1:19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3</v>
      </c>
      <c r="R4661" s="168" t="s">
        <v>489</v>
      </c>
      <c r="S4661" s="150"/>
    </row>
    <row r="4662" spans="1:19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3</v>
      </c>
      <c r="R4662" s="168" t="s">
        <v>489</v>
      </c>
      <c r="S4662" s="150"/>
    </row>
    <row r="4663" spans="1:19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3</v>
      </c>
      <c r="R4663" s="168" t="s">
        <v>489</v>
      </c>
      <c r="S4663" s="150"/>
    </row>
    <row r="4664" spans="1:19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3</v>
      </c>
      <c r="R4664" s="168" t="s">
        <v>489</v>
      </c>
      <c r="S4664" s="150"/>
    </row>
    <row r="4665" spans="1:19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3</v>
      </c>
      <c r="R4665" s="168" t="s">
        <v>489</v>
      </c>
      <c r="S4665" s="150"/>
    </row>
    <row r="4666" spans="1:19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3</v>
      </c>
      <c r="R4666" s="168" t="s">
        <v>489</v>
      </c>
      <c r="S4666" s="150"/>
    </row>
    <row r="4667" spans="1:19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3</v>
      </c>
      <c r="R4667" s="168" t="s">
        <v>489</v>
      </c>
      <c r="S4667" s="150"/>
    </row>
    <row r="4668" spans="1:19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3</v>
      </c>
      <c r="R4668" s="168" t="s">
        <v>489</v>
      </c>
      <c r="S4668" s="150"/>
    </row>
    <row r="4669" spans="1:19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3</v>
      </c>
      <c r="R4669" s="168" t="s">
        <v>489</v>
      </c>
      <c r="S4669" s="150"/>
    </row>
    <row r="4670" spans="1:19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3</v>
      </c>
      <c r="R4670" s="168" t="s">
        <v>489</v>
      </c>
      <c r="S4670" s="150"/>
    </row>
    <row r="4671" spans="1:19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3</v>
      </c>
      <c r="R4671" s="168" t="s">
        <v>489</v>
      </c>
      <c r="S4671" s="150"/>
    </row>
    <row r="4672" spans="1:19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3</v>
      </c>
      <c r="R4672" s="168" t="s">
        <v>489</v>
      </c>
      <c r="S4672" s="150"/>
    </row>
    <row r="4673" spans="1:19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3</v>
      </c>
      <c r="R4673" s="168" t="s">
        <v>489</v>
      </c>
      <c r="S4673" s="150"/>
    </row>
    <row r="4674" spans="1:19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3</v>
      </c>
      <c r="R4674" s="168" t="s">
        <v>489</v>
      </c>
      <c r="S4674" s="150"/>
    </row>
    <row r="4675" spans="1:19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3</v>
      </c>
      <c r="R4675" s="168" t="s">
        <v>489</v>
      </c>
      <c r="S4675" s="150"/>
    </row>
    <row r="4676" spans="1:19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3</v>
      </c>
      <c r="R4676" s="168" t="s">
        <v>489</v>
      </c>
      <c r="S4676" s="150"/>
    </row>
    <row r="4677" spans="1:19">
      <c r="A4677" t="s">
        <v>6857</v>
      </c>
      <c r="B4677" s="150" t="str">
        <f>IFERROR(VLOOKUP(Proc[[#This Row],[App]],Table2[],3,0),"open")</f>
        <v>open</v>
      </c>
      <c r="C4677" s="149" t="s">
        <v>370</v>
      </c>
      <c r="D4677" t="s">
        <v>6858</v>
      </c>
      <c r="E4677" t="s">
        <v>6865</v>
      </c>
      <c r="F4677" s="150" t="s">
        <v>6872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0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0</v>
      </c>
      <c r="R4677" s="170" t="s">
        <v>6869</v>
      </c>
      <c r="S4677" s="150"/>
    </row>
    <row r="4678" spans="1:19">
      <c r="A4678" t="s">
        <v>6857</v>
      </c>
      <c r="B4678" s="150" t="str">
        <f>IFERROR(VLOOKUP(Proc[[#This Row],[App]],Table2[],3,0),"open")</f>
        <v>open</v>
      </c>
      <c r="C4678" s="149" t="s">
        <v>370</v>
      </c>
      <c r="D4678" t="s">
        <v>6859</v>
      </c>
      <c r="E4678" t="s">
        <v>6866</v>
      </c>
      <c r="F4678" s="150" t="s">
        <v>6872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0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0</v>
      </c>
      <c r="R4678" s="170" t="s">
        <v>6869</v>
      </c>
      <c r="S4678" s="150"/>
    </row>
    <row r="4679" spans="1:19">
      <c r="A4679" s="149" t="s">
        <v>6857</v>
      </c>
      <c r="B4679" s="150" t="str">
        <f>IFERROR(VLOOKUP(Proc[[#This Row],[App]],Table2[],3,0),"open")</f>
        <v>open</v>
      </c>
      <c r="C4679" s="149" t="s">
        <v>370</v>
      </c>
      <c r="D4679" t="s">
        <v>6860</v>
      </c>
      <c r="E4679" t="s">
        <v>6865</v>
      </c>
      <c r="F4679" s="150" t="s">
        <v>6872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0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0</v>
      </c>
      <c r="R4679" s="170" t="s">
        <v>6869</v>
      </c>
      <c r="S4679" s="150"/>
    </row>
    <row r="4680" spans="1:19">
      <c r="A4680" s="149" t="s">
        <v>6857</v>
      </c>
      <c r="B4680" s="150" t="str">
        <f>IFERROR(VLOOKUP(Proc[[#This Row],[App]],Table2[],3,0),"open")</f>
        <v>open</v>
      </c>
      <c r="C4680" s="149" t="s">
        <v>370</v>
      </c>
      <c r="D4680" t="s">
        <v>6861</v>
      </c>
      <c r="E4680" t="s">
        <v>6865</v>
      </c>
      <c r="F4680" s="150" t="s">
        <v>6872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0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0</v>
      </c>
      <c r="R4680" s="170" t="s">
        <v>6869</v>
      </c>
      <c r="S4680" s="150"/>
    </row>
    <row r="4681" spans="1:19">
      <c r="A4681" s="149" t="s">
        <v>6857</v>
      </c>
      <c r="B4681" s="150" t="str">
        <f>IFERROR(VLOOKUP(Proc[[#This Row],[App]],Table2[],3,0),"open")</f>
        <v>open</v>
      </c>
      <c r="C4681" s="149" t="s">
        <v>370</v>
      </c>
      <c r="D4681" t="s">
        <v>6862</v>
      </c>
      <c r="E4681" t="s">
        <v>6867</v>
      </c>
      <c r="F4681" s="150" t="s">
        <v>6872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0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0</v>
      </c>
      <c r="R4681" s="170" t="s">
        <v>6869</v>
      </c>
      <c r="S4681" s="150"/>
    </row>
    <row r="4682" spans="1:19">
      <c r="A4682" s="149" t="s">
        <v>6857</v>
      </c>
      <c r="B4682" s="150" t="str">
        <f>IFERROR(VLOOKUP(Proc[[#This Row],[App]],Table2[],3,0),"open")</f>
        <v>open</v>
      </c>
      <c r="C4682" s="149" t="s">
        <v>370</v>
      </c>
      <c r="D4682" t="s">
        <v>6863</v>
      </c>
      <c r="E4682" t="s">
        <v>6868</v>
      </c>
      <c r="F4682" s="150" t="s">
        <v>6872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0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0</v>
      </c>
      <c r="R4682" s="170" t="s">
        <v>6869</v>
      </c>
      <c r="S4682" s="150"/>
    </row>
    <row r="4683" spans="1:19">
      <c r="A4683" s="149" t="s">
        <v>6857</v>
      </c>
      <c r="B4683" s="150" t="str">
        <f>IFERROR(VLOOKUP(Proc[[#This Row],[App]],Table2[],3,0),"open")</f>
        <v>open</v>
      </c>
      <c r="C4683" s="149" t="s">
        <v>370</v>
      </c>
      <c r="D4683" t="s">
        <v>6864</v>
      </c>
      <c r="E4683" t="s">
        <v>6865</v>
      </c>
      <c r="F4683" s="150" t="s">
        <v>6873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0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0</v>
      </c>
      <c r="R4683" s="170" t="s">
        <v>6869</v>
      </c>
      <c r="S4683" s="150"/>
    </row>
    <row r="4684" spans="1:19">
      <c r="A4684" t="s">
        <v>6874</v>
      </c>
      <c r="B4684" s="150" t="str">
        <f>IFERROR(VLOOKUP(Proc[[#This Row],[App]],Table2[],3,0),"open")</f>
        <v>open</v>
      </c>
      <c r="C4684" s="149" t="s">
        <v>370</v>
      </c>
      <c r="D4684" t="s">
        <v>6870</v>
      </c>
      <c r="E4684" t="s">
        <v>540</v>
      </c>
      <c r="F4684" s="150" t="s">
        <v>6871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0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0</v>
      </c>
      <c r="R4684" s="170" t="s">
        <v>515</v>
      </c>
      <c r="S4684" s="150"/>
    </row>
    <row r="4685" spans="1:19">
      <c r="A4685" t="s">
        <v>6877</v>
      </c>
      <c r="B4685" s="150" t="str">
        <f>IFERROR(VLOOKUP(Proc[[#This Row],[App]],Table2[],3,0),"open")</f>
        <v>open</v>
      </c>
      <c r="C4685" s="149" t="s">
        <v>370</v>
      </c>
      <c r="D4685" t="s">
        <v>6875</v>
      </c>
      <c r="E4685" t="s">
        <v>6884</v>
      </c>
      <c r="F4685" s="150" t="s">
        <v>6876</v>
      </c>
      <c r="G4685" s="149" t="s">
        <v>400</v>
      </c>
      <c r="H4685" s="150" t="str">
        <f>IF(Proc[[#This Row],[type]]="LFF (MDG-F)",MID(Proc[[#This Row],[Obj]],13,10),"")</f>
        <v/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0</v>
      </c>
      <c r="R4685" s="170" t="s">
        <v>5682</v>
      </c>
      <c r="S4685" s="150"/>
    </row>
    <row r="4686" spans="1:19">
      <c r="A4686" t="s">
        <v>6880</v>
      </c>
      <c r="B4686" s="150" t="str">
        <f>IFERROR(VLOOKUP(Proc[[#This Row],[App]],Table2[],3,0),"open")</f>
        <v>open</v>
      </c>
      <c r="C4686" s="149" t="s">
        <v>370</v>
      </c>
      <c r="D4686" t="s">
        <v>6878</v>
      </c>
      <c r="E4686" t="s">
        <v>6885</v>
      </c>
      <c r="F4686" s="150" t="s">
        <v>6879</v>
      </c>
      <c r="G4686" s="149" t="s">
        <v>400</v>
      </c>
      <c r="H4686" s="150" t="str">
        <f>IF(Proc[[#This Row],[type]]="LFF (MDG-F)",MID(Proc[[#This Row],[Obj]],13,10),"")</f>
        <v/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0</v>
      </c>
      <c r="R4686" s="170" t="s">
        <v>478</v>
      </c>
      <c r="S4686" s="150"/>
    </row>
    <row r="4687" spans="1:19">
      <c r="A4687" t="s">
        <v>6882</v>
      </c>
      <c r="B4687" s="150" t="str">
        <f>IFERROR(VLOOKUP(Proc[[#This Row],[App]],Table2[],3,0),"open")</f>
        <v>open</v>
      </c>
      <c r="C4687" s="149" t="s">
        <v>370</v>
      </c>
      <c r="D4687" t="s">
        <v>6881</v>
      </c>
      <c r="E4687" t="s">
        <v>6883</v>
      </c>
      <c r="F4687" s="150" t="s">
        <v>2338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0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0</v>
      </c>
      <c r="R4687" s="170" t="s">
        <v>5682</v>
      </c>
      <c r="S4687" s="150"/>
    </row>
    <row r="4688" spans="1:19">
      <c r="A4688" t="s">
        <v>6904</v>
      </c>
      <c r="B4688" s="150" t="str">
        <f>IFERROR(VLOOKUP(Proc[[#This Row],[App]],Table2[],3,0),"open")</f>
        <v>open</v>
      </c>
      <c r="C4688" s="149" t="s">
        <v>370</v>
      </c>
      <c r="D4688" t="s">
        <v>6886</v>
      </c>
      <c r="E4688" t="s">
        <v>6897</v>
      </c>
      <c r="F4688" s="150"/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0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0</v>
      </c>
      <c r="R4688" s="170" t="s">
        <v>738</v>
      </c>
      <c r="S4688" s="150"/>
    </row>
    <row r="4689" spans="1:19">
      <c r="A4689" t="s">
        <v>6904</v>
      </c>
      <c r="B4689" s="150" t="str">
        <f>IFERROR(VLOOKUP(Proc[[#This Row],[App]],Table2[],3,0),"open")</f>
        <v>open</v>
      </c>
      <c r="C4689" s="149" t="s">
        <v>370</v>
      </c>
      <c r="D4689" t="s">
        <v>6887</v>
      </c>
      <c r="E4689" t="s">
        <v>6898</v>
      </c>
      <c r="F4689" s="150"/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0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0</v>
      </c>
      <c r="R4689" s="170" t="s">
        <v>738</v>
      </c>
      <c r="S4689" s="150"/>
    </row>
    <row r="4690" spans="1:19">
      <c r="A4690" s="149" t="s">
        <v>6904</v>
      </c>
      <c r="B4690" s="150" t="str">
        <f>IFERROR(VLOOKUP(Proc[[#This Row],[App]],Table2[],3,0),"open")</f>
        <v>open</v>
      </c>
      <c r="C4690" s="149" t="s">
        <v>370</v>
      </c>
      <c r="D4690" t="s">
        <v>6888</v>
      </c>
      <c r="E4690" t="s">
        <v>6898</v>
      </c>
      <c r="F4690" s="150"/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0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0</v>
      </c>
      <c r="R4690" s="170" t="s">
        <v>738</v>
      </c>
      <c r="S4690" s="150"/>
    </row>
    <row r="4691" spans="1:19">
      <c r="A4691" s="149" t="s">
        <v>6904</v>
      </c>
      <c r="B4691" s="150" t="str">
        <f>IFERROR(VLOOKUP(Proc[[#This Row],[App]],Table2[],3,0),"open")</f>
        <v>open</v>
      </c>
      <c r="C4691" s="149" t="s">
        <v>370</v>
      </c>
      <c r="D4691" t="s">
        <v>6889</v>
      </c>
      <c r="E4691" t="s">
        <v>6898</v>
      </c>
      <c r="F4691" s="150"/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0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0</v>
      </c>
      <c r="R4691" s="170" t="s">
        <v>738</v>
      </c>
      <c r="S4691" s="150"/>
    </row>
    <row r="4692" spans="1:19">
      <c r="A4692" s="149" t="s">
        <v>6904</v>
      </c>
      <c r="B4692" s="150" t="str">
        <f>IFERROR(VLOOKUP(Proc[[#This Row],[App]],Table2[],3,0),"open")</f>
        <v>open</v>
      </c>
      <c r="C4692" s="149" t="s">
        <v>370</v>
      </c>
      <c r="D4692" t="s">
        <v>6890</v>
      </c>
      <c r="E4692" t="s">
        <v>6898</v>
      </c>
      <c r="F4692" s="150"/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0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0</v>
      </c>
      <c r="R4692" s="170" t="s">
        <v>738</v>
      </c>
      <c r="S4692" s="150"/>
    </row>
    <row r="4693" spans="1:19">
      <c r="A4693" s="149" t="s">
        <v>6904</v>
      </c>
      <c r="B4693" s="150" t="str">
        <f>IFERROR(VLOOKUP(Proc[[#This Row],[App]],Table2[],3,0),"open")</f>
        <v>open</v>
      </c>
      <c r="C4693" s="149" t="s">
        <v>370</v>
      </c>
      <c r="D4693" t="s">
        <v>6891</v>
      </c>
      <c r="E4693" t="s">
        <v>6898</v>
      </c>
      <c r="F4693" s="150"/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0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0</v>
      </c>
      <c r="R4693" s="170" t="s">
        <v>738</v>
      </c>
      <c r="S4693" s="150"/>
    </row>
    <row r="4694" spans="1:19">
      <c r="A4694" s="149" t="s">
        <v>6904</v>
      </c>
      <c r="B4694" s="150" t="str">
        <f>IFERROR(VLOOKUP(Proc[[#This Row],[App]],Table2[],3,0),"open")</f>
        <v>open</v>
      </c>
      <c r="C4694" s="149" t="s">
        <v>370</v>
      </c>
      <c r="D4694" t="s">
        <v>6892</v>
      </c>
      <c r="E4694" t="s">
        <v>6898</v>
      </c>
      <c r="F4694" s="150"/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0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0</v>
      </c>
      <c r="R4694" s="170" t="s">
        <v>738</v>
      </c>
      <c r="S4694" s="150"/>
    </row>
    <row r="4695" spans="1:19">
      <c r="A4695" s="149" t="s">
        <v>6904</v>
      </c>
      <c r="B4695" s="150" t="str">
        <f>IFERROR(VLOOKUP(Proc[[#This Row],[App]],Table2[],3,0),"open")</f>
        <v>open</v>
      </c>
      <c r="C4695" s="149" t="s">
        <v>370</v>
      </c>
      <c r="D4695" t="s">
        <v>6893</v>
      </c>
      <c r="E4695" t="s">
        <v>6899</v>
      </c>
      <c r="F4695" s="150"/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0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0</v>
      </c>
      <c r="R4695" s="170" t="s">
        <v>738</v>
      </c>
      <c r="S4695" s="150"/>
    </row>
    <row r="4696" spans="1:19">
      <c r="A4696" s="149" t="s">
        <v>6904</v>
      </c>
      <c r="B4696" s="150" t="str">
        <f>IFERROR(VLOOKUP(Proc[[#This Row],[App]],Table2[],3,0),"open")</f>
        <v>open</v>
      </c>
      <c r="C4696" s="149" t="s">
        <v>370</v>
      </c>
      <c r="D4696" t="s">
        <v>6894</v>
      </c>
      <c r="E4696" t="s">
        <v>6900</v>
      </c>
      <c r="F4696" s="150"/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0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0</v>
      </c>
      <c r="R4696" s="170" t="s">
        <v>738</v>
      </c>
      <c r="S4696" s="150"/>
    </row>
    <row r="4697" spans="1:19">
      <c r="A4697" s="149" t="s">
        <v>6904</v>
      </c>
      <c r="B4697" s="150" t="str">
        <f>IFERROR(VLOOKUP(Proc[[#This Row],[App]],Table2[],3,0),"open")</f>
        <v>open</v>
      </c>
      <c r="C4697" s="149" t="s">
        <v>370</v>
      </c>
      <c r="D4697" t="s">
        <v>2115</v>
      </c>
      <c r="E4697" t="s">
        <v>6901</v>
      </c>
      <c r="F4697" s="150"/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0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0</v>
      </c>
      <c r="R4697" s="170" t="s">
        <v>738</v>
      </c>
      <c r="S4697" s="150"/>
    </row>
    <row r="4698" spans="1:19">
      <c r="A4698" s="149" t="s">
        <v>6904</v>
      </c>
      <c r="B4698" s="150" t="str">
        <f>IFERROR(VLOOKUP(Proc[[#This Row],[App]],Table2[],3,0),"open")</f>
        <v>open</v>
      </c>
      <c r="C4698" s="149" t="s">
        <v>370</v>
      </c>
      <c r="D4698" t="s">
        <v>6895</v>
      </c>
      <c r="E4698" t="s">
        <v>6902</v>
      </c>
      <c r="F4698" s="150"/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0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0</v>
      </c>
      <c r="R4698" s="170" t="s">
        <v>738</v>
      </c>
      <c r="S4698" s="150"/>
    </row>
    <row r="4699" spans="1:19">
      <c r="A4699" s="149" t="s">
        <v>6904</v>
      </c>
      <c r="B4699" s="150" t="str">
        <f>IFERROR(VLOOKUP(Proc[[#This Row],[App]],Table2[],3,0),"open")</f>
        <v>open</v>
      </c>
      <c r="C4699" s="149" t="s">
        <v>370</v>
      </c>
      <c r="D4699" t="s">
        <v>6896</v>
      </c>
      <c r="E4699" t="s">
        <v>6903</v>
      </c>
      <c r="F4699" s="150"/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0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0</v>
      </c>
      <c r="R4699" s="170" t="s">
        <v>738</v>
      </c>
      <c r="S4699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33" workbookViewId="0">
      <selection activeCell="D147" sqref="D147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6869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2025-11-17T11:40:18Z</dcterms:modified>
  <cp:category/>
  <cp:contentStatus/>
</cp:coreProperties>
</file>