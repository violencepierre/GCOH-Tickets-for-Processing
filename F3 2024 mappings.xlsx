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F7B349C-7A8F-49F3-9E86-34FF14778B14}" xr6:coauthVersionLast="47" xr6:coauthVersionMax="47" xr10:uidLastSave="{00000000-0000-0000-0000-000000000000}"/>
  <bookViews>
    <workbookView xWindow="-120" yWindow="-120" windowWidth="38640" windowHeight="21120" activeTab="6" xr2:uid="{9EF57C3D-F6AB-450C-9EC3-AF89A75F272D}"/>
  </bookViews>
  <sheets>
    <sheet name="KPI" sheetId="5" r:id="rId1"/>
    <sheet name="Sheet5" sheetId="32" r:id="rId2"/>
    <sheet name="Sheet7" sheetId="34" r:id="rId3"/>
    <sheet name="Report" sheetId="4" r:id="rId4"/>
    <sheet name="OK" sheetId="2" r:id="rId5"/>
    <sheet name="Cognos_Office_Connection_Cache" sheetId="27" state="veryHidden" r:id="rId6"/>
    <sheet name="PROC" sheetId="1" r:id="rId7"/>
    <sheet name="Sheet6" sheetId="33" r:id="rId8"/>
    <sheet name="Sheet4" sheetId="31" r:id="rId9"/>
    <sheet name="Sheet3" sheetId="30" r:id="rId10"/>
    <sheet name="Sheet2" sheetId="29" r:id="rId11"/>
    <sheet name="Sheet1" sheetId="28" r:id="rId12"/>
    <sheet name="For Commentary" sheetId="20" r:id="rId13"/>
    <sheet name="Authors" sheetId="18" r:id="rId14"/>
    <sheet name="STAT" sheetId="10" r:id="rId15"/>
    <sheet name="Sector" sheetId="3" r:id="rId16"/>
    <sheet name="YelTable" sheetId="24" r:id="rId17"/>
  </sheets>
  <definedNames>
    <definedName name="_xlnm._FilterDatabase" localSheetId="4" hidden="1">OK!$A$67:$C$67</definedName>
    <definedName name="_xlnm._FilterDatabase" localSheetId="3" hidden="1">Report!$A$2:$F$1353</definedName>
    <definedName name="_xlnm._FilterDatabase" localSheetId="9" hidden="1">Sheet3!$A$1:$C$87</definedName>
    <definedName name="ExternalData_1" localSheetId="16" hidden="1">YelTable!$A$1:$E$5</definedName>
    <definedName name="ID" localSheetId="13" hidden="1">"f29e49f0-c842-4a01-8df8-c72694a7b15c"</definedName>
    <definedName name="ID" localSheetId="5" hidden="1">"3fb6490e-8bae-4ce5-b09c-5121e79bff69"</definedName>
    <definedName name="ID" localSheetId="12" hidden="1">"ff81118e-5307-4064-951c-4c49859b2689"</definedName>
    <definedName name="ID" localSheetId="0" hidden="1">"a20d8229-a695-49c0-85d3-e16e82c6d3c2"</definedName>
    <definedName name="ID" localSheetId="4" hidden="1">"51d88d8a-ccba-4754-95f4-c889dc3e16f2"</definedName>
    <definedName name="ID" localSheetId="6" hidden="1">"fed2efda-7c81-4abf-a07f-fe42f3463dcb"</definedName>
    <definedName name="ID" localSheetId="3" hidden="1">"40226f24-7bf9-4676-aeb0-6e976018d2e2"</definedName>
    <definedName name="ID" localSheetId="15" hidden="1">"fa560984-7bbe-4a11-88aa-39d6eb27c9e2"</definedName>
    <definedName name="ID" localSheetId="14" hidden="1">"e95ef0c9-3382-426f-86db-9e8ceaf6f6b4"</definedName>
    <definedName name="ID" localSheetId="16" hidden="1">"d87903fe-00ef-4d5e-81e3-634aa74e62c2"</definedName>
    <definedName name="ID_1" localSheetId="6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34" r:id="rId18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334" i="1" l="1"/>
  <c r="H5334" i="1"/>
  <c r="J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J5332" i="1"/>
  <c r="K5332" i="1"/>
  <c r="Q5332" i="1"/>
  <c r="P5332" i="1" s="1"/>
  <c r="B5331" i="1"/>
  <c r="H5331" i="1"/>
  <c r="J5331" i="1"/>
  <c r="K5331" i="1"/>
  <c r="Q5331" i="1"/>
  <c r="P5331" i="1" s="1"/>
  <c r="C87" i="30"/>
  <c r="C75" i="30"/>
  <c r="C72" i="30"/>
  <c r="C86" i="30"/>
  <c r="C85" i="30"/>
  <c r="C84" i="30"/>
  <c r="C83" i="30"/>
  <c r="C82" i="30"/>
  <c r="C81" i="30"/>
  <c r="C80" i="30"/>
  <c r="C79" i="30"/>
  <c r="C78" i="30"/>
  <c r="C77" i="30"/>
  <c r="C76" i="30"/>
  <c r="C74" i="30"/>
  <c r="C73" i="30"/>
  <c r="C71" i="30"/>
  <c r="C70" i="30"/>
  <c r="C69" i="30"/>
  <c r="C68" i="30"/>
  <c r="C67" i="30"/>
  <c r="C66" i="30"/>
  <c r="C65" i="30"/>
  <c r="C64" i="30"/>
  <c r="C63" i="30"/>
  <c r="C62" i="30"/>
  <c r="C61" i="30"/>
  <c r="C60" i="30"/>
  <c r="C59" i="30"/>
  <c r="C58" i="30"/>
  <c r="C57" i="30"/>
  <c r="C56" i="30"/>
  <c r="C55" i="30"/>
  <c r="C54" i="30"/>
  <c r="C53" i="30"/>
  <c r="C52" i="30"/>
  <c r="C51" i="30"/>
  <c r="C50" i="30"/>
  <c r="C49" i="30"/>
  <c r="C48" i="30"/>
  <c r="C47" i="30"/>
  <c r="C46" i="30"/>
  <c r="C45" i="30"/>
  <c r="C44" i="30"/>
  <c r="C43" i="30"/>
  <c r="C42" i="30"/>
  <c r="C41" i="30"/>
  <c r="C40" i="30"/>
  <c r="C39" i="30"/>
  <c r="C38" i="30"/>
  <c r="C37" i="30"/>
  <c r="C36" i="30"/>
  <c r="C35" i="30"/>
  <c r="C34" i="30"/>
  <c r="C33" i="30"/>
  <c r="C32" i="30"/>
  <c r="C31" i="30"/>
  <c r="C30" i="30"/>
  <c r="C29" i="30"/>
  <c r="C28" i="30"/>
  <c r="C27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J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<sst xmlns="http://schemas.openxmlformats.org/spreadsheetml/2006/main" count="47999" uniqueCount="7745">
  <si>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</si>
  <si>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</si>
  <si>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</si>
  <si>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</si>
  <si>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</si>
  <si>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</si>
  <si>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</si>
  <si>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</si>
  <si>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</si>
  <si>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</si>
  <si>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</si>
  <si>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</si>
  <si>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</si>
  <si>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</si>
  <si>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</si>
  <si>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</si>
  <si>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</si>
  <si>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</si>
  <si>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</si>
  <si>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</si>
  <si>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</si>
  <si>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</si>
  <si>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</si>
  <si>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</si>
  <si>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</si>
  <si>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</si>
  <si>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</si>
  <si>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</si>
  <si>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</si>
  <si>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</si>
  <si>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</si>
  <si>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</si>
  <si>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</si>
  <si>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</si>
  <si>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</si>
  <si>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</si>
  <si>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</si>
  <si>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</si>
  <si>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</si>
  <si>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</si>
  <si>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</si>
  <si>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</si>
  <si>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</si>
  <si>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</si>
  <si>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</si>
  <si>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</si>
  <si>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</si>
  <si>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</si>
  <si>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</si>
  <si>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</si>
  <si>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</si>
  <si>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</si>
  <si>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</si>
  <si>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</si>
  <si>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</si>
  <si>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</si>
  <si>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</si>
  <si>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</si>
  <si>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</si>
  <si>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</si>
  <si>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</si>
  <si>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</si>
  <si>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</si>
  <si>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</si>
  <si>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</si>
  <si>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</si>
  <si>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</si>
  <si>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</si>
  <si>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</si>
  <si>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</si>
  <si>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</si>
  <si>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</si>
  <si>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</si>
  <si>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</si>
  <si>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</si>
  <si>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</si>
  <si>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</si>
  <si>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</si>
  <si>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</si>
  <si>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</si>
  <si>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</si>
  <si>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</si>
  <si>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</si>
  <si>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</si>
  <si>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</si>
  <si>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</si>
  <si>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</si>
  <si>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</si>
  <si>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</si>
  <si>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</si>
  <si>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</si>
  <si>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</si>
  <si>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</si>
  <si>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</si>
  <si>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</si>
  <si>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</si>
  <si>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</si>
  <si>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</si>
  <si>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</si>
  <si>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</si>
  <si>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</si>
  <si>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</si>
  <si>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</si>
  <si>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</si>
  <si>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</si>
  <si>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</si>
  <si>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</si>
  <si>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</si>
  <si>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</si>
  <si>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</si>
  <si>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</si>
  <si>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</si>
  <si>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</si>
  <si>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</si>
  <si>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</si>
  <si>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</si>
  <si>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</si>
  <si>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</si>
  <si>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</si>
  <si>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</si>
  <si>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</si>
  <si>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</si>
  <si>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</si>
  <si>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</si>
  <si>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</si>
  <si>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</si>
  <si>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</si>
  <si>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</si>
  <si>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</si>
  <si>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</si>
  <si>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</si>
  <si>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</si>
  <si>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</si>
  <si>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</si>
  <si>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</si>
  <si>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</si>
  <si>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</si>
  <si>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</si>
  <si>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</si>
  <si>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</si>
  <si>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</si>
  <si>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</si>
  <si>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</si>
  <si>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</si>
  <si>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</si>
  <si>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</si>
  <si>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</si>
  <si>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</si>
  <si>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</si>
  <si>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</si>
  <si>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</si>
  <si>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</si>
  <si>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</si>
  <si>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</si>
  <si>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</si>
  <si>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</si>
  <si>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</si>
  <si>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</si>
  <si>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</si>
  <si>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</si>
  <si>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</si>
  <si>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</si>
  <si>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</si>
  <si>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</si>
  <si>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</si>
  <si>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</si>
  <si>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</si>
  <si>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</si>
  <si>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</si>
  <si>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</si>
  <si>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</si>
  <si>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</si>
  <si>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</si>
  <si>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</si>
  <si>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</si>
  <si>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</si>
  <si>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</si>
  <si>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</si>
  <si>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</si>
  <si>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</si>
  <si>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</si>
  <si>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</si>
  <si>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</si>
  <si>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</si>
  <si>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</si>
  <si>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</si>
  <si>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</si>
  <si>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</si>
  <si>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</si>
  <si>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</si>
  <si>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</si>
  <si>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</si>
  <si>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</si>
  <si>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</si>
  <si>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</si>
  <si>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</si>
  <si>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</si>
  <si>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</si>
  <si>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</si>
  <si>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</si>
  <si>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</si>
  <si>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</si>
  <si>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</si>
  <si>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</si>
  <si>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</si>
  <si>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</si>
  <si>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</si>
  <si>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</si>
  <si>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</si>
  <si>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</si>
  <si>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</si>
  <si>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</si>
  <si>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</si>
  <si>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</si>
  <si>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</si>
  <si>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</si>
  <si>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</si>
  <si>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</si>
  <si>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</si>
  <si>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</si>
  <si>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</si>
  <si>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</si>
  <si>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</si>
  <si>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</si>
  <si>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</si>
  <si>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</si>
  <si>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</si>
  <si>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</si>
  <si>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</si>
  <si>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</si>
  <si>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</si>
  <si>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</si>
  <si>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</si>
  <si>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</si>
  <si>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</si>
  <si>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</si>
  <si>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</si>
  <si>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</si>
  <si>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</si>
  <si>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</si>
  <si>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</si>
  <si>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</si>
  <si>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</si>
  <si>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</si>
  <si>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</si>
  <si>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</si>
  <si>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</si>
  <si>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</si>
  <si>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</si>
  <si>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</si>
  <si>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</si>
  <si>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</si>
  <si>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</si>
  <si>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</si>
  <si>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</si>
  <si>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</si>
  <si>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</si>
  <si>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</si>
  <si>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</si>
  <si>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</si>
  <si>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</si>
  <si>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</si>
  <si>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</si>
  <si>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</si>
  <si>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</si>
  <si>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</si>
  <si>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</si>
  <si>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</si>
  <si>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</si>
  <si>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</si>
  <si>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</si>
  <si>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</si>
  <si>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</si>
  <si>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</si>
  <si>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</si>
  <si>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</si>
  <si>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</si>
  <si>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</si>
  <si>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</si>
  <si>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</si>
  <si>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</si>
  <si>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</si>
  <si>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</si>
  <si>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</si>
  <si>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</si>
  <si>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</si>
  <si>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</si>
  <si>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</si>
  <si>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</si>
  <si>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</si>
  <si>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</si>
  <si>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</si>
  <si>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</si>
  <si>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</si>
  <si>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</si>
  <si>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</si>
  <si>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</si>
  <si>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</si>
  <si>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</si>
  <si>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</si>
  <si>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</si>
  <si>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</si>
  <si>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</si>
  <si>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</si>
  <si>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</si>
  <si>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</si>
  <si>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</si>
  <si>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</si>
  <si>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</si>
  <si>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</si>
  <si>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</si>
  <si>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</si>
  <si>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</si>
  <si>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</si>
  <si>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</si>
  <si>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</si>
  <si>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</si>
  <si>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</si>
  <si>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</si>
  <si>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</si>
  <si>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</si>
  <si>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</si>
  <si>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</si>
  <si>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</si>
  <si>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</si>
  <si>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</si>
  <si>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</si>
  <si>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</si>
  <si>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</si>
  <si>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</si>
  <si>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</si>
  <si>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</si>
  <si>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</si>
  <si>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</si>
  <si>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</si>
  <si>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</si>
  <si>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</si>
  <si>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</si>
  <si>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</si>
  <si>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</si>
  <si>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</si>
  <si>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</si>
  <si>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</si>
  <si>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</si>
  <si>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</si>
  <si>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</si>
  <si>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</si>
  <si>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</si>
  <si>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</si>
  <si>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</si>
  <si>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</si>
  <si>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</si>
  <si>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</si>
  <si>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</si>
  <si>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</si>
  <si>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</si>
  <si>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</si>
  <si>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</si>
  <si>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</si>
  <si>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</si>
  <si>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</si>
  <si>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</si>
  <si>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</si>
  <si>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</si>
  <si>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</si>
  <si>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</si>
  <si>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</si>
  <si>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</si>
  <si>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</si>
  <si>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</si>
  <si>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</si>
  <si>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</si>
  <si>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</si>
  <si>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</si>
  <si>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</si>
  <si>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</si>
  <si>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</si>
  <si>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</si>
  <si>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</si>
  <si>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</si>
  <si>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</si>
  <si>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</si>
  <si>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</si>
  <si>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</si>
  <si>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</si>
  <si>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</si>
  <si>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</si>
  <si>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</si>
  <si>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</si>
  <si>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</si>
  <si>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</si>
  <si>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</si>
  <si>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</si>
  <si>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</si>
  <si>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</si>
  <si>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</si>
  <si>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</si>
  <si>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</si>
  <si>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</si>
  <si>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</si>
  <si>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</si>
  <si>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</si>
  <si>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</si>
  <si>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</si>
  <si>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</si>
  <si>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</si>
  <si>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</si>
  <si>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</si>
  <si>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</si>
  <si>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</si>
  <si>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</si>
  <si>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</si>
  <si>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</si>
  <si>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</si>
  <si>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</si>
  <si>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</si>
  <si>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</si>
  <si>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</si>
  <si>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</si>
  <si>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</si>
  <si>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</si>
  <si>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</si>
  <si>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</si>
  <si>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</si>
  <si>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</si>
  <si>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</si>
  <si>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</si>
  <si>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</si>
  <si>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</si>
  <si>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</si>
  <si>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</si>
  <si>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</si>
  <si>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</si>
  <si>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</si>
  <si>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</si>
  <si>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</si>
  <si>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</si>
  <si>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</si>
  <si>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</si>
  <si>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</si>
  <si>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</si>
  <si>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</si>
  <si>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</si>
  <si>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</si>
  <si>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</si>
  <si>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</si>
  <si>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</si>
  <si>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</si>
  <si>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</si>
  <si>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</si>
  <si>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</si>
  <si>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</si>
  <si>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</si>
  <si>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</si>
  <si>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</si>
  <si>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</si>
  <si>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</si>
  <si>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</si>
  <si>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</si>
  <si>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</si>
  <si>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</si>
  <si>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</si>
  <si>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</si>
  <si>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</si>
  <si>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</si>
  <si>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</si>
  <si>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</si>
  <si>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</si>
  <si>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</si>
  <si>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</si>
  <si>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</si>
  <si>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</si>
  <si>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</si>
  <si>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</si>
  <si>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</si>
  <si>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</si>
  <si>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</si>
  <si>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</si>
  <si>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</si>
  <si>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</si>
  <si>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</si>
  <si>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</si>
  <si>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</si>
  <si>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</si>
  <si>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</si>
  <si>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</si>
  <si>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</si>
  <si>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</si>
  <si>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</si>
  <si>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</si>
  <si>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</si>
  <si>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</si>
  <si>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</si>
  <si>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</si>
  <si>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</si>
  <si>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</si>
  <si>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</si>
  <si>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</si>
  <si>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</si>
  <si>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</si>
  <si>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</si>
  <si>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</si>
  <si>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</si>
  <si>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</si>
  <si>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</si>
  <si>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</si>
  <si>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</si>
  <si>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</si>
  <si>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</si>
  <si>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</si>
  <si>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</si>
  <si>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</si>
  <si>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</si>
  <si>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</si>
  <si>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</si>
  <si>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</si>
  <si>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</si>
  <si>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</si>
  <si>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</si>
  <si>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</si>
  <si>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</si>
  <si>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</si>
  <si>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</si>
  <si>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</si>
  <si>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</si>
  <si>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</si>
  <si>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</si>
  <si>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</si>
  <si>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</si>
  <si>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</si>
  <si>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</si>
  <si>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</si>
  <si>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</si>
  <si>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</si>
  <si>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</si>
  <si>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</si>
  <si>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</si>
  <si>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</si>
  <si>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</si>
  <si>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</si>
  <si>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</si>
  <si>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</si>
  <si>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</si>
  <si>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</si>
  <si>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</si>
  <si>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</si>
  <si>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</si>
  <si>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</si>
  <si>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</si>
  <si>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</si>
  <si>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</si>
  <si>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</si>
  <si>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</si>
  <si>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</si>
  <si>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</si>
  <si>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</si>
  <si>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</si>
  <si>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</si>
  <si>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</si>
  <si>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</si>
  <si>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</si>
  <si>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</si>
  <si>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</si>
  <si>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</si>
  <si>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</si>
  <si>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</si>
  <si>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</si>
  <si>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</si>
  <si>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</si>
  <si>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</si>
  <si>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</si>
  <si>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</si>
  <si>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</si>
  <si>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</si>
  <si>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</si>
  <si>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</si>
  <si>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</si>
  <si>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</si>
  <si>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</si>
  <si>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</si>
  <si>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</si>
  <si>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</si>
  <si>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</si>
  <si>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</si>
  <si>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</si>
  <si>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</si>
  <si>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</si>
  <si>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</si>
  <si>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</si>
  <si>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</si>
  <si>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</si>
  <si>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</si>
  <si>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</si>
  <si>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</si>
  <si>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</si>
  <si>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</si>
  <si>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</si>
  <si>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</si>
  <si>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</si>
  <si>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</si>
  <si>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</si>
  <si>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</si>
  <si>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</si>
  <si>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</si>
  <si>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</si>
  <si>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</si>
  <si>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</si>
  <si>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</si>
  <si>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</si>
  <si>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</si>
  <si>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</si>
  <si>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</si>
  <si>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</si>
  <si>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</si>
  <si>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</si>
  <si>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</si>
  <si>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</si>
  <si>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</si>
  <si>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</si>
  <si>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</si>
  <si>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</si>
  <si>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</si>
  <si>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</si>
  <si>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</si>
  <si>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</si>
  <si>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</si>
  <si>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</si>
  <si>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</si>
  <si>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</si>
  <si>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</si>
  <si>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</si>
  <si>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</si>
  <si>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</si>
  <si>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</si>
  <si>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</si>
  <si>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</si>
  <si>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</si>
  <si>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</si>
  <si>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</si>
  <si>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</si>
  <si>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</si>
  <si>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</si>
  <si>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</si>
  <si>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</si>
  <si>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</si>
  <si>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</si>
  <si>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</si>
  <si>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</si>
  <si>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</si>
  <si>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</si>
  <si>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</si>
  <si>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</si>
  <si>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</si>
  <si>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</si>
  <si>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</si>
  <si>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</si>
  <si>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</si>
  <si>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</si>
  <si>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</si>
  <si>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</si>
  <si>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</si>
  <si>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</si>
  <si>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</si>
  <si>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</si>
  <si>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</si>
  <si>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</si>
  <si>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</si>
  <si>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</si>
  <si>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</si>
  <si>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</si>
  <si>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</si>
  <si>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</si>
  <si>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</si>
  <si>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</si>
  <si>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</si>
  <si>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</si>
  <si>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</si>
  <si>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</si>
  <si>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</si>
  <si>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</si>
  <si>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</si>
  <si>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</si>
  <si>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</si>
  <si>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</si>
  <si>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</si>
  <si>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</si>
  <si>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</si>
  <si>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</si>
  <si>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</si>
  <si>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</si>
  <si>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</si>
  <si>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</si>
  <si>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</si>
  <si>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</si>
  <si>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</si>
  <si>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</si>
  <si>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</si>
  <si>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</si>
  <si>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</si>
  <si>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</si>
  <si>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</si>
  <si>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</si>
  <si>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</si>
  <si>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</si>
  <si>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</si>
  <si>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</si>
  <si>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</si>
  <si>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</si>
  <si>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</si>
  <si>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</si>
  <si>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</si>
  <si>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</si>
  <si>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</si>
  <si>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</si>
  <si>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</si>
  <si>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</si>
  <si>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</si>
  <si>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</si>
  <si>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</si>
  <si>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</si>
  <si>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</si>
  <si>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</si>
  <si>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</si>
  <si>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</si>
  <si>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</si>
  <si>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</si>
  <si>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</si>
  <si>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</si>
  <si>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</si>
  <si>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</si>
  <si>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</si>
  <si>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</si>
  <si>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</si>
  <si>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</si>
  <si>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</si>
  <si>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</si>
  <si>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</si>
  <si>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</si>
  <si>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</si>
  <si>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</si>
  <si>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</si>
  <si>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</si>
  <si>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</si>
  <si>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</si>
  <si>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</si>
  <si>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</si>
  <si>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</si>
  <si>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</si>
  <si>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</si>
  <si>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</si>
  <si>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</si>
  <si>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</si>
  <si>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</si>
  <si>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</si>
  <si>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</si>
  <si>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</si>
  <si>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</si>
  <si>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</si>
  <si>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</si>
  <si>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</si>
  <si>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</si>
  <si>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</si>
  <si>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</si>
  <si>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</si>
  <si>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</si>
  <si>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</si>
  <si>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</si>
  <si>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</si>
  <si>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</si>
  <si>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</si>
  <si>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</si>
  <si>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</si>
  <si>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</si>
  <si>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</si>
  <si>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</si>
  <si>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</si>
  <si>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</si>
  <si>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</si>
  <si>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</si>
  <si>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</si>
  <si>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</si>
  <si>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</si>
  <si>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</si>
  <si>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</si>
  <si>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</si>
  <si>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</si>
  <si>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</si>
  <si>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</si>
  <si>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</si>
  <si>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</si>
  <si>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</si>
  <si>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</si>
  <si>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</si>
  <si>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</si>
  <si>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</si>
  <si>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</si>
  <si>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</si>
  <si>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</si>
  <si>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</si>
  <si>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</si>
  <si>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</si>
  <si>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</si>
  <si>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</si>
  <si>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</si>
  <si>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</si>
  <si>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</si>
  <si>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</si>
  <si>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</si>
  <si>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</si>
  <si>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</si>
  <si>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</si>
  <si>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</si>
  <si>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</si>
  <si>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</si>
  <si>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</si>
  <si>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</si>
  <si>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</si>
  <si>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</si>
  <si>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</si>
  <si>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</si>
  <si>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</si>
  <si>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</si>
  <si>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</si>
  <si>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</si>
  <si>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</si>
  <si>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</si>
  <si>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</si>
  <si>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</si>
  <si>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</si>
  <si>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</si>
  <si>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</si>
  <si>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</si>
  <si>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</si>
  <si>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</si>
  <si>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</si>
  <si>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</si>
  <si>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</si>
  <si>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</si>
  <si>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</si>
  <si>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</si>
  <si>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</si>
  <si>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</si>
  <si>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</si>
  <si>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</si>
  <si>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</si>
  <si>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</si>
  <si>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</si>
  <si>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</si>
  <si>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</si>
  <si>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</si>
  <si>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</si>
  <si>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</si>
  <si>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</si>
  <si>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</si>
  <si>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</si>
  <si>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</si>
  <si>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</si>
  <si>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</si>
  <si>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</si>
  <si>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</si>
  <si>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</si>
  <si>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</si>
  <si>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</si>
  <si>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</si>
  <si>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</si>
  <si>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</si>
  <si>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</si>
  <si>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</si>
  <si>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</si>
  <si>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</si>
  <si>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</si>
  <si>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</si>
  <si>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</si>
  <si>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</si>
  <si>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</si>
  <si>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</si>
  <si>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</si>
  <si>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</si>
  <si>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</si>
  <si>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</si>
  <si>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</si>
  <si>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</si>
  <si>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</si>
  <si>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</si>
  <si>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</si>
  <si>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</si>
  <si>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</si>
  <si>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</si>
  <si>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</si>
  <si>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</si>
  <si>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</si>
  <si>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</si>
  <si>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</si>
  <si>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</si>
  <si>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</si>
  <si>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</si>
  <si>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</si>
  <si>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</si>
  <si>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</si>
  <si>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</si>
  <si>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</si>
  <si>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</si>
  <si>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</si>
  <si>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</si>
  <si>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</si>
  <si>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</si>
  <si>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</si>
  <si>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</si>
  <si>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</si>
  <si>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</si>
  <si>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</si>
  <si>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</si>
  <si>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</si>
  <si>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</si>
  <si>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</si>
  <si>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</si>
  <si>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</si>
  <si>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</si>
  <si>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</si>
  <si>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</si>
  <si>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</si>
  <si>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</si>
  <si>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</si>
  <si>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</si>
  <si>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</si>
  <si>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</si>
  <si>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</si>
  <si>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</si>
  <si>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</si>
  <si>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</si>
  <si>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</si>
  <si>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</si>
  <si>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</si>
  <si>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</si>
  <si>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</si>
  <si>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</si>
  <si>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</si>
  <si>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</si>
  <si>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</si>
  <si>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</si>
  <si>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</si>
  <si>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</si>
  <si>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</si>
  <si>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</si>
  <si>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</si>
  <si>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</si>
  <si>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</si>
  <si>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</si>
  <si>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</si>
  <si>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</si>
  <si>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</si>
  <si>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</si>
  <si>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</si>
  <si>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</si>
  <si>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</si>
  <si>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</si>
  <si>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</si>
  <si>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</si>
  <si>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</si>
  <si>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</si>
  <si>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</si>
  <si>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</si>
  <si>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</si>
  <si>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</si>
  <si>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</si>
  <si>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</si>
  <si>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</si>
  <si>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</si>
  <si>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</si>
  <si>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</si>
  <si>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</si>
  <si>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</si>
  <si>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</si>
  <si>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</si>
  <si>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</si>
  <si>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</si>
  <si>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</si>
  <si>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</si>
  <si>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</si>
  <si>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</si>
  <si>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</si>
  <si>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</si>
  <si>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</si>
  <si>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</si>
  <si>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</si>
  <si>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</si>
  <si>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</si>
  <si>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</si>
  <si>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</si>
  <si>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</si>
  <si>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</si>
  <si>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</si>
  <si>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</si>
  <si>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</si>
  <si>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</si>
  <si>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</si>
  <si>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</si>
  <si>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</si>
  <si>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</si>
  <si>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</si>
  <si>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</si>
  <si>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</si>
  <si>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</si>
  <si>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</si>
  <si>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</si>
  <si>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</si>
  <si>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</si>
  <si>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</si>
  <si>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</si>
  <si>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</si>
  <si>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</si>
  <si>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</si>
  <si>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</si>
  <si>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</si>
  <si>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</si>
  <si>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</si>
  <si>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</si>
  <si>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</si>
  <si>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</si>
  <si>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</si>
  <si>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</si>
  <si>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</si>
  <si>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</si>
  <si>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</si>
  <si>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</si>
  <si>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</si>
  <si>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</si>
  <si>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</si>
  <si>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</si>
  <si>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</si>
  <si>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</si>
  <si>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</si>
  <si>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</si>
  <si>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</si>
  <si>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</si>
  <si>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</si>
  <si>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</si>
  <si>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</si>
  <si>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</si>
  <si>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</si>
  <si>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</si>
  <si>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</si>
  <si>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</si>
  <si>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</si>
  <si>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</si>
  <si>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</si>
  <si>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</si>
  <si>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</si>
  <si>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</si>
  <si>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</si>
  <si>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</si>
  <si>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</si>
  <si>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</si>
  <si>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</si>
  <si>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</si>
  <si>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</si>
  <si>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</si>
  <si>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</si>
  <si>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</si>
  <si>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</si>
  <si>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</si>
  <si>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</si>
  <si>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</si>
  <si>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</si>
  <si>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</si>
  <si>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</si>
  <si>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</si>
  <si>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</si>
  <si>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</si>
  <si>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</si>
  <si>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</si>
  <si>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</si>
  <si>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</si>
  <si>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</si>
  <si>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</si>
  <si>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</si>
  <si>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</si>
  <si>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</si>
  <si>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</si>
  <si>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</si>
  <si>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</si>
  <si>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</si>
  <si>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</si>
  <si>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</si>
  <si>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</si>
  <si>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</si>
  <si>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</si>
  <si>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</si>
  <si>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</si>
  <si>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</si>
  <si>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</si>
  <si>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</si>
  <si>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</si>
  <si>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</si>
  <si>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</si>
  <si>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</si>
  <si>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</si>
  <si>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</si>
  <si>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</si>
  <si>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</si>
  <si>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</si>
  <si>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</si>
  <si>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</si>
  <si>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</si>
  <si>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</si>
  <si>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</si>
  <si>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</si>
  <si>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</si>
  <si>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</si>
  <si>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</si>
  <si>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</si>
  <si>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</si>
  <si>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</si>
  <si>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</si>
  <si>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</si>
  <si>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</si>
  <si>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</si>
  <si>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</si>
  <si>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</si>
  <si>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</si>
  <si>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</si>
  <si>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</si>
  <si>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</si>
  <si>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</si>
  <si>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</si>
  <si>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</si>
  <si>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</si>
  <si>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</si>
  <si>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</si>
  <si>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</si>
  <si>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</si>
  <si>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</si>
  <si>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</si>
  <si>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</si>
  <si>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</si>
  <si>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</si>
  <si>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</si>
  <si>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</si>
  <si>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</si>
  <si>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</si>
  <si>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</si>
  <si>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</si>
  <si>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</si>
  <si>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</si>
  <si>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</si>
  <si>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</si>
  <si>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</si>
  <si>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</si>
  <si>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</si>
  <si>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</si>
  <si>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</si>
  <si>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</si>
  <si>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</si>
  <si>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</si>
  <si>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</si>
  <si>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</si>
  <si>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</si>
  <si>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</si>
  <si>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</si>
  <si>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</si>
  <si>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</si>
  <si>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</si>
  <si>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</si>
  <si>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</si>
  <si>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</si>
  <si>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</si>
  <si>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</si>
  <si>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</si>
  <si>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</si>
  <si>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</si>
  <si>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</si>
  <si>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</si>
  <si>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</si>
  <si>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</si>
  <si>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</si>
  <si>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</si>
  <si>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</si>
  <si>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</si>
  <si>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</si>
  <si>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</si>
  <si>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</si>
  <si>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</si>
  <si>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</si>
  <si>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</si>
  <si>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</si>
  <si>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</si>
  <si>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</si>
  <si>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</si>
  <si>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</si>
  <si>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</si>
  <si>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</si>
  <si>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</si>
  <si>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</si>
  <si>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</si>
  <si>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</si>
  <si>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</si>
  <si>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</si>
  <si>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</si>
  <si>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</si>
  <si>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</si>
  <si>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</si>
  <si>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</si>
  <si>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</si>
  <si>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</si>
  <si>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</si>
  <si>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</si>
  <si>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</si>
  <si>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</si>
  <si>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</si>
  <si>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</si>
  <si>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</si>
  <si>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</si>
  <si>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</si>
  <si>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</si>
  <si>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</si>
  <si>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</si>
  <si>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</si>
  <si>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</si>
  <si>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</si>
  <si>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</si>
  <si>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</si>
  <si>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</si>
  <si>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</si>
  <si>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</si>
  <si>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</si>
  <si>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</si>
  <si>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</si>
  <si>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</si>
  <si>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</si>
  <si>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</si>
  <si>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</si>
  <si>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</si>
  <si>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</si>
  <si>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</si>
  <si>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</si>
  <si>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</si>
  <si>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</si>
  <si>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</si>
  <si>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</si>
  <si>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</si>
  <si>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</si>
  <si>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</si>
  <si>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</si>
  <si>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</si>
  <si>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</si>
  <si>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</si>
  <si>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</si>
  <si>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</si>
  <si>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</si>
  <si>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</si>
  <si>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</si>
  <si>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</si>
  <si>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</si>
  <si>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</si>
  <si>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</si>
  <si>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</si>
  <si>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</si>
  <si>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</si>
  <si>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</si>
  <si>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</si>
  <si>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</si>
  <si>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</si>
  <si>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</si>
  <si>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</si>
  <si>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</si>
  <si>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</si>
  <si>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</si>
  <si>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</si>
  <si>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</si>
  <si>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</si>
  <si>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</si>
  <si>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</si>
  <si>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</si>
  <si>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</si>
  <si>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</si>
  <si>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</si>
  <si>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</si>
  <si>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</si>
  <si>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</si>
  <si>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</si>
  <si>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</si>
  <si>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</si>
  <si>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</si>
  <si>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</si>
  <si>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</si>
  <si>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</si>
  <si>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</si>
  <si>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</si>
  <si>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</si>
  <si>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</si>
  <si>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</si>
  <si>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</si>
  <si>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</si>
  <si>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</si>
  <si>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</si>
  <si>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</si>
  <si>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</si>
  <si>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</si>
  <si>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</si>
  <si>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</si>
  <si>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</si>
  <si>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</si>
  <si>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</si>
  <si>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</si>
  <si>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</si>
  <si>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</si>
  <si>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</si>
  <si>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</si>
  <si>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</si>
  <si>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</si>
  <si>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</si>
  <si>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</si>
  <si>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</si>
  <si>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</si>
  <si>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</si>
  <si>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</si>
  <si>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</si>
  <si>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</si>
  <si>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</si>
  <si>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</si>
  <si>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</si>
  <si>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</si>
  <si>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</si>
  <si>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</si>
  <si>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</si>
  <si>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</si>
  <si>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</si>
  <si>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</si>
  <si>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</si>
  <si>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</si>
  <si>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</si>
  <si>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</si>
  <si>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</si>
  <si>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</si>
  <si>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</si>
  <si>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</si>
  <si>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</si>
  <si>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</si>
  <si>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</si>
  <si>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</si>
  <si>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</si>
  <si>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</si>
  <si>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</si>
  <si>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</si>
  <si>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</si>
  <si>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</si>
  <si>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</si>
  <si>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</si>
  <si>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</si>
  <si>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</si>
  <si>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</si>
  <si>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</si>
  <si>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</si>
  <si>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</si>
  <si>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</si>
  <si>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</si>
  <si>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</si>
  <si>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</si>
  <si>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</si>
  <si>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</si>
  <si>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</si>
  <si>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</si>
  <si>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</si>
  <si>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</si>
  <si>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</si>
  <si>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</si>
  <si>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</si>
  <si>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</si>
  <si>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</si>
  <si>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</si>
  <si>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</si>
  <si>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</si>
  <si>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</si>
  <si>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</si>
  <si>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</si>
  <si>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</si>
  <si>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</si>
  <si>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</si>
  <si>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</si>
  <si>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</si>
  <si>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</si>
  <si>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</si>
  <si>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</si>
  <si>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</si>
  <si>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</si>
  <si>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</si>
  <si>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</si>
  <si>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</si>
  <si>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</si>
  <si>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</si>
  <si>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</si>
  <si>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</si>
  <si>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</si>
  <si>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</si>
  <si>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</si>
  <si>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</si>
  <si>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</si>
  <si>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</si>
  <si>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</si>
  <si>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</si>
  <si>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</si>
  <si>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</si>
  <si>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</si>
  <si>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</si>
  <si>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</si>
  <si>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</si>
  <si>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</si>
  <si>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</si>
  <si>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</si>
  <si>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</si>
  <si>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</si>
  <si>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</si>
  <si>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</si>
  <si>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</si>
  <si>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</si>
  <si>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</si>
  <si>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</si>
  <si>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</si>
  <si>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</si>
  <si>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</si>
  <si>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</si>
  <si>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</si>
  <si>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</si>
  <si>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</si>
  <si>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</si>
  <si>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</si>
  <si>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</si>
  <si>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</si>
  <si>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</si>
  <si>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</si>
  <si>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</si>
  <si>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</si>
  <si>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</si>
  <si>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</si>
  <si>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</si>
  <si>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</si>
  <si>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</si>
  <si>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</si>
  <si>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</si>
  <si>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</si>
  <si>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</si>
  <si>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</si>
  <si>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</si>
  <si>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</si>
  <si>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</si>
  <si>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</si>
  <si>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</si>
  <si>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</si>
  <si>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</si>
  <si>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</si>
  <si>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</si>
  <si>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</si>
  <si>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</si>
  <si>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</si>
  <si>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</si>
  <si>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</si>
  <si>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</si>
  <si>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</si>
  <si>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</si>
  <si>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</si>
  <si>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</si>
  <si>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</si>
  <si>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</si>
  <si>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</si>
  <si>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</si>
  <si>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</si>
  <si>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</si>
  <si>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</si>
  <si>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</si>
  <si>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</si>
  <si>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</si>
  <si>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</si>
  <si>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</si>
  <si>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</si>
  <si>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</si>
  <si>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</si>
  <si>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</si>
  <si>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</si>
  <si>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</si>
  <si>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</si>
  <si>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</si>
  <si>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</si>
  <si>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</si>
  <si>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</si>
  <si>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</si>
  <si>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</si>
  <si>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</si>
  <si>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</si>
  <si>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</si>
  <si>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</si>
  <si>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</si>
  <si>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</si>
  <si>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</si>
  <si>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</si>
  <si>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</si>
  <si>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</si>
  <si>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</si>
  <si>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</si>
  <si>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</si>
  <si>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</si>
  <si>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</si>
  <si>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</si>
  <si>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</si>
  <si>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</si>
  <si>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</si>
  <si>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</si>
  <si>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</si>
  <si>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</si>
  <si>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</si>
  <si>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</si>
  <si>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</si>
  <si>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</si>
  <si>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</si>
  <si>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</si>
  <si>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</si>
  <si>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</si>
  <si>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</si>
  <si>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</si>
  <si>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</si>
  <si>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</si>
  <si>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</si>
  <si>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</si>
  <si>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</si>
  <si>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</si>
  <si>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</si>
  <si>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</si>
  <si>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</si>
  <si>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</si>
  <si>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</si>
  <si>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</si>
  <si>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</si>
  <si>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</si>
  <si>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</si>
  <si>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</si>
  <si>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</si>
  <si>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</si>
  <si>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</si>
  <si>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</si>
  <si>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</si>
  <si>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</si>
  <si>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</si>
  <si>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</si>
  <si>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</si>
  <si>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</si>
  <si>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</si>
  <si>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</si>
  <si>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</si>
  <si>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</si>
  <si>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</si>
  <si>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</si>
  <si>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</si>
  <si>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</si>
  <si>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</si>
  <si>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</si>
  <si>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</si>
  <si>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</si>
  <si>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</si>
  <si>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</si>
  <si>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</si>
  <si>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</si>
  <si>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</si>
  <si>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</si>
  <si>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</si>
  <si>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</si>
  <si>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</si>
  <si>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</si>
  <si>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</si>
  <si>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</si>
  <si>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</si>
  <si>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</si>
  <si>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</si>
  <si>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</si>
  <si>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</si>
  <si>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</si>
  <si>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</si>
  <si>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</si>
  <si>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</si>
  <si>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</si>
  <si>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</si>
  <si>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</si>
  <si>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</si>
  <si>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</si>
  <si>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</si>
  <si>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</si>
  <si>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</si>
  <si>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</si>
  <si>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</si>
  <si>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</si>
  <si>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</si>
  <si>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</si>
  <si>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</si>
  <si>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</si>
  <si>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</si>
  <si>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</si>
  <si>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</si>
  <si>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</si>
  <si>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</si>
  <si>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</si>
  <si>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</si>
  <si>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</si>
  <si>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</si>
  <si>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</si>
  <si>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</si>
  <si>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</si>
  <si>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</si>
  <si>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</si>
  <si>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</si>
  <si>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</si>
  <si>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</si>
  <si>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</si>
  <si>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</si>
  <si>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</si>
  <si>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</si>
  <si>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</si>
  <si>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</si>
  <si>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</si>
  <si>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</si>
  <si>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</si>
  <si>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</si>
  <si>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</si>
  <si>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</si>
  <si>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</si>
  <si>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</si>
  <si>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</si>
  <si>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</si>
  <si>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</si>
  <si>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</si>
  <si>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</si>
  <si>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</si>
  <si>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</si>
  <si>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</si>
  <si>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</si>
  <si>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</si>
  <si>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</si>
  <si>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</si>
  <si>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</si>
  <si>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</si>
  <si>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</si>
  <si>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</si>
  <si>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</si>
  <si>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</si>
  <si>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</si>
  <si>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</si>
  <si>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</si>
  <si>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</si>
  <si>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</si>
  <si>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</si>
  <si>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</si>
  <si>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</si>
  <si>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</si>
  <si>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</si>
  <si>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</si>
  <si>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</si>
  <si>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</si>
  <si>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</si>
  <si>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</si>
  <si>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</si>
  <si>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</si>
  <si>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</si>
  <si>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</si>
  <si>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</si>
  <si>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</si>
  <si>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</si>
  <si>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</si>
  <si>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</si>
  <si>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</si>
  <si>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</si>
  <si>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</si>
  <si>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</si>
  <si>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</si>
  <si>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</si>
  <si>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</si>
  <si>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</si>
  <si>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</si>
  <si>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</si>
  <si>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</si>
  <si>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</si>
  <si>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</si>
  <si>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</si>
  <si>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</si>
  <si>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</si>
  <si>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</si>
  <si>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</si>
  <si>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</si>
  <si>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</si>
  <si>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</si>
  <si>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</si>
  <si>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</si>
  <si>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</si>
  <si>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</si>
  <si>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</si>
  <si>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</si>
  <si>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</si>
  <si>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</si>
  <si>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</si>
  <si>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</si>
  <si>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</si>
  <si>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</si>
  <si>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</si>
  <si>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</si>
  <si>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</si>
  <si>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</si>
  <si>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</si>
  <si>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</si>
  <si>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</si>
  <si>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</si>
  <si>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</si>
  <si>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</si>
  <si>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</si>
  <si>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</si>
  <si>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</si>
  <si>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</si>
  <si>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</si>
  <si>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</si>
  <si>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</si>
  <si>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</si>
  <si>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</si>
  <si>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</si>
  <si>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</si>
  <si>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</si>
  <si>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</si>
  <si>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</si>
  <si>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</si>
  <si>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</si>
  <si>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</si>
  <si>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</si>
  <si>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</si>
  <si>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</si>
  <si>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</si>
  <si>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</si>
  <si>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</si>
  <si>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</si>
  <si>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</si>
  <si>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</si>
  <si>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</si>
  <si>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</si>
  <si>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</si>
  <si>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</si>
  <si>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</si>
  <si>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</si>
  <si>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</si>
  <si>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</si>
  <si>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</si>
  <si>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</si>
  <si>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</si>
  <si>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</si>
  <si>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</si>
  <si>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</si>
  <si>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</si>
  <si>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</si>
  <si>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</si>
  <si>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</si>
  <si>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</si>
  <si>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</si>
  <si>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</si>
  <si>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</si>
  <si>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</si>
  <si>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</si>
  <si>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</si>
  <si>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</si>
  <si>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</si>
  <si>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</si>
  <si>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</si>
  <si>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</si>
  <si>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</si>
  <si>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</si>
  <si>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</si>
  <si>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</si>
  <si>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</si>
  <si>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</si>
  <si>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</si>
  <si>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</si>
  <si>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</si>
  <si>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</si>
  <si>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</si>
  <si>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</si>
  <si>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</si>
  <si>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</si>
  <si>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</si>
  <si>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</si>
  <si>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</si>
  <si>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</si>
  <si>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</si>
  <si>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</si>
  <si>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</si>
  <si>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</si>
  <si>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</si>
  <si>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</si>
  <si>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</si>
  <si>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</si>
  <si>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</si>
  <si>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</si>
  <si>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</si>
  <si>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</si>
  <si>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</si>
  <si>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</si>
  <si>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</si>
  <si>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</si>
  <si>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</si>
  <si>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</si>
  <si>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</si>
  <si>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</si>
  <si>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</si>
  <si>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</si>
  <si>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</si>
  <si>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</si>
  <si>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</si>
  <si>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</si>
  <si>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</si>
  <si>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</si>
  <si>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</si>
  <si>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</si>
  <si>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</si>
  <si>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</si>
  <si>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</si>
  <si>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</si>
  <si>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</si>
  <si>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</si>
  <si>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</si>
  <si>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</si>
  <si>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</si>
  <si>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</si>
  <si>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</si>
  <si>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</si>
  <si>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</si>
  <si>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</si>
  <si>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</si>
  <si>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</si>
  <si>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</si>
  <si>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</si>
  <si>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</si>
  <si>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</si>
  <si>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</si>
  <si>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</si>
  <si>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</si>
  <si>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</si>
  <si>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</si>
  <si>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</si>
  <si>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</si>
  <si>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</si>
  <si>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</si>
  <si>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</si>
  <si>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</si>
  <si>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</si>
  <si>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</si>
  <si>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</si>
  <si>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</si>
  <si>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</si>
  <si>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</si>
  <si>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</si>
  <si>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</si>
  <si>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</si>
  <si>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</si>
  <si>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</si>
  <si>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</si>
  <si>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</si>
  <si>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</si>
  <si>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</si>
  <si>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</si>
  <si>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</si>
  <si>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</si>
  <si>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</si>
  <si>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</si>
  <si>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</si>
  <si>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</si>
  <si>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</si>
  <si>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</si>
  <si>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</si>
  <si>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</si>
  <si>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</si>
  <si>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</si>
  <si>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</si>
  <si>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</si>
  <si>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</si>
  <si>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</si>
  <si>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</si>
  <si>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</si>
  <si>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</si>
  <si>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</si>
  <si>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</si>
  <si>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</si>
  <si>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</si>
  <si>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</si>
  <si>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</si>
  <si>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</si>
  <si>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</si>
  <si>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</si>
  <si>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</si>
  <si>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</si>
  <si>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</si>
  <si>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</si>
  <si>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</si>
  <si>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</si>
  <si>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</si>
  <si>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</si>
  <si>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</si>
  <si>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</si>
  <si>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</si>
  <si>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</si>
  <si>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</si>
  <si>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</si>
  <si>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</si>
  <si>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</si>
  <si>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</si>
  <si>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</si>
  <si>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</si>
  <si>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</si>
  <si>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</si>
  <si>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</si>
  <si>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</si>
  <si>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</si>
  <si>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</si>
  <si>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</si>
  <si>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</si>
  <si>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</si>
  <si>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</si>
  <si>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</si>
  <si>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</si>
  <si>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</si>
  <si>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</si>
  <si>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</si>
  <si>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</si>
  <si>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</si>
  <si>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</si>
  <si>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</si>
  <si>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</si>
  <si>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</si>
  <si>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</si>
  <si>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</si>
  <si>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</si>
  <si>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</si>
  <si>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</si>
  <si>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</si>
  <si>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</si>
  <si>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</si>
  <si>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</si>
  <si>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</si>
  <si>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</si>
  <si>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</si>
  <si>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</si>
  <si>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</si>
  <si>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</si>
  <si>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</si>
  <si>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</si>
  <si>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</si>
  <si>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</si>
  <si>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</si>
  <si>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</si>
  <si>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</si>
  <si>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</si>
  <si>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</si>
  <si>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</si>
  <si>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</si>
  <si>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</si>
  <si>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</si>
  <si>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</si>
  <si>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</si>
  <si>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</si>
  <si>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</si>
  <si>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</si>
  <si>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</si>
  <si>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</si>
  <si>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</si>
  <si>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</si>
  <si>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</si>
  <si>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</si>
  <si>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</si>
  <si>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</si>
  <si>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</si>
  <si>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</si>
  <si>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</si>
  <si>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</si>
  <si>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</si>
  <si>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</si>
  <si>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</si>
  <si>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</si>
  <si>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</si>
  <si>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</si>
  <si>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</si>
  <si>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</si>
  <si>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</si>
  <si>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</si>
  <si>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</si>
  <si>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</si>
  <si>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</si>
  <si>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</si>
  <si>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</si>
  <si>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</si>
  <si>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</si>
  <si>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</si>
  <si>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</si>
  <si>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</si>
  <si>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</si>
  <si>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</si>
  <si>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</si>
  <si>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</si>
  <si>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</si>
  <si>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</si>
  <si>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</si>
  <si>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</si>
  <si>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</si>
  <si>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</si>
  <si>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</si>
  <si>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</si>
  <si>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</si>
  <si>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</si>
  <si>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</si>
  <si>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</si>
  <si>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</si>
  <si>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</si>
  <si>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</si>
  <si>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</si>
  <si>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</si>
  <si>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</si>
  <si>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</si>
  <si>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</si>
  <si>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</si>
  <si>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</si>
  <si>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</si>
  <si>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</si>
  <si>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</si>
  <si>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</si>
  <si>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</si>
  <si>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</si>
  <si>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</si>
  <si>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</si>
  <si>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</si>
  <si>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</si>
  <si>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</si>
  <si>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</si>
  <si>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</si>
  <si>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</si>
  <si>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</si>
  <si>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</si>
  <si>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</si>
  <si>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</si>
  <si>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</si>
  <si>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</si>
  <si>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</si>
  <si>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</si>
  <si>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</si>
  <si>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</si>
  <si>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</si>
  <si>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</si>
  <si>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</si>
  <si>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</si>
  <si>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</si>
  <si>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</si>
  <si>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</si>
  <si>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</si>
  <si>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</si>
  <si>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</si>
  <si>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</si>
  <si>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</si>
  <si>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</si>
  <si>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</si>
  <si>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</si>
  <si>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</si>
  <si>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</si>
  <si>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</si>
  <si>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</si>
  <si>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</si>
  <si>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</si>
  <si>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</si>
  <si>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</si>
  <si>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</si>
  <si>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</si>
  <si>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</si>
  <si>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</si>
  <si>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</si>
  <si>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</si>
  <si>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</si>
  <si>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</si>
  <si>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</si>
  <si>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</si>
  <si>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</si>
  <si>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</si>
  <si>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</si>
  <si>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</si>
  <si>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</si>
  <si>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</si>
  <si>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</si>
  <si>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</si>
  <si>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</si>
  <si>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</si>
  <si>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</si>
  <si>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</si>
  <si>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</si>
  <si>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</si>
  <si>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</si>
  <si>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</si>
  <si>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</si>
  <si>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</si>
  <si>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</si>
  <si>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</si>
  <si>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</si>
  <si>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</si>
  <si>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</si>
  <si>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</si>
  <si>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</si>
  <si>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</si>
  <si>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</si>
  <si>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</si>
  <si>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</si>
  <si>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</si>
  <si>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</si>
  <si>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</si>
  <si>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</si>
  <si>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</si>
  <si>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</si>
  <si>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</si>
  <si>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</si>
  <si>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</si>
  <si>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</si>
  <si>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</si>
  <si>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</si>
  <si>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</si>
  <si>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</si>
  <si>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</si>
  <si>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</si>
  <si>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</si>
  <si>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</si>
  <si>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</si>
  <si>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</si>
  <si>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</si>
  <si>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</si>
  <si>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</si>
  <si>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</si>
  <si>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</si>
  <si>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</si>
  <si>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</si>
  <si>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</si>
  <si>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</si>
  <si>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</si>
  <si>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</si>
  <si>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</si>
  <si>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</si>
  <si>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</si>
  <si>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</si>
  <si>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</si>
  <si>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</si>
  <si>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</si>
  <si>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</si>
  <si>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</si>
  <si>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</si>
  <si>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</si>
  <si>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</si>
  <si>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</si>
  <si>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</si>
  <si>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</si>
  <si>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</si>
  <si>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</si>
  <si>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</si>
  <si>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</si>
  <si>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</si>
  <si>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</si>
  <si>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</si>
  <si>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</si>
  <si>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</si>
  <si>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</si>
  <si>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</si>
  <si>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</si>
  <si>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</si>
  <si>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</si>
  <si>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</si>
  <si>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</si>
  <si>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</si>
  <si>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</si>
  <si>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</si>
  <si>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</si>
  <si>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</si>
  <si>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</si>
  <si>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</si>
  <si>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</si>
  <si>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</si>
  <si>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</si>
  <si>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</si>
  <si>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</si>
  <si>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</si>
  <si>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</si>
  <si>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</si>
  <si>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</si>
  <si>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</si>
  <si>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</si>
  <si>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</si>
  <si>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</si>
  <si>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</si>
  <si>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</si>
  <si>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</si>
  <si>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</si>
  <si>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</si>
  <si>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</si>
  <si>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</si>
  <si>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</si>
  <si>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</si>
  <si>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</si>
  <si>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</si>
  <si>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</si>
  <si>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</si>
  <si>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</si>
  <si>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</si>
  <si>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</si>
  <si>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</si>
  <si>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</si>
  <si>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</si>
  <si>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</si>
  <si>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</si>
  <si>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</si>
  <si>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</si>
  <si>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</si>
  <si>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</si>
  <si>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</si>
  <si>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</si>
  <si>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</si>
  <si>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</si>
  <si>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</si>
  <si>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</si>
  <si>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</si>
  <si>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</si>
  <si>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</si>
  <si>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</si>
  <si>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</si>
  <si>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</si>
  <si>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</si>
  <si>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</si>
  <si>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</si>
  <si>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</si>
  <si>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</si>
  <si>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</si>
  <si>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</si>
  <si>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</si>
  <si>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</si>
  <si>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</si>
  <si>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</si>
  <si>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</si>
  <si>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</si>
  <si>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</si>
  <si>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</si>
  <si>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</si>
  <si>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</si>
  <si>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</si>
  <si>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</si>
  <si>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</si>
  <si>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</si>
  <si>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</si>
  <si>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</si>
  <si>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</si>
  <si>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</si>
  <si>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</si>
  <si>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</si>
  <si>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</si>
  <si>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</si>
  <si>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</si>
  <si>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</si>
  <si>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</si>
  <si>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</si>
  <si>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</si>
  <si>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</si>
  <si>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</si>
  <si>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</si>
  <si>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</si>
  <si>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</si>
  <si>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</si>
  <si>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</si>
  <si>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</si>
  <si>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</si>
  <si>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</si>
  <si>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</si>
  <si>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</si>
  <si>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</si>
  <si>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</si>
  <si>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</si>
  <si>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</si>
  <si>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</si>
  <si>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</si>
  <si>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</si>
  <si>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</si>
  <si>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</si>
  <si>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</si>
  <si>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</si>
  <si>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</si>
  <si>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</si>
  <si>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</si>
  <si>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</si>
  <si>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</si>
  <si>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</si>
  <si>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</si>
  <si>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</si>
  <si>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</si>
  <si>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</si>
  <si>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</si>
  <si>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</si>
  <si>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</si>
  <si>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</si>
  <si>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</si>
  <si>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</si>
  <si>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</si>
  <si>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</si>
  <si>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</si>
  <si>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</si>
  <si>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</si>
  <si>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</si>
  <si>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</si>
  <si>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</si>
  <si>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</si>
  <si>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</si>
  <si>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</si>
  <si>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</si>
  <si>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</si>
  <si>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</si>
  <si>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</si>
  <si>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</si>
  <si>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</si>
  <si>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</si>
  <si>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</si>
  <si>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</si>
  <si>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</si>
  <si>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</si>
  <si>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</si>
  <si>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</si>
  <si>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</si>
  <si>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</si>
  <si>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</si>
  <si>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</si>
  <si>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</si>
  <si>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</si>
  <si>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</si>
  <si>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</si>
  <si>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</si>
  <si>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</si>
  <si>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</si>
  <si>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</si>
  <si>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</si>
  <si>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</si>
  <si>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</si>
  <si>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</si>
  <si>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</si>
  <si>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</si>
  <si>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</si>
  <si>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</si>
  <si>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</si>
  <si>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</si>
  <si>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</si>
  <si>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</si>
  <si>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</si>
  <si>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</si>
  <si>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</si>
  <si>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</si>
  <si>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</si>
  <si>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</si>
  <si>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</si>
  <si>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</si>
  <si>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</si>
  <si>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</si>
  <si>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</si>
  <si>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</si>
  <si>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</si>
  <si>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</si>
  <si>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</si>
  <si>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</si>
  <si>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</si>
  <si>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</si>
  <si>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</si>
  <si>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</si>
  <si>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</si>
  <si>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</si>
  <si>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</si>
  <si>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</si>
  <si>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</si>
  <si>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</si>
  <si>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</si>
  <si>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</si>
  <si>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</si>
  <si>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</si>
  <si>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</si>
  <si>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</si>
  <si>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</si>
  <si>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</si>
  <si>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</si>
  <si>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</si>
  <si>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</si>
  <si>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</si>
  <si>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</si>
  <si>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</si>
  <si>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</si>
  <si>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</si>
  <si>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</si>
  <si>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</si>
  <si>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</si>
  <si>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</si>
  <si>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</si>
  <si>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</si>
  <si>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</si>
  <si>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</si>
  <si>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</si>
  <si>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</si>
  <si>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</si>
  <si>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</si>
  <si>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</si>
  <si>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</si>
  <si>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</si>
  <si>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</si>
  <si>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</si>
  <si>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</si>
  <si>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</si>
  <si>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</si>
  <si>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</si>
  <si>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</si>
  <si>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</si>
  <si>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</si>
  <si>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</si>
  <si>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</si>
  <si>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</si>
  <si>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</si>
  <si>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</si>
  <si>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</si>
  <si>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</si>
  <si>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</si>
  <si>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</si>
  <si>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</si>
  <si>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</si>
  <si>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</si>
  <si>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</si>
  <si>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</si>
  <si>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</si>
  <si>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</si>
  <si>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</si>
  <si>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</si>
  <si>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</si>
  <si>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</si>
  <si>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</si>
  <si>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</si>
  <si>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</si>
  <si>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</si>
  <si>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</si>
  <si>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</si>
  <si>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</si>
  <si>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</si>
  <si>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</si>
  <si>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</si>
  <si>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</si>
  <si>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</si>
  <si>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</si>
  <si>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</si>
  <si>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</si>
  <si>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</si>
  <si>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</si>
  <si>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</si>
  <si>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</si>
  <si>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</si>
  <si>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</si>
  <si>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</si>
  <si>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</si>
  <si>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</si>
  <si>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</si>
  <si>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</si>
  <si>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</si>
  <si>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</si>
  <si>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</si>
  <si>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</si>
  <si>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</si>
  <si>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</si>
  <si>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</si>
  <si>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</si>
  <si>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</si>
  <si>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</si>
  <si>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</si>
  <si>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</si>
  <si>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</si>
  <si>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</si>
  <si>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</si>
  <si>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</si>
  <si>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</si>
  <si>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</si>
  <si>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</si>
  <si>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</si>
  <si>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</si>
  <si>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</si>
  <si>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</si>
  <si>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</si>
  <si>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</si>
  <si>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</si>
  <si>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</si>
  <si>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</si>
  <si>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</si>
  <si>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</si>
  <si>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</si>
  <si>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</si>
  <si>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</si>
  <si>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</si>
  <si>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</si>
  <si>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</si>
  <si>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</si>
  <si>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</si>
  <si>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</si>
  <si>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</si>
  <si>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</si>
  <si>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</si>
  <si>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</si>
  <si>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</si>
  <si>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</si>
  <si>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</si>
  <si>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</si>
  <si>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</si>
  <si>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</si>
  <si>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</si>
  <si>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</si>
  <si>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</si>
  <si>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</si>
  <si>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</si>
  <si>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</si>
  <si>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</si>
  <si>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</si>
  <si>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</si>
  <si>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</si>
  <si>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</si>
  <si>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</si>
  <si>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</si>
  <si>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</si>
  <si>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</si>
  <si>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</si>
  <si>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</si>
  <si>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</si>
  <si>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</si>
  <si>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</si>
  <si>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</si>
  <si>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</si>
  <si>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</si>
  <si>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</si>
  <si>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</si>
  <si>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</si>
  <si>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</si>
  <si>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</si>
  <si>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</si>
  <si>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</si>
  <si>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</si>
  <si>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</si>
  <si>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</si>
  <si>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</si>
  <si>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</si>
  <si>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</si>
  <si>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</si>
  <si>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</si>
  <si>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</si>
  <si>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</si>
  <si>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</si>
  <si>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</si>
  <si>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</si>
  <si>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</si>
  <si>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</si>
  <si>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</si>
  <si>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</si>
  <si>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</si>
  <si>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</si>
  <si>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</si>
  <si>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</si>
  <si>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</si>
  <si>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</si>
  <si>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</si>
  <si>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</si>
  <si>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</si>
  <si>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</si>
  <si>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</si>
  <si>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</si>
  <si>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</si>
  <si>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</si>
  <si>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</si>
  <si>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</si>
  <si>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</si>
  <si>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</si>
  <si>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</si>
  <si>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</si>
  <si>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</si>
  <si>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</si>
  <si>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</si>
  <si>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</si>
  <si>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</si>
  <si>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</si>
  <si>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</si>
  <si>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</si>
  <si>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</si>
  <si>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</si>
  <si>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</si>
  <si>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</si>
  <si>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</si>
  <si>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</si>
  <si>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</si>
  <si>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</si>
  <si>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</si>
  <si>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</si>
  <si>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</si>
  <si>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</si>
  <si>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</si>
  <si>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</si>
  <si>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</si>
  <si>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</si>
  <si>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</si>
  <si>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</si>
  <si>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</si>
  <si>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</si>
  <si>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</si>
  <si>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</si>
  <si>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</si>
  <si>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</si>
  <si>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</si>
  <si>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</si>
  <si>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</si>
  <si>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</si>
  <si>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</si>
  <si>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</si>
  <si>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</si>
  <si>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</si>
  <si>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</si>
  <si>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</si>
  <si>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</si>
  <si>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</si>
  <si>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</si>
  <si>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</si>
  <si>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</si>
  <si>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</si>
  <si>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</si>
  <si>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</si>
  <si>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</si>
  <si>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</si>
  <si>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</si>
  <si>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</si>
  <si>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</si>
  <si>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</si>
  <si>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</si>
  <si>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</si>
  <si>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</si>
  <si>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</si>
  <si>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</si>
  <si>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</si>
  <si>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</si>
  <si>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</si>
  <si>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</si>
  <si>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</si>
  <si>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</si>
  <si>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</si>
  <si>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</si>
  <si>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</si>
  <si>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</si>
  <si>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</si>
  <si>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</si>
  <si>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</si>
  <si>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</si>
  <si>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</si>
  <si>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</si>
  <si>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</si>
  <si>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</si>
  <si>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</si>
  <si>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</si>
  <si>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</si>
  <si>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</si>
  <si>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</si>
  <si>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</si>
  <si>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</si>
  <si>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</si>
  <si>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</si>
  <si>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</si>
  <si>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</si>
  <si>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</si>
  <si>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</si>
  <si>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</si>
  <si>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</si>
  <si>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</si>
  <si>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</si>
  <si>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</si>
  <si>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</si>
  <si>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</si>
  <si>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</si>
  <si>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</si>
  <si>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</si>
  <si>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</si>
  <si>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</si>
  <si>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</si>
  <si>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</si>
  <si>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</si>
  <si>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</si>
  <si>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</si>
  <si>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</si>
  <si>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</si>
  <si>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</si>
  <si>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</si>
  <si>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</si>
  <si>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</si>
  <si>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</si>
  <si>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</si>
  <si>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</si>
  <si>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</si>
  <si>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</si>
  <si>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</si>
  <si>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</si>
  <si>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</si>
  <si>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</si>
  <si>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</si>
  <si>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</si>
  <si>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</si>
  <si>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</si>
  <si>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</si>
  <si>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</si>
  <si>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</si>
  <si>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</si>
  <si>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</si>
  <si>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</si>
  <si>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</si>
  <si>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</si>
  <si>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</si>
  <si>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</si>
  <si>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</si>
  <si>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</si>
  <si>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</si>
  <si>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</si>
  <si>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</si>
  <si>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</si>
  <si>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</si>
  <si>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</si>
  <si>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</si>
  <si>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</si>
  <si>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</si>
  <si>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</si>
  <si>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</si>
  <si>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</si>
  <si>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</si>
  <si>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</si>
  <si>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</si>
  <si>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</si>
  <si>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</si>
  <si>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</si>
  <si>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</si>
  <si>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</si>
  <si>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</si>
  <si>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</si>
  <si>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</si>
  <si>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</si>
  <si>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</si>
  <si>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</si>
  <si>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</si>
  <si>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</si>
  <si>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</si>
  <si>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</si>
  <si>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</si>
  <si>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</si>
  <si>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</si>
  <si>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</si>
  <si>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</si>
  <si>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</si>
  <si>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</si>
  <si>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</si>
  <si>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</si>
  <si>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</si>
  <si>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</si>
  <si>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</si>
  <si>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</si>
  <si>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</si>
  <si>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</si>
  <si>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</si>
  <si>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</si>
  <si>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</si>
  <si>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</si>
  <si>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</si>
  <si>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</si>
  <si>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</si>
  <si>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</si>
  <si>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</si>
  <si>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</si>
  <si>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</si>
  <si>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</si>
  <si>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</si>
  <si>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</si>
  <si>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</si>
  <si>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</si>
  <si>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</si>
  <si>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</si>
  <si>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</si>
  <si>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</si>
  <si>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</si>
  <si>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</si>
  <si>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</si>
  <si>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</si>
  <si>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</si>
  <si>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</si>
  <si>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</si>
  <si>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</si>
  <si>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</si>
  <si>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</si>
  <si>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</si>
  <si>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</si>
  <si>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</si>
  <si>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</si>
  <si>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</si>
  <si>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</si>
  <si>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</si>
  <si>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</si>
  <si>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</si>
  <si>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</si>
  <si>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</si>
  <si>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</si>
  <si>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</si>
  <si>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</si>
  <si>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</si>
  <si>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</si>
  <si>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</si>
  <si>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</si>
  <si>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</si>
  <si>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</si>
  <si>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</si>
  <si>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</si>
  <si>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</si>
  <si>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</si>
  <si>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</si>
  <si>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</si>
  <si>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</si>
  <si>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</si>
  <si>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</si>
  <si>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</si>
  <si>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</si>
  <si>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</si>
  <si>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</si>
  <si>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</si>
  <si>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</si>
  <si>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</si>
  <si>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</si>
  <si>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</si>
  <si>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</si>
  <si>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</si>
  <si>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</si>
  <si>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</si>
  <si>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</si>
  <si>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</si>
  <si>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</si>
  <si>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</si>
  <si>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</si>
  <si>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</si>
  <si>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</si>
  <si>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</si>
  <si>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</si>
  <si>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</si>
  <si>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</si>
  <si>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</si>
  <si>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</si>
  <si>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</si>
  <si>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</si>
  <si>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</si>
  <si>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</si>
  <si>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</si>
  <si>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</si>
  <si>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</si>
  <si>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</si>
  <si>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</si>
  <si>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</si>
  <si>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</si>
  <si>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</si>
  <si>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</si>
  <si>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</si>
  <si>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</si>
  <si>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</si>
  <si>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</si>
  <si>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</si>
  <si>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</si>
  <si>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</si>
  <si>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</si>
  <si>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</si>
  <si>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</si>
  <si>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</si>
  <si>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</si>
  <si>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</si>
  <si>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</si>
  <si>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</si>
  <si>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</si>
  <si>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</si>
  <si>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</si>
  <si>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</si>
  <si>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</si>
  <si>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</si>
  <si>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</si>
  <si>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</si>
  <si>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</si>
  <si>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</si>
  <si>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</si>
  <si>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</si>
  <si>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</si>
  <si>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</si>
  <si>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</si>
  <si>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</si>
  <si>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</si>
  <si>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</si>
  <si>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</si>
  <si>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</si>
  <si>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</si>
  <si>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</si>
  <si>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</si>
  <si>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</si>
  <si>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</si>
  <si>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</si>
  <si>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</si>
  <si>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</si>
  <si>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</si>
  <si>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</si>
  <si>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</si>
  <si>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</si>
  <si>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</si>
  <si>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</si>
  <si>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</si>
  <si>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</si>
  <si>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</si>
  <si>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</si>
  <si>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</si>
  <si>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</si>
  <si>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</si>
  <si>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</si>
  <si>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</si>
  <si>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</si>
  <si>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</si>
  <si>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</si>
  <si>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</si>
  <si>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</si>
  <si>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</si>
  <si>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</si>
  <si>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</si>
  <si>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</si>
  <si>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</si>
  <si>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</si>
  <si>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</si>
  <si>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</si>
  <si>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</si>
  <si>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</si>
  <si>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</si>
  <si>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</si>
  <si>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</si>
  <si>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</si>
  <si>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</si>
  <si>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</si>
  <si>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</si>
  <si>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</si>
  <si>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</si>
  <si>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</si>
  <si>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</si>
  <si>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</si>
  <si>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</si>
  <si>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</si>
  <si>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</si>
  <si>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</si>
  <si>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</si>
  <si>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</si>
  <si>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</si>
  <si>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</si>
  <si>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</si>
  <si>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</si>
  <si>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</si>
  <si>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</si>
  <si>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</si>
  <si>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</si>
  <si>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</si>
  <si>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</si>
  <si>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</si>
  <si>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</si>
  <si>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</si>
  <si>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</si>
  <si>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</si>
  <si>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</si>
  <si>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</si>
  <si>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</si>
  <si>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</si>
  <si>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</si>
  <si>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</si>
  <si>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</si>
  <si>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</si>
  <si>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</si>
  <si>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</si>
  <si>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</si>
  <si>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</si>
  <si>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</si>
  <si>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</si>
  <si>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</si>
  <si>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</si>
  <si>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</si>
  <si>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</si>
  <si>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</si>
  <si>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</si>
  <si>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</si>
  <si>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</si>
  <si>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</si>
  <si>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</si>
  <si>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</si>
  <si>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</si>
  <si>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</si>
  <si>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</si>
  <si>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</si>
  <si>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</si>
  <si>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</si>
  <si>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</si>
  <si>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</si>
  <si>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</si>
  <si>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</si>
  <si>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</si>
  <si>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</si>
  <si>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</si>
  <si>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</si>
  <si>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</si>
  <si>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</si>
  <si>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</si>
  <si>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</si>
  <si>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</si>
  <si>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</si>
  <si>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</si>
  <si>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</si>
  <si>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</si>
  <si>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</si>
  <si>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</si>
  <si>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</si>
  <si>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</si>
  <si>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</si>
  <si>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</si>
  <si>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</si>
  <si>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</si>
  <si>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</si>
  <si>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</si>
  <si>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</si>
  <si>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</si>
  <si>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</si>
  <si>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</si>
  <si>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</si>
  <si>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</si>
  <si>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</si>
  <si>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</si>
  <si>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</si>
  <si>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</si>
  <si>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</si>
  <si>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</si>
  <si>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</si>
  <si>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</si>
  <si>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</si>
  <si>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</si>
  <si>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</si>
  <si>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</si>
  <si>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</si>
  <si>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</si>
  <si>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</si>
  <si>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</si>
  <si>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</si>
  <si>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</si>
  <si>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</si>
  <si>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</si>
  <si>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</si>
  <si>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</si>
  <si>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</si>
  <si>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</si>
  <si>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</si>
  <si>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</si>
  <si>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</si>
  <si>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</si>
  <si>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</si>
  <si>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</si>
  <si>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</si>
  <si>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</si>
  <si>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</si>
  <si>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</si>
  <si>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</si>
  <si>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</si>
  <si>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</si>
  <si>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</si>
  <si>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</si>
  <si>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</si>
  <si>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</si>
  <si>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</si>
  <si>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</si>
  <si>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</si>
  <si>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</si>
  <si>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</si>
  <si>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</si>
  <si>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</si>
  <si>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</si>
  <si>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</si>
  <si>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</si>
  <si>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</si>
  <si>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</si>
  <si>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</si>
  <si>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</si>
  <si>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</si>
  <si>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</si>
  <si>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</si>
  <si>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</si>
  <si>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</si>
  <si>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</si>
  <si>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</si>
  <si>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</si>
  <si>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</si>
  <si>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</si>
  <si>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</si>
  <si>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</si>
  <si>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</si>
  <si>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</si>
  <si>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</si>
  <si>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</si>
  <si>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</si>
  <si>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</si>
  <si>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</si>
  <si>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</si>
  <si>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</si>
  <si>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</si>
  <si>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</si>
  <si>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</si>
  <si>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</si>
  <si>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</si>
  <si>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</si>
  <si>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</si>
  <si>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</si>
  <si>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</si>
  <si>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</si>
  <si>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</si>
  <si>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</si>
  <si>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</si>
  <si>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</si>
  <si>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</si>
  <si>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</si>
  <si>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</si>
  <si>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</si>
  <si>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</si>
  <si>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</si>
  <si>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</si>
  <si>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</si>
  <si>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</si>
  <si>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</si>
  <si>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</si>
  <si>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</si>
  <si>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</si>
  <si>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</si>
  <si>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</si>
  <si>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</si>
  <si>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</si>
  <si>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</si>
  <si>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</si>
  <si>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</si>
  <si>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</si>
  <si>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</si>
  <si>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</si>
  <si>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</si>
  <si>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</si>
  <si>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</si>
  <si>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</si>
  <si>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</si>
  <si>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</si>
  <si>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</si>
  <si>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</si>
  <si>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</si>
  <si>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</si>
  <si>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</si>
  <si>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</si>
  <si>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</si>
  <si>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</si>
  <si>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</si>
  <si>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</si>
  <si>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</si>
  <si>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</si>
  <si>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</si>
  <si>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</si>
  <si>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</si>
  <si>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</si>
  <si>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</si>
  <si>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</si>
  <si>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</si>
  <si>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</si>
  <si>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</si>
  <si>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</si>
  <si>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</si>
  <si>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</si>
  <si>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</si>
  <si>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</si>
  <si>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</si>
  <si>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</si>
  <si>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</si>
  <si>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</si>
  <si>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</si>
  <si>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</si>
  <si>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</si>
  <si>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</si>
  <si>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</si>
  <si>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</si>
  <si>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</si>
  <si>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</si>
  <si>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</si>
  <si>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</si>
  <si>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</si>
  <si>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</si>
  <si>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</si>
  <si>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</si>
  <si>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</si>
  <si>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</si>
  <si>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</si>
  <si>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</si>
  <si>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</si>
  <si>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</si>
  <si>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</si>
  <si>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</si>
  <si>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</si>
  <si>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</si>
  <si>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</si>
  <si>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</si>
  <si>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</si>
  <si>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</si>
  <si>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</si>
  <si>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</si>
  <si>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</si>
  <si>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</si>
  <si>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</si>
  <si>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</si>
  <si>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</si>
  <si>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</si>
  <si>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</si>
  <si>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</si>
  <si>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</si>
  <si>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</si>
  <si>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</si>
  <si>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</si>
  <si>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</si>
  <si>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</si>
  <si>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</si>
  <si>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</si>
  <si>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</si>
  <si>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</si>
  <si>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</si>
  <si>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</si>
  <si>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</si>
  <si>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</si>
  <si>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</si>
  <si>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</si>
  <si>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</si>
  <si>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</si>
  <si>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</si>
  <si>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</si>
  <si>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</si>
  <si>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</si>
  <si>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</si>
  <si>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</si>
  <si>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</si>
  <si>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</si>
  <si>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</si>
  <si>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</si>
  <si>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</si>
  <si>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</si>
  <si>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</si>
  <si>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</si>
  <si>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</si>
  <si>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</si>
  <si>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</si>
  <si>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</si>
  <si>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</si>
  <si>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</si>
  <si>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</si>
  <si>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</si>
  <si>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</si>
  <si>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</si>
  <si>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</si>
  <si>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</si>
  <si>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</si>
  <si>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</si>
  <si>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</si>
  <si>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</si>
  <si>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</si>
  <si>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</si>
  <si>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</si>
  <si>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</si>
  <si>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</si>
  <si>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</si>
  <si>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</si>
  <si>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</si>
  <si>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</si>
  <si>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</si>
  <si>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</si>
  <si>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</si>
  <si>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</si>
  <si>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</si>
  <si>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</si>
  <si>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</si>
  <si>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</si>
  <si>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</si>
  <si>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</si>
  <si>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</si>
  <si>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</si>
  <si>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</si>
  <si>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</si>
  <si>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</si>
  <si>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</si>
  <si>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</si>
  <si>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</si>
  <si>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</si>
  <si>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</si>
  <si>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</si>
  <si>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</si>
  <si>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</si>
  <si>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</si>
  <si>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</si>
  <si>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</si>
  <si>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</si>
  <si>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</si>
  <si>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</si>
  <si>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</si>
  <si>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</si>
  <si>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</si>
  <si>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</si>
  <si>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</si>
  <si>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</si>
  <si>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</si>
  <si>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</si>
  <si>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</si>
  <si>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</si>
  <si>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</si>
  <si>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</si>
  <si>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</si>
  <si>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</si>
  <si>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</si>
  <si>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</si>
  <si>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</si>
  <si>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</si>
  <si>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</si>
  <si>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</si>
  <si>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</si>
  <si>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</si>
  <si>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</si>
  <si>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</si>
  <si>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</si>
  <si>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</si>
  <si>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</si>
  <si>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</si>
  <si>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</si>
  <si>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</si>
  <si>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</si>
  <si>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</si>
  <si>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</si>
  <si>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</si>
  <si>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</si>
  <si>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</si>
  <si>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</si>
  <si>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</si>
  <si>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</si>
  <si>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</si>
  <si>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</si>
  <si>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</si>
  <si>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</si>
  <si>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</si>
  <si>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</si>
  <si>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</si>
  <si>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</si>
  <si>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</si>
  <si>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</si>
  <si>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</si>
  <si>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</si>
  <si>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</si>
  <si>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</si>
  <si>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</si>
  <si>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</si>
  <si>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</si>
  <si>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</si>
  <si>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</si>
  <si>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</si>
  <si>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</si>
  <si>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</si>
  <si>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</si>
  <si>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</si>
  <si>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</si>
  <si>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</si>
  <si>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</si>
  <si>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</si>
  <si>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</si>
  <si>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</si>
  <si>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</si>
  <si>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</si>
  <si>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</si>
  <si>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</si>
  <si>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</si>
  <si>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</si>
  <si>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</si>
  <si>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</si>
  <si>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</si>
  <si>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</si>
  <si>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</si>
  <si>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</si>
  <si>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</si>
  <si>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</si>
  <si>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</si>
  <si>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</si>
  <si>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</si>
  <si>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</si>
  <si>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</si>
  <si>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</si>
  <si>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</si>
  <si>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</si>
  <si>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</si>
  <si>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</si>
  <si>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</si>
  <si>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</si>
  <si>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</si>
  <si>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</si>
  <si>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</si>
  <si>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</si>
  <si>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</si>
  <si>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</si>
  <si>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</si>
  <si>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</si>
  <si>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</si>
  <si>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</si>
  <si>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</si>
  <si>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</si>
  <si>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</si>
  <si>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</si>
  <si>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</si>
  <si>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</si>
  <si>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</si>
  <si>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</si>
  <si>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</si>
  <si>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</si>
  <si>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</si>
  <si>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</si>
  <si>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</si>
  <si>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</si>
  <si>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</si>
  <si>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</si>
  <si>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</si>
  <si>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</si>
  <si>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</si>
  <si>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</si>
  <si>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</si>
  <si>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</si>
  <si>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</si>
  <si>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</si>
  <si>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</si>
  <si>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</si>
  <si>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</si>
  <si>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</si>
  <si>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</si>
  <si>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</si>
  <si>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</si>
  <si>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</si>
  <si>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</si>
  <si>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</si>
  <si>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</si>
  <si>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</si>
  <si>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</si>
  <si>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</si>
  <si>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</si>
  <si>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</si>
  <si>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</si>
  <si>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</si>
  <si>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</si>
  <si>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</si>
  <si>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</si>
  <si>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</si>
  <si>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</si>
  <si>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</si>
  <si>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</si>
  <si>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</si>
  <si>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</si>
  <si>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</si>
  <si>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</si>
  <si>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</si>
  <si>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</si>
  <si>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</si>
  <si>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</si>
  <si>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</si>
  <si>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</si>
  <si>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</si>
  <si>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</si>
  <si>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</si>
  <si>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</si>
  <si>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</si>
  <si>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</si>
  <si>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</si>
  <si>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</si>
  <si>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</si>
  <si>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</si>
  <si>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</si>
  <si>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</si>
  <si>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</si>
  <si>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</si>
  <si>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</si>
  <si>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</si>
  <si>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</si>
  <si>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</si>
  <si>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</si>
  <si>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</si>
  <si>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</si>
  <si>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</si>
  <si>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</si>
  <si>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</si>
  <si>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</si>
  <si>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</si>
  <si>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</si>
  <si>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</si>
  <si>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</si>
  <si>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</si>
  <si>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</si>
  <si>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</si>
  <si>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</si>
  <si>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</si>
  <si>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</si>
  <si>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</si>
  <si>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</si>
  <si>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</si>
  <si>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</si>
  <si>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</si>
  <si>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</si>
  <si>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</si>
  <si>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</si>
  <si>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</si>
  <si>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</si>
  <si>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</si>
  <si>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</si>
  <si>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</si>
  <si>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</si>
  <si>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</si>
  <si>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</si>
  <si>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</si>
  <si>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</si>
  <si>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</si>
  <si>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</si>
  <si>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</si>
  <si>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</si>
  <si>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</si>
  <si>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</si>
  <si>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</si>
  <si>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</si>
  <si>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</si>
  <si>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</si>
  <si>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</si>
  <si>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</si>
  <si>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</si>
  <si>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</si>
  <si>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</si>
  <si>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</si>
  <si>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</si>
  <si>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</si>
  <si>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</si>
  <si>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</si>
  <si>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</si>
  <si>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</si>
  <si>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</si>
  <si>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</si>
  <si>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</si>
  <si>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</si>
  <si>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</si>
  <si>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</si>
  <si>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</si>
  <si>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</si>
  <si>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</si>
  <si>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</si>
  <si>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</si>
  <si>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</si>
  <si>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</si>
  <si>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</si>
  <si>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</si>
  <si>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</si>
  <si>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</si>
  <si>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</si>
  <si>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</si>
  <si>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</si>
  <si>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</si>
  <si>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</si>
  <si>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</si>
  <si>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</si>
  <si>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</si>
  <si>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</si>
  <si>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</si>
  <si>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</si>
  <si>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</si>
  <si>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</si>
  <si>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</si>
  <si>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</si>
  <si>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</si>
  <si>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</si>
  <si>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</si>
  <si>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</si>
  <si>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</si>
  <si>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</si>
  <si>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</si>
  <si>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</si>
  <si>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</si>
  <si>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</si>
  <si>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</si>
  <si>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</si>
  <si>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</si>
  <si>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</si>
  <si>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</si>
  <si>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</si>
  <si>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</si>
  <si>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</si>
  <si>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</si>
  <si>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</si>
  <si>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</si>
  <si>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</si>
  <si>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</si>
  <si>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</si>
  <si>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</si>
  <si>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</si>
  <si>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</si>
  <si>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</si>
  <si>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</si>
  <si>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</si>
  <si>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</si>
  <si>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</si>
  <si>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</si>
  <si>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</si>
  <si>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</si>
  <si>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</si>
  <si>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</si>
  <si>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</si>
  <si>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</si>
  <si>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</si>
  <si>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</si>
  <si>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</si>
  <si>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</si>
  <si>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</si>
  <si>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</si>
  <si>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</si>
  <si>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</si>
  <si>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</si>
  <si>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</si>
  <si>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</si>
  <si>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</si>
  <si>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</si>
  <si>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</si>
  <si>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</si>
  <si>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</si>
  <si>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</si>
  <si>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</si>
  <si>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</si>
  <si>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</si>
  <si>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</si>
  <si>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</si>
  <si>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</si>
  <si>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</si>
  <si>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</si>
  <si>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</si>
  <si>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</si>
  <si>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</si>
  <si>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</si>
  <si>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</si>
  <si>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</si>
  <si>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</si>
  <si>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</si>
  <si>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</si>
  <si>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</si>
  <si>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</si>
  <si>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</si>
  <si>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</si>
  <si>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</si>
  <si>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</si>
  <si>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</si>
  <si>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</si>
  <si>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</si>
  <si>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</si>
  <si>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</si>
  <si>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</si>
  <si>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</si>
  <si>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</si>
  <si>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</si>
  <si>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</si>
  <si>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</si>
  <si>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</si>
  <si>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</si>
  <si>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</si>
  <si>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</si>
  <si>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</si>
  <si>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</si>
  <si>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</si>
  <si>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</si>
  <si>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</si>
  <si>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</si>
  <si>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</si>
  <si>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</si>
  <si>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</si>
  <si>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</si>
  <si>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</si>
  <si>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</si>
  <si>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</si>
  <si>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</si>
  <si>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</si>
  <si>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</si>
  <si>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</si>
  <si>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</si>
  <si>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</si>
  <si>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</si>
  <si>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</si>
  <si>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</si>
  <si>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</si>
  <si>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</si>
  <si>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</si>
  <si>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</si>
  <si>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</si>
  <si>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</si>
  <si>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</si>
  <si>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</si>
  <si>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</si>
  <si>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</si>
  <si>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</si>
  <si>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</si>
  <si>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</si>
  <si>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</si>
  <si>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</si>
  <si>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</si>
  <si>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</si>
  <si>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</si>
  <si>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</si>
  <si>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</si>
  <si>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</si>
  <si>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</si>
  <si>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</si>
  <si>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</si>
  <si>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</si>
  <si>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</si>
  <si>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</si>
  <si>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</si>
  <si>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</si>
  <si>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</si>
  <si>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</si>
  <si>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</si>
  <si>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</si>
  <si>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</si>
  <si>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</si>
  <si>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</si>
  <si>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</si>
  <si>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</si>
  <si>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</si>
  <si>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</si>
  <si>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</si>
  <si>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</si>
  <si>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</si>
  <si>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</si>
  <si>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</si>
  <si>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</si>
  <si>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</si>
  <si>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</si>
  <si>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</si>
  <si>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</si>
  <si>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</si>
  <si>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</si>
  <si>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</si>
  <si>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</si>
  <si>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</si>
  <si>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</si>
  <si>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</si>
  <si>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</si>
  <si>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</si>
  <si>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</si>
  <si>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</si>
  <si>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</si>
  <si>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</si>
  <si>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</si>
  <si>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</si>
  <si>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</si>
  <si>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</si>
  <si>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</si>
  <si>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</si>
  <si>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</si>
  <si>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</si>
  <si>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</si>
  <si>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</si>
  <si>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</si>
  <si>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</si>
  <si>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</si>
  <si>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</si>
  <si>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</si>
  <si>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</si>
  <si>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</si>
  <si>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</si>
  <si>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</si>
  <si>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</si>
  <si>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</si>
  <si>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</si>
  <si>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</si>
  <si>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</si>
  <si>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</si>
  <si>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</si>
  <si>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</si>
  <si>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</si>
  <si>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</si>
  <si>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</si>
  <si>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</si>
  <si>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</si>
  <si>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</si>
  <si>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</si>
  <si>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</si>
  <si>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</si>
  <si>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</si>
  <si>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</si>
  <si>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</si>
  <si>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</si>
  <si>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</si>
  <si>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</si>
  <si>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</si>
  <si>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</si>
  <si>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</si>
  <si>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</si>
  <si>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</si>
  <si>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</si>
  <si>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</si>
  <si>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</si>
  <si>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</si>
  <si>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</si>
  <si>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</si>
  <si>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</si>
  <si>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</si>
  <si>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</si>
  <si>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</si>
  <si>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</si>
  <si>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</si>
  <si>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</si>
  <si>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</si>
  <si>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</si>
  <si>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</si>
  <si>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</si>
  <si>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</si>
  <si>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</si>
  <si>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</si>
  <si>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</si>
  <si>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</si>
  <si>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</si>
  <si>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</si>
  <si>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</si>
  <si>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</si>
  <si>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</si>
  <si>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</si>
  <si>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</si>
  <si>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</si>
  <si>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</si>
  <si>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</si>
  <si>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</si>
  <si>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</si>
  <si>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</si>
  <si>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</si>
  <si>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</si>
  <si>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</si>
  <si>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</si>
  <si>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</si>
  <si>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</si>
  <si>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</si>
  <si>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</si>
  <si>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</si>
  <si>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</si>
  <si>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</si>
  <si>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</si>
  <si>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</si>
  <si>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</si>
  <si>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</si>
  <si>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</si>
  <si>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</si>
  <si>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</si>
  <si>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</si>
  <si>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</si>
  <si>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</si>
  <si>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</si>
  <si>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</si>
  <si>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</si>
  <si>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</si>
  <si>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</si>
  <si>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</si>
  <si>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</si>
  <si>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</si>
  <si>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</si>
  <si>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</si>
  <si>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</si>
  <si>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</si>
  <si>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</si>
  <si>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</si>
  <si>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</si>
  <si>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</si>
  <si>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</si>
  <si>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</si>
  <si>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</si>
  <si>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</si>
  <si>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</si>
  <si>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</si>
  <si>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</si>
  <si>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</si>
  <si>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</si>
  <si>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</si>
  <si>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</si>
  <si>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</si>
  <si>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</si>
  <si>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</si>
  <si>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</si>
  <si>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</si>
  <si>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</si>
  <si>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</si>
  <si>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</si>
  <si>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</si>
  <si>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</si>
  <si>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</si>
  <si>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</si>
  <si>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</si>
  <si>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</si>
  <si>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</si>
  <si>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</si>
  <si>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</si>
  <si>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</si>
  <si>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</si>
  <si>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</si>
  <si>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</si>
  <si>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</si>
  <si>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</si>
  <si>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</si>
  <si>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</si>
  <si>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</si>
  <si>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</si>
  <si>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</si>
  <si>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</si>
  <si>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</si>
  <si>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</si>
  <si>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</si>
  <si>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</si>
  <si>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</si>
  <si>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</si>
  <si>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</si>
  <si>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</si>
  <si>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</si>
  <si>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</si>
  <si>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</si>
  <si>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</si>
  <si>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</si>
  <si>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</si>
  <si>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</si>
  <si>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</si>
  <si>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</si>
  <si>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</si>
  <si>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</si>
  <si>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</si>
  <si>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</si>
  <si>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</si>
  <si>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</si>
  <si>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</si>
  <si>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</si>
  <si>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</si>
  <si>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</si>
  <si>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</si>
  <si>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</si>
  <si>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</si>
  <si>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</si>
  <si>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</si>
  <si>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</si>
  <si>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</si>
  <si>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</si>
  <si>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</si>
  <si>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</si>
  <si>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</si>
  <si>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</si>
  <si>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</si>
  <si>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</si>
  <si>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</si>
  <si>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</si>
  <si>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</si>
  <si>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</si>
  <si>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</si>
  <si>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</si>
  <si>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</si>
  <si>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</si>
  <si>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</si>
  <si>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</si>
  <si>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</si>
  <si>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</si>
  <si>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</si>
  <si>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</si>
  <si>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</si>
  <si>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</si>
  <si>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</si>
  <si>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</si>
  <si>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</si>
  <si>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</si>
  <si>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</si>
  <si>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</si>
  <si>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</si>
  <si>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</si>
  <si>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</si>
  <si>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</si>
  <si>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</si>
  <si>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</si>
  <si>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</si>
  <si>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</si>
  <si>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</si>
  <si>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</si>
  <si>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</si>
  <si>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</si>
  <si>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</si>
  <si>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</si>
  <si>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</si>
  <si>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</si>
  <si>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</si>
  <si>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</si>
  <si>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</si>
  <si>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</si>
  <si>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</si>
  <si>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</si>
  <si>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</si>
  <si>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</si>
  <si>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</si>
  <si>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</si>
  <si>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</si>
  <si>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</si>
  <si>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</si>
  <si>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</si>
  <si>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</si>
  <si>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</si>
  <si>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</si>
  <si>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</si>
  <si>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</si>
  <si>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</si>
  <si>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</si>
  <si>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</si>
  <si>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</si>
  <si>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</si>
  <si>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</si>
  <si>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</si>
  <si>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</si>
  <si>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</si>
  <si>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</si>
  <si>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</si>
  <si>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</si>
  <si>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</si>
  <si>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</si>
  <si>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</si>
  <si>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</si>
  <si>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</si>
  <si>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</si>
  <si>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</si>
  <si>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</si>
  <si>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</si>
  <si>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</si>
  <si>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</si>
  <si>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</si>
  <si>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</si>
  <si>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</si>
  <si>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</si>
  <si>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</si>
  <si>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</si>
  <si>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</si>
  <si>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</si>
  <si>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</si>
  <si>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</si>
  <si>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</si>
  <si>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</si>
  <si>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</si>
  <si>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</si>
  <si>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</si>
  <si>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</si>
  <si>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</si>
  <si>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</si>
  <si>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</si>
  <si>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</si>
  <si>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</si>
  <si>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</si>
  <si>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</si>
  <si>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</si>
  <si>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</si>
  <si>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</si>
  <si>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</si>
  <si>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</si>
  <si>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</si>
  <si>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</si>
  <si>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</si>
  <si>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</si>
  <si>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</si>
  <si>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</si>
  <si>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</si>
  <si>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</si>
  <si>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</si>
  <si>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</si>
  <si>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</si>
  <si>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</si>
  <si>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</si>
  <si>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</si>
  <si>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</si>
  <si>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</si>
  <si>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</si>
  <si>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</si>
  <si>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</si>
  <si>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</si>
  <si>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</si>
  <si>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</si>
  <si>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</si>
  <si>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</si>
  <si>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</si>
  <si>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</si>
  <si>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</si>
  <si>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</si>
  <si>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</si>
  <si>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</si>
  <si>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</si>
  <si>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</si>
  <si>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</si>
  <si>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</si>
  <si>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</si>
  <si>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</si>
  <si>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</si>
  <si>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</si>
  <si>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</si>
  <si>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</si>
  <si>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</si>
  <si>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</si>
  <si>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</si>
  <si>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</si>
  <si>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</si>
  <si>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</si>
  <si>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</si>
  <si>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</si>
  <si>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</si>
  <si>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</si>
  <si>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</si>
  <si>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</si>
  <si>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</si>
  <si>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</si>
  <si>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</si>
  <si>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</si>
  <si>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</si>
  <si>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</si>
  <si>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</si>
  <si>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</si>
  <si>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</si>
  <si>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</si>
  <si>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</si>
  <si>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</si>
  <si>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</si>
  <si>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</si>
  <si>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</si>
  <si>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</si>
  <si>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</si>
  <si>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</si>
  <si>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</si>
  <si>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</si>
  <si>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</si>
  <si>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</si>
  <si>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</si>
  <si>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</si>
  <si>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</si>
  <si>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</si>
  <si>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</si>
  <si>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</si>
  <si>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</si>
  <si>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</si>
  <si>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</si>
  <si>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</si>
  <si>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</si>
  <si>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</si>
  <si>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</si>
  <si>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</si>
  <si>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</si>
  <si>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</si>
  <si>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</si>
  <si>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</si>
  <si>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</si>
  <si>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</si>
  <si>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</si>
  <si>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</si>
  <si>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</si>
  <si>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</si>
  <si>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</si>
  <si>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</si>
  <si>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</si>
  <si>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</si>
  <si>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</si>
  <si>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</si>
  <si>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</si>
  <si>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</si>
  <si>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</si>
  <si>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</si>
  <si>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</si>
  <si>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</si>
  <si>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</si>
  <si>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</si>
  <si>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</si>
  <si>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</si>
  <si>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</si>
  <si>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</si>
  <si>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</si>
  <si>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</si>
  <si>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</si>
  <si>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</si>
  <si>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</si>
  <si>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</si>
  <si>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</si>
  <si>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</si>
  <si>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</si>
  <si>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</si>
  <si>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</si>
  <si>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</si>
  <si>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</si>
  <si>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</si>
  <si>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</si>
  <si>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</si>
  <si>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</si>
  <si>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</si>
  <si>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</si>
  <si>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</si>
  <si>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</si>
  <si>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</si>
  <si>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</si>
  <si>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</si>
  <si>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</si>
  <si>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</si>
  <si>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</si>
  <si>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</si>
  <si>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</si>
  <si>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</si>
  <si>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</si>
  <si>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</si>
  <si>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</si>
  <si>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</si>
  <si>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</si>
  <si>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</si>
  <si>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</si>
  <si>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</si>
  <si>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</si>
  <si>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</si>
  <si>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</si>
  <si>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</si>
  <si>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</si>
  <si>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</si>
  <si>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</si>
  <si>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</si>
  <si>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</si>
  <si>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</si>
  <si>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</si>
  <si>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</si>
  <si>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</si>
  <si>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</si>
  <si>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</si>
  <si>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</si>
  <si>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</si>
  <si>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</si>
  <si>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</si>
  <si>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</si>
  <si>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</si>
  <si>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</si>
  <si>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</si>
  <si>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</si>
  <si>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</si>
  <si>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</si>
  <si>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</si>
  <si>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</si>
  <si>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</si>
  <si>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</si>
  <si>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</si>
  <si>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</si>
  <si>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</si>
  <si>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</si>
  <si>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</si>
  <si>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</si>
  <si>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</si>
  <si>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</si>
  <si>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</si>
  <si>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</si>
  <si>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</si>
  <si>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</si>
  <si>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</si>
  <si>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</si>
  <si>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</si>
  <si>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</si>
  <si>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</si>
  <si>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</si>
  <si>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</si>
  <si>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</si>
  <si>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</si>
  <si>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</si>
  <si>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</si>
  <si>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</si>
  <si>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</si>
  <si>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</si>
  <si>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</si>
  <si>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</si>
  <si>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</si>
  <si>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</si>
  <si>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</si>
  <si>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</si>
  <si>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</si>
  <si>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</si>
  <si>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</si>
  <si>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</si>
  <si>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</si>
  <si>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</si>
  <si>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</si>
  <si>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</si>
  <si>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</si>
  <si>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</si>
  <si>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</si>
  <si>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</si>
  <si>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</si>
  <si>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</si>
  <si>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</si>
  <si>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</si>
  <si>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</si>
  <si>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</si>
  <si>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</si>
  <si>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</si>
  <si>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</si>
  <si>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</si>
  <si>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</si>
  <si>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</si>
  <si>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</si>
  <si>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</si>
  <si>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</si>
  <si>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</si>
  <si>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</si>
  <si>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</si>
  <si>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</si>
  <si>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</si>
  <si>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</si>
  <si>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</si>
  <si>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</si>
  <si>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</si>
  <si>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</si>
  <si>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</si>
  <si>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</si>
  <si>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</si>
  <si>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</si>
  <si>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</si>
  <si>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</si>
  <si>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</si>
  <si>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</si>
  <si>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</si>
  <si>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</si>
  <si>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</si>
  <si>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</si>
  <si>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</si>
  <si>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</si>
  <si>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</si>
  <si>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</si>
  <si>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</si>
  <si>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</si>
  <si>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</si>
  <si>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</si>
  <si>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</si>
  <si>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</si>
  <si>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</si>
  <si>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</si>
  <si>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</si>
  <si>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</si>
  <si>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</si>
  <si>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</si>
  <si>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</si>
  <si>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</si>
  <si>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</si>
  <si>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</si>
  <si>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</si>
  <si>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</si>
  <si>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</si>
  <si>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</si>
  <si>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</si>
  <si>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</si>
  <si>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</si>
  <si>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</si>
  <si>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</si>
  <si>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</si>
  <si>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</si>
  <si>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</si>
  <si>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</si>
  <si>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</si>
  <si>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</si>
  <si>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</si>
  <si>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</si>
  <si>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</si>
  <si>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</si>
  <si>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</si>
  <si>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</si>
  <si>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</si>
  <si>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</si>
  <si>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</si>
  <si>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</si>
  <si>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</si>
  <si>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</si>
  <si>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</si>
  <si>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</si>
  <si>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</si>
  <si>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</si>
  <si>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</si>
  <si>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</si>
  <si>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</si>
  <si>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</si>
  <si>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</si>
  <si>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</si>
  <si>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</si>
  <si>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</si>
  <si>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</si>
  <si>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</si>
  <si>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</si>
  <si>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</si>
  <si>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</si>
  <si>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</si>
  <si>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</si>
  <si>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</si>
  <si>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</si>
  <si>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</si>
  <si>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</si>
  <si>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</si>
  <si>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</si>
  <si>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</si>
  <si>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</si>
  <si>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</si>
  <si>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</si>
  <si>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</si>
  <si>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</si>
  <si>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</si>
  <si>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</si>
  <si>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</si>
  <si>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</si>
  <si>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</si>
  <si>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</si>
  <si>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</si>
  <si>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</si>
  <si>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</si>
  <si>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</si>
  <si>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</si>
  <si>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</si>
  <si>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</si>
  <si>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</si>
  <si>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</si>
  <si>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</si>
  <si>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</si>
  <si>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</si>
  <si>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</si>
  <si>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</si>
  <si>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</si>
  <si>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</si>
  <si>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</si>
  <si>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</si>
  <si>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</si>
  <si>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</si>
  <si>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</si>
  <si>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</si>
  <si>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</si>
  <si>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</si>
  <si>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</si>
  <si>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</si>
  <si>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</si>
  <si>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</si>
  <si>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</si>
  <si>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</si>
  <si>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</si>
  <si>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</si>
  <si>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</si>
  <si>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</si>
  <si>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</si>
  <si>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</si>
  <si>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</si>
  <si>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</si>
  <si>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</si>
  <si>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</si>
  <si>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</si>
  <si>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</si>
  <si>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</si>
  <si>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</si>
  <si>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</si>
  <si>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</si>
  <si>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</si>
  <si>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</si>
  <si>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</si>
  <si>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</si>
  <si>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</si>
  <si>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</si>
  <si>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</si>
  <si>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</si>
  <si>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</si>
  <si>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</si>
  <si>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</si>
  <si>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</si>
  <si>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</si>
  <si>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</si>
  <si>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</si>
  <si>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</si>
  <si>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</si>
  <si>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</si>
  <si>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</si>
  <si>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</si>
  <si>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</si>
  <si>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</si>
  <si>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</si>
  <si>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</si>
  <si>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</si>
  <si>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</si>
  <si>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</si>
  <si>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</si>
  <si>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</si>
  <si>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</si>
  <si>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</si>
  <si>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</si>
  <si>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</si>
  <si>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</si>
  <si>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</si>
  <si>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</si>
  <si>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</si>
  <si>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</si>
  <si>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</si>
  <si>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</si>
  <si>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</si>
  <si>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</si>
  <si>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</si>
  <si>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</si>
  <si>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</si>
  <si>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</si>
  <si>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</si>
  <si>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</si>
  <si>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</si>
  <si>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</si>
  <si>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</si>
  <si>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</si>
  <si>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</si>
  <si>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</si>
  <si>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</si>
  <si>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</si>
  <si>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</si>
  <si>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</si>
  <si>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</si>
  <si>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</si>
  <si>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</si>
  <si>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</si>
  <si>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</si>
  <si>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</si>
  <si>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</si>
  <si>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</si>
  <si>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</si>
  <si>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</si>
  <si>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</si>
  <si>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</si>
  <si>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</si>
  <si>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</si>
  <si>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</si>
  <si>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</si>
  <si>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</si>
  <si>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</si>
  <si>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</si>
  <si>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</si>
  <si>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</si>
  <si>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</si>
  <si>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</si>
  <si>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</si>
  <si>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</si>
  <si>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</si>
  <si>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</si>
  <si>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</si>
  <si>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</si>
  <si>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</si>
  <si>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</si>
  <si>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</si>
  <si>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</si>
  <si>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</si>
  <si>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</si>
  <si>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</si>
  <si>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</si>
  <si>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</si>
  <si>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</si>
  <si>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</si>
  <si>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</si>
  <si>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</si>
  <si>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</si>
  <si>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</si>
  <si>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</si>
  <si>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</si>
  <si>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</si>
  <si>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</si>
  <si>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</si>
  <si>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</si>
  <si>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</si>
  <si>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</si>
  <si>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</si>
  <si>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</si>
  <si>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</si>
  <si>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</si>
  <si>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</si>
  <si>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</si>
  <si>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</si>
  <si>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</si>
  <si>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</si>
  <si>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</si>
  <si>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</si>
  <si>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</si>
  <si>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</si>
  <si>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</si>
  <si>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</si>
  <si>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</si>
  <si>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</si>
  <si>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</si>
  <si>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</si>
  <si>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</si>
  <si>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</si>
  <si>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</si>
  <si>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</si>
  <si>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</si>
  <si>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</si>
  <si>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</si>
  <si>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</si>
  <si>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</si>
  <si>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</si>
  <si>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</si>
  <si>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</si>
  <si>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</si>
  <si>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</si>
  <si>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</si>
  <si>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</si>
  <si>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</si>
  <si>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</si>
  <si>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</si>
  <si>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</si>
  <si>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</si>
  <si>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</si>
  <si>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</si>
  <si>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</si>
  <si>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</si>
  <si>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</si>
  <si>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</si>
  <si>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</si>
  <si>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</si>
  <si>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</si>
  <si>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</si>
  <si>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</si>
  <si>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</si>
  <si>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</si>
  <si>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</si>
  <si>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</si>
  <si>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</si>
  <si>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</si>
  <si>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</si>
  <si>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</si>
  <si>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</si>
  <si>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</si>
  <si>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</si>
  <si>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</si>
  <si>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</si>
  <si>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</si>
  <si>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</si>
  <si>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</si>
  <si>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</si>
  <si>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</si>
  <si>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</si>
  <si>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</si>
  <si>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</si>
  <si>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</si>
  <si>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</si>
  <si>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</si>
  <si>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</si>
  <si>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</si>
  <si>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</si>
  <si>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</si>
  <si>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</si>
  <si>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</si>
  <si>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</si>
  <si>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</si>
  <si>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</si>
  <si>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</si>
  <si>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</si>
  <si>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</si>
  <si>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</si>
  <si>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</si>
  <si>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</si>
  <si>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</si>
  <si>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</si>
  <si>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</si>
  <si>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</si>
  <si>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</si>
  <si>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</si>
  <si>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</si>
  <si>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</si>
  <si>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</si>
  <si>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</si>
  <si>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</si>
  <si>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</si>
  <si>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</si>
  <si>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</si>
  <si>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</si>
  <si>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</si>
  <si>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</si>
  <si>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</si>
  <si>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</si>
  <si>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</si>
  <si>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</si>
  <si>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</si>
  <si>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</si>
  <si>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</si>
  <si>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</si>
  <si>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</si>
  <si>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</si>
  <si>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</si>
  <si>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</si>
  <si>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</si>
  <si>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</si>
  <si>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</si>
  <si>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</si>
  <si>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</si>
  <si>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</si>
  <si>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</si>
  <si>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</si>
  <si>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</si>
  <si>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</si>
  <si>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</si>
  <si>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</si>
  <si>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</si>
  <si>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</si>
  <si>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</si>
  <si>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</si>
  <si>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</si>
  <si>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</si>
  <si>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</si>
  <si>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</si>
  <si>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</si>
  <si>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</si>
  <si>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</si>
  <si>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</si>
  <si>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</si>
  <si>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</si>
  <si>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</si>
  <si>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</si>
  <si>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</si>
  <si>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</si>
  <si>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</si>
  <si>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</si>
  <si>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</si>
  <si>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</si>
  <si>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</si>
  <si>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</si>
  <si>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</si>
  <si>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</si>
  <si>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</si>
  <si>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</si>
  <si>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</si>
  <si>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</si>
  <si>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</si>
  <si>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</si>
  <si>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</si>
  <si>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</si>
  <si>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</si>
  <si>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</si>
  <si>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</si>
  <si>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</si>
  <si>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</si>
  <si>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</si>
  <si>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</si>
  <si>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</si>
  <si>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</si>
  <si>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</si>
  <si>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</si>
  <si>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</si>
  <si>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</si>
  <si>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</si>
  <si>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</si>
  <si>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</si>
  <si>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</si>
  <si>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</si>
  <si>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</si>
  <si>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</si>
  <si>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</si>
  <si>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</si>
  <si>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</si>
  <si>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</si>
  <si>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</si>
  <si>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</si>
  <si>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</si>
  <si>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</si>
  <si>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</si>
  <si>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</si>
  <si>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</si>
  <si>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</si>
  <si>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</si>
  <si>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</si>
  <si>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</si>
  <si>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</si>
  <si>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</si>
  <si>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</si>
  <si>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</si>
  <si>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</si>
  <si>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</si>
  <si>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</si>
  <si>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</si>
  <si>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</si>
  <si>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</si>
  <si>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</si>
  <si>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</si>
  <si>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</si>
  <si>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</si>
  <si>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</si>
  <si>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</si>
  <si>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</si>
  <si>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</si>
  <si>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</si>
  <si>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</si>
  <si>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</si>
  <si>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</si>
  <si>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</si>
  <si>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</si>
  <si>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</si>
  <si>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</si>
  <si>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</si>
  <si>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</si>
  <si>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</si>
  <si>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</si>
  <si>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</si>
  <si>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</si>
  <si>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</si>
  <si>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</si>
  <si>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</si>
  <si>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</si>
  <si>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</si>
  <si>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</si>
  <si>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</si>
  <si>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</si>
  <si>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</si>
  <si>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</si>
  <si>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</si>
  <si>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</si>
  <si>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</si>
  <si>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</si>
  <si>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</si>
  <si>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</si>
  <si>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</si>
  <si>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</si>
  <si>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</si>
  <si>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</si>
  <si>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</si>
  <si>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</si>
  <si>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</si>
  <si>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</si>
  <si>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</si>
  <si>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</si>
  <si>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</si>
  <si>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</si>
  <si>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</si>
  <si>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</si>
  <si>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</si>
  <si>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</si>
  <si>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</si>
  <si>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</si>
  <si>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</si>
  <si>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</si>
  <si>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</si>
  <si>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</si>
  <si>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</si>
  <si>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</si>
  <si>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</si>
  <si>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</si>
  <si>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</si>
  <si>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</si>
  <si>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</si>
  <si>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</si>
  <si>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</si>
  <si>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</si>
  <si>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</si>
  <si>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</si>
  <si>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</si>
  <si>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</si>
  <si>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</si>
  <si>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</si>
  <si>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</si>
  <si>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</si>
  <si>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</si>
  <si>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</si>
  <si>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</si>
  <si>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</si>
  <si>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</si>
  <si>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</si>
  <si>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</si>
  <si>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</si>
  <si>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</si>
  <si>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</si>
  <si>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</si>
  <si>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</si>
  <si>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</si>
  <si>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</si>
  <si>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</si>
  <si>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</si>
  <si>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</si>
  <si>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</si>
  <si>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</si>
  <si>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</si>
  <si>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</si>
  <si>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</si>
  <si>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</si>
  <si>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</si>
  <si>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</si>
  <si>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</si>
  <si>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</si>
  <si>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</si>
  <si>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</si>
  <si>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</si>
  <si>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</si>
  <si>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</si>
  <si>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</si>
  <si>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</si>
  <si>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</si>
  <si>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</si>
  <si>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</si>
  <si>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</si>
  <si>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</si>
  <si>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</si>
  <si>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</si>
  <si>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</si>
  <si>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</si>
  <si>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</si>
  <si>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</si>
  <si>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</si>
  <si>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</si>
  <si>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</si>
  <si>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</si>
  <si>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</si>
  <si>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</si>
  <si>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</si>
  <si>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</si>
  <si>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</si>
  <si>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</si>
  <si>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</si>
  <si>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</si>
  <si>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</si>
  <si>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</si>
  <si>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</si>
  <si>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</si>
  <si>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</si>
  <si>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</si>
  <si>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</si>
  <si>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</si>
  <si>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</si>
  <si>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</si>
  <si>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</si>
  <si>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</si>
  <si>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</si>
  <si>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</si>
  <si>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</si>
  <si>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</si>
  <si>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</si>
  <si>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</si>
  <si>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</si>
  <si>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</si>
  <si>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</si>
  <si>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</si>
  <si>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</si>
  <si>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</si>
  <si>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</si>
  <si>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</si>
  <si>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</si>
  <si>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</si>
  <si>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</si>
  <si>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</si>
  <si>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</si>
  <si>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</si>
  <si>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</si>
  <si>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</si>
  <si>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</si>
  <si>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</si>
  <si>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</si>
  <si>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</si>
  <si>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</si>
  <si>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</si>
  <si>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</si>
  <si>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</si>
  <si>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</si>
  <si>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</si>
  <si>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</si>
  <si>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</si>
  <si>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</si>
  <si>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</si>
  <si>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</si>
  <si>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</si>
  <si>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</si>
  <si>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</si>
  <si>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</si>
  <si>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</si>
  <si>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</si>
  <si>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</si>
  <si>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</si>
  <si>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</si>
  <si>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</si>
  <si>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</si>
  <si>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</si>
  <si>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</si>
  <si>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</si>
  <si>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</si>
  <si>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</si>
  <si>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</si>
  <si>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</si>
  <si>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</si>
  <si>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</si>
  <si>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</si>
  <si>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</si>
  <si>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</si>
  <si>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</si>
  <si>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</si>
  <si>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</si>
  <si>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</si>
  <si>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</si>
  <si>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</si>
  <si>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</si>
  <si>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</si>
  <si>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</si>
  <si>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</si>
  <si>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</si>
  <si>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</si>
  <si>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</si>
  <si>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</si>
  <si>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</si>
  <si>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</si>
  <si>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</si>
  <si>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</si>
  <si>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</si>
  <si>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</si>
  <si>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</si>
  <si>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</si>
  <si>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</si>
  <si>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</si>
  <si>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</si>
  <si>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</si>
  <si>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</si>
  <si>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</si>
  <si>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</si>
  <si>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</si>
  <si>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</si>
  <si>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</si>
  <si>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</si>
  <si>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</si>
  <si>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</si>
  <si>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</si>
  <si>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</si>
  <si>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</si>
  <si>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</si>
  <si>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</si>
  <si>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</si>
  <si>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</si>
  <si>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</si>
  <si>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</si>
  <si>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</si>
  <si>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</si>
  <si>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</si>
  <si>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</si>
  <si>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</si>
  <si>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</si>
  <si>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</si>
  <si>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</si>
  <si>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</si>
  <si>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</si>
  <si>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</si>
  <si>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</si>
  <si>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</si>
  <si>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</si>
  <si>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</si>
  <si>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</si>
  <si>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</si>
  <si>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</si>
  <si>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</si>
  <si>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</si>
  <si>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</si>
  <si>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</si>
  <si>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</si>
  <si>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</si>
  <si>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</si>
  <si>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</si>
  <si>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</si>
  <si>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</si>
  <si>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</si>
  <si>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</si>
  <si>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</si>
  <si>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</si>
  <si>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</si>
  <si>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</si>
  <si>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</si>
  <si>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</si>
  <si>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</si>
  <si>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</si>
  <si>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</si>
  <si>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</si>
  <si>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</si>
  <si>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</si>
  <si>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</si>
  <si>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</si>
  <si>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</si>
  <si>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</si>
  <si>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</si>
  <si>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</si>
  <si>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</si>
  <si>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</si>
  <si>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</si>
  <si>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</si>
  <si>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</si>
  <si>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</si>
  <si>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</si>
  <si>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</si>
  <si>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</si>
  <si>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</si>
  <si>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</si>
  <si>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</si>
  <si>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</si>
  <si>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</si>
  <si>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</si>
  <si>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</si>
  <si>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</si>
  <si>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</si>
  <si>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</si>
  <si>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</si>
  <si>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</si>
  <si>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</si>
  <si>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</si>
  <si>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</si>
  <si>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</si>
  <si>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</si>
  <si>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</si>
  <si>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</si>
  <si>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</si>
  <si>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</si>
  <si>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</si>
  <si>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</si>
  <si>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</si>
  <si>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</si>
  <si>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</si>
  <si>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</si>
  <si>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</si>
  <si>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</si>
  <si>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</si>
  <si>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</si>
  <si>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</si>
  <si>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</si>
  <si>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</si>
  <si>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</si>
  <si>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</si>
  <si>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</si>
  <si>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</si>
  <si>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</si>
  <si>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</si>
  <si>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</si>
  <si>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</si>
  <si>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</si>
  <si>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</si>
  <si>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</si>
  <si>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</si>
  <si>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</si>
  <si>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</si>
  <si>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</si>
  <si>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</si>
  <si>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</si>
  <si>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</si>
  <si>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</si>
  <si>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</si>
  <si>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</si>
  <si>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</si>
  <si>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</si>
  <si>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</si>
  <si>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</si>
  <si>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</si>
  <si>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</si>
  <si>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</si>
  <si>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</si>
  <si>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</si>
  <si>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</si>
  <si>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</si>
  <si>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</si>
  <si>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</si>
  <si>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</si>
  <si>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</si>
  <si>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</si>
  <si>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</si>
  <si>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</si>
  <si>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</si>
  <si>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</si>
  <si>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</si>
  <si>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</si>
  <si>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</si>
  <si>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</si>
  <si>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</si>
  <si>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</si>
  <si>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</si>
  <si>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</si>
  <si>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</si>
  <si>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</si>
  <si>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</si>
  <si>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</si>
  <si>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</si>
  <si>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</si>
  <si>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</si>
  <si>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</si>
  <si>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</si>
  <si>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</si>
  <si>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</si>
  <si>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</si>
  <si>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</si>
  <si>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</si>
  <si>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</si>
  <si>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</si>
  <si>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</si>
  <si>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</si>
  <si>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</si>
  <si>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</si>
  <si>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</si>
  <si>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</si>
  <si>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</si>
  <si>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</si>
  <si>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</si>
  <si>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</si>
  <si>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</si>
  <si>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</si>
  <si>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</si>
  <si>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</si>
  <si>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</si>
  <si>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</si>
  <si>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</si>
  <si>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</si>
  <si>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</si>
  <si>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</si>
  <si>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</si>
  <si>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</si>
  <si>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</si>
  <si>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</si>
  <si>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</si>
  <si>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</si>
  <si>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</si>
  <si>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</si>
  <si>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</si>
  <si>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</si>
  <si>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</si>
  <si>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</si>
  <si>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</si>
  <si>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</si>
  <si>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</si>
  <si>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</si>
  <si>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</si>
  <si>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</si>
  <si>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</si>
  <si>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</si>
  <si>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</si>
  <si>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</si>
  <si>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</si>
  <si>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</si>
  <si>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</si>
  <si>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</si>
  <si>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</si>
  <si>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</si>
  <si>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</si>
  <si>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</si>
  <si>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</si>
  <si>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</si>
  <si>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</si>
  <si>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</si>
  <si>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</si>
  <si>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</si>
  <si>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</si>
  <si>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</si>
  <si>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</si>
  <si>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</si>
  <si>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</si>
  <si>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</si>
  <si>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</si>
  <si>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</si>
  <si>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</si>
  <si>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</si>
  <si>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</si>
  <si>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</si>
  <si>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</si>
  <si>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</si>
  <si>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</si>
  <si>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</si>
  <si>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</si>
  <si>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</si>
  <si>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</si>
  <si>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</si>
  <si>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</si>
  <si>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</si>
  <si>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</si>
  <si>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</si>
  <si>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</si>
  <si>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</si>
  <si>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</si>
  <si>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</si>
  <si>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</si>
  <si>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</si>
  <si>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</si>
  <si>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</si>
  <si>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</si>
  <si>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</si>
  <si>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</si>
  <si>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</si>
  <si>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</si>
  <si>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</si>
  <si>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</si>
  <si>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</si>
  <si>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</si>
  <si>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</si>
  <si>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</si>
  <si>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</si>
  <si>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</si>
  <si>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</si>
  <si>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</si>
  <si>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</si>
  <si>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</si>
  <si>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</si>
  <si>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</si>
  <si>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</si>
  <si>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</si>
  <si>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</si>
  <si>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</si>
  <si>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</si>
  <si>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</si>
  <si>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</si>
  <si>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</si>
  <si>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</si>
  <si>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</si>
  <si>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</si>
  <si>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</si>
  <si>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</si>
  <si>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</si>
  <si>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</si>
  <si>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</si>
  <si>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</si>
  <si>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</si>
  <si>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</si>
  <si>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</si>
  <si>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</si>
  <si>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</si>
  <si>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</si>
  <si>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</si>
  <si>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</si>
  <si>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</si>
  <si>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</si>
  <si>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</si>
  <si>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</si>
  <si>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</si>
  <si>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</si>
  <si>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</si>
  <si>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</si>
  <si>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</si>
  <si>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</si>
  <si>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</si>
  <si>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</si>
  <si>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</si>
  <si>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</si>
  <si>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</si>
  <si>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</si>
  <si>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</si>
  <si>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</si>
  <si>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</si>
  <si>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</si>
  <si>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</si>
  <si>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</si>
  <si>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</si>
  <si>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</si>
  <si>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</si>
  <si>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</si>
  <si>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</si>
  <si>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</si>
  <si>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</si>
  <si>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</si>
  <si>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</si>
  <si>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</si>
  <si>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</si>
  <si>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</si>
  <si>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</si>
  <si>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</si>
  <si>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</si>
  <si>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</si>
  <si>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</si>
  <si>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</si>
  <si>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</si>
  <si>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</si>
  <si>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</si>
  <si>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</si>
  <si>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</si>
  <si>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</si>
  <si>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</si>
  <si>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</si>
  <si>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</si>
  <si>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</si>
  <si>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</si>
  <si>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</si>
  <si>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</si>
  <si>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</si>
  <si>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</si>
  <si>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</si>
  <si>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</si>
  <si>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</si>
  <si>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</si>
  <si>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</si>
  <si>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</si>
  <si>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</si>
  <si>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</si>
  <si>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</si>
  <si>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</si>
  <si>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</si>
  <si>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</si>
  <si>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</si>
  <si>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</si>
  <si>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</si>
  <si>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</si>
  <si>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</si>
  <si>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</si>
  <si>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</si>
  <si>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</si>
  <si>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</si>
  <si>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</si>
  <si>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</si>
  <si>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</si>
  <si>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</si>
  <si>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</si>
  <si>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</si>
  <si>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</si>
  <si>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</si>
  <si>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</si>
  <si>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</si>
  <si>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</si>
  <si>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</si>
  <si>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</si>
  <si>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</si>
  <si>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</si>
  <si>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</si>
  <si>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</si>
  <si>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</si>
  <si>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</si>
  <si>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</si>
  <si>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</si>
  <si>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</si>
  <si>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</si>
  <si>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</si>
  <si>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</si>
  <si>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</si>
  <si>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</si>
  <si>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</si>
  <si>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</si>
  <si>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</si>
  <si>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</si>
  <si>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</si>
  <si>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</si>
  <si>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</si>
  <si>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</si>
  <si>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</si>
  <si>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</si>
  <si>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</si>
  <si>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</si>
  <si>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</si>
  <si>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</si>
  <si>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</si>
  <si>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</si>
  <si>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</si>
  <si>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</si>
  <si>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</si>
  <si>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</si>
  <si>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</si>
  <si>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</si>
  <si>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</si>
  <si>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</si>
  <si>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</si>
  <si>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</si>
  <si>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</si>
  <si>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</si>
  <si>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</si>
  <si>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</si>
  <si>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</si>
  <si>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</si>
  <si>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</si>
  <si>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</si>
  <si>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</si>
  <si>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</si>
  <si>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</si>
  <si>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</si>
  <si>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</si>
  <si>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</si>
  <si>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</si>
  <si>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</si>
  <si>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</si>
  <si>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</si>
  <si>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</si>
  <si>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</si>
  <si>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</si>
  <si>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</si>
  <si>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</si>
  <si>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</si>
  <si>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</si>
  <si>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</si>
  <si>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</si>
  <si>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</si>
  <si>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</si>
  <si>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</si>
  <si>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</si>
  <si>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</si>
  <si>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</si>
  <si>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</si>
  <si>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</si>
  <si>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</si>
  <si>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</si>
  <si>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</si>
  <si>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</si>
  <si>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</si>
  <si>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</si>
  <si>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</si>
  <si>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</si>
  <si>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</si>
  <si>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</si>
  <si>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</si>
  <si>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</si>
  <si>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</si>
  <si>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</si>
  <si>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</si>
  <si>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</si>
  <si>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</si>
  <si>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</si>
  <si>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</si>
  <si>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</si>
  <si>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</si>
  <si>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</si>
  <si>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</si>
  <si>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</si>
  <si>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</si>
  <si>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</si>
  <si>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</si>
  <si>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</si>
  <si>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</si>
  <si>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</si>
  <si>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</si>
  <si>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</si>
  <si>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</si>
  <si>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</si>
  <si>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</si>
  <si>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</si>
  <si>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</si>
  <si>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</si>
  <si>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</si>
  <si>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</si>
  <si>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</si>
  <si>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</si>
  <si>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</si>
  <si>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</si>
  <si>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</si>
  <si>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</si>
  <si>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</si>
  <si>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</si>
  <si>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</si>
  <si>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</si>
  <si>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</si>
  <si>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</si>
  <si>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</si>
  <si>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</si>
  <si>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</si>
  <si>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</si>
  <si>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</si>
  <si>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</si>
  <si>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</si>
  <si>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</si>
  <si>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</si>
  <si>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</si>
  <si>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</si>
  <si>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</si>
  <si>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</si>
  <si>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</si>
  <si>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</si>
  <si>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</si>
  <si>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</si>
  <si>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</si>
  <si>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</si>
  <si>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</si>
  <si>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</si>
  <si>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</si>
  <si>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</si>
  <si>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</si>
  <si>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</si>
  <si>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</si>
  <si>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</si>
  <si>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</si>
  <si>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</si>
  <si>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</si>
  <si>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</si>
  <si>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</si>
  <si>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</si>
  <si>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</si>
  <si>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</si>
  <si>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</si>
  <si>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</si>
  <si>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</si>
  <si>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</si>
  <si>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</si>
  <si>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</si>
  <si>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</si>
  <si>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</si>
  <si>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</si>
  <si>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</si>
  <si>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</si>
  <si>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</si>
  <si>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</si>
  <si>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</si>
  <si>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</si>
  <si>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</si>
  <si>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</si>
  <si>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</si>
  <si>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</si>
  <si>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</si>
  <si>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</si>
  <si>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</si>
  <si>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</si>
  <si>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</si>
  <si>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</si>
  <si>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</si>
  <si>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</si>
  <si>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</si>
  <si>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</si>
  <si>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</si>
  <si>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</si>
  <si>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</si>
  <si>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</si>
  <si>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</si>
  <si>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</si>
  <si>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</si>
  <si>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</si>
  <si>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</si>
  <si>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</si>
  <si>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</si>
  <si>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</si>
  <si>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</si>
  <si>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</si>
  <si>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</si>
  <si>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</si>
  <si>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</si>
  <si>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</si>
  <si>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</si>
  <si>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</si>
  <si>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</si>
  <si>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</si>
  <si>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</si>
  <si>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</si>
  <si>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</si>
  <si>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</si>
  <si>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</si>
  <si>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</si>
  <si>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</si>
  <si>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</si>
  <si>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</si>
  <si>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</si>
  <si>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</si>
  <si>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</si>
  <si>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</si>
  <si>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</si>
  <si>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</si>
  <si>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</si>
  <si>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</si>
  <si>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</si>
  <si>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</si>
  <si>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</si>
  <si>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</si>
  <si>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</si>
  <si>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</si>
  <si>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</si>
  <si>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</si>
  <si>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</si>
  <si>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</si>
  <si>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</si>
  <si>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</si>
  <si>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</si>
  <si>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</si>
  <si>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</si>
  <si>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</si>
  <si>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</si>
  <si>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</si>
  <si>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</si>
  <si>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</si>
  <si>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</si>
  <si>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</si>
  <si>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</si>
  <si>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</si>
  <si>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</si>
  <si>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</si>
  <si>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</si>
  <si>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</si>
  <si>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</si>
  <si>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</si>
  <si>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</si>
  <si>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</si>
  <si>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</si>
  <si>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</si>
  <si>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</si>
  <si>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</si>
  <si>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</si>
  <si>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</si>
  <si>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</si>
  <si>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</si>
  <si>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</si>
  <si>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</si>
  <si>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</si>
  <si>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</si>
  <si>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</si>
  <si>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</si>
  <si>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</si>
  <si>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</si>
  <si>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</si>
  <si>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</si>
  <si>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</si>
  <si>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</si>
  <si>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</si>
  <si>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</si>
  <si>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</si>
  <si>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</si>
  <si>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</si>
  <si>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</si>
  <si>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</si>
  <si>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</si>
  <si>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</si>
  <si>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</si>
  <si>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</si>
  <si>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</si>
  <si>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</si>
  <si>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</si>
  <si>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</si>
  <si>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</si>
  <si>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</si>
  <si>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</si>
  <si>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</si>
  <si>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</si>
  <si>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</si>
  <si>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</si>
  <si>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</si>
  <si>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</si>
  <si>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</si>
  <si>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</si>
  <si>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</si>
  <si>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</si>
  <si>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</si>
  <si>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</si>
  <si>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</si>
  <si>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</si>
  <si>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</si>
  <si>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</si>
  <si>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</si>
  <si>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</si>
  <si>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</si>
  <si>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</si>
  <si>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</si>
  <si>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</si>
  <si>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</si>
  <si>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</si>
  <si>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</si>
  <si>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</si>
  <si>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</si>
  <si>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</si>
  <si>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</si>
  <si>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</si>
  <si>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</si>
  <si>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</si>
  <si>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</si>
  <si>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</si>
  <si>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</si>
  <si>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</si>
  <si>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</si>
  <si>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</si>
  <si>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</si>
  <si>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</si>
  <si>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</si>
  <si>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</si>
  <si>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</si>
  <si>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</si>
  <si>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</si>
  <si>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</si>
  <si>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</si>
  <si>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</si>
  <si>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</si>
  <si>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</si>
  <si>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</si>
  <si>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</si>
  <si>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</si>
  <si>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</si>
  <si>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</si>
  <si>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</si>
  <si>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</si>
  <si>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</si>
  <si>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</si>
  <si>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</si>
  <si>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</si>
  <si>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</si>
  <si>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</si>
  <si>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</si>
  <si>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</si>
  <si>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</si>
  <si>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</si>
  <si>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</si>
  <si>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</si>
  <si>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</si>
  <si>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</si>
  <si>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</si>
  <si>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</si>
  <si>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</si>
  <si>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</si>
  <si>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</si>
  <si>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</si>
  <si>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</si>
  <si>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</si>
  <si>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</si>
  <si>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</si>
  <si>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</si>
  <si>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</si>
  <si>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</si>
  <si>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</si>
  <si>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</si>
  <si>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</si>
  <si>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</si>
  <si>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</si>
  <si>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</si>
  <si>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</si>
  <si>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</si>
  <si>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</si>
  <si>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</si>
  <si>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</si>
  <si>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</si>
  <si>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</si>
  <si>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</si>
  <si>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</si>
  <si>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</si>
  <si>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</si>
  <si>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</si>
  <si>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</si>
  <si>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</si>
  <si>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</si>
  <si>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</si>
  <si>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</si>
  <si>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</si>
  <si>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</si>
  <si>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</si>
  <si>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</si>
  <si>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</si>
  <si>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</si>
  <si>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</si>
  <si>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</si>
  <si>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</si>
  <si>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</si>
  <si>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</si>
  <si>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</si>
  <si>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</si>
  <si>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</si>
  <si>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</si>
  <si>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</si>
  <si>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</si>
  <si>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</si>
  <si>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</si>
  <si>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</si>
  <si>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</si>
  <si>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</si>
  <si>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</si>
  <si>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</si>
  <si>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</si>
  <si>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</si>
  <si>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</si>
  <si>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</si>
  <si>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</si>
  <si>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</si>
  <si>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</si>
  <si>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</si>
  <si>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</si>
  <si>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</si>
  <si>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</si>
  <si>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</si>
  <si>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</si>
  <si>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</si>
  <si>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</si>
  <si>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</si>
  <si>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</si>
  <si>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</si>
  <si>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</si>
  <si>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</si>
  <si>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</si>
  <si>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</si>
  <si>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</si>
  <si>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</si>
  <si>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</si>
  <si>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</si>
  <si>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</si>
  <si>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</si>
  <si>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</si>
  <si>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</si>
  <si>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</si>
  <si>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</si>
  <si>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</si>
  <si>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</si>
  <si>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</si>
  <si>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</si>
  <si>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</si>
  <si>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</si>
  <si>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</si>
  <si>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</si>
  <si>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</si>
  <si>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</si>
  <si>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</si>
  <si>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</si>
  <si>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</si>
  <si>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</si>
  <si>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</si>
  <si>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</si>
  <si>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</si>
  <si>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</si>
  <si>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</si>
  <si>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</si>
  <si>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</si>
  <si>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</si>
  <si>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</si>
  <si>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</si>
  <si>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</si>
  <si>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</si>
  <si>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</si>
  <si>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</si>
  <si>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</si>
  <si>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</si>
  <si>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</si>
  <si>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</si>
  <si>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</si>
  <si>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</si>
  <si>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</si>
  <si>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</si>
  <si>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</si>
  <si>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</si>
  <si>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</si>
  <si>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</si>
  <si>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</si>
  <si>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</si>
  <si>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</si>
  <si>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</si>
  <si>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</si>
  <si>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</si>
  <si>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</si>
  <si>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</si>
  <si>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</si>
  <si>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</si>
  <si>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</si>
  <si>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</si>
  <si>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</si>
  <si>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</si>
  <si>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</si>
  <si>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</si>
  <si>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</si>
  <si>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</si>
  <si>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</si>
  <si>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</si>
  <si>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</si>
  <si>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</si>
  <si>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</si>
  <si>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</si>
  <si>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</si>
  <si>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</si>
  <si>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</si>
  <si>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</si>
  <si>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</si>
  <si>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</si>
  <si>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</si>
  <si>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</si>
  <si>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</si>
  <si>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</si>
  <si>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</si>
  <si>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</si>
  <si>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</si>
  <si>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</si>
  <si>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</si>
  <si>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</si>
  <si>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</si>
  <si>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</si>
  <si>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</si>
  <si>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</si>
  <si>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</si>
  <si>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</si>
  <si>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</si>
  <si>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</si>
  <si>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</si>
  <si>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</si>
  <si>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</si>
  <si>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</si>
  <si>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</si>
  <si>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</si>
  <si>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</si>
  <si>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</si>
  <si>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</si>
  <si>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</si>
  <si>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</si>
  <si>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</si>
  <si>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</si>
  <si>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</si>
  <si>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</si>
  <si>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</si>
  <si>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</si>
  <si>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</si>
  <si>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</si>
  <si>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</si>
  <si>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</si>
  <si>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</si>
  <si>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</si>
  <si>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</si>
  <si>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</si>
  <si>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</si>
  <si>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</si>
  <si>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</si>
  <si>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</si>
  <si>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</si>
  <si>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</si>
  <si>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</si>
  <si>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</si>
  <si>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</si>
  <si>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</si>
  <si>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</si>
  <si>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</si>
  <si>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</si>
  <si>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</si>
  <si>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</si>
  <si>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</si>
  <si>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</si>
  <si>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</si>
  <si>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</si>
  <si>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</si>
  <si>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</si>
  <si>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</si>
  <si>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</si>
  <si>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</si>
  <si>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</si>
  <si>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</si>
  <si>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</si>
  <si>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</si>
  <si>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</si>
  <si>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</si>
  <si>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</si>
  <si>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</si>
  <si>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</si>
  <si>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</si>
  <si>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</si>
  <si>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</si>
  <si>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</si>
  <si>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</si>
  <si>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</si>
  <si>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</si>
  <si>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</si>
  <si>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</si>
  <si>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</si>
  <si>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</si>
  <si>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</si>
  <si>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</si>
  <si>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</si>
  <si>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</si>
  <si>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</si>
  <si>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</si>
  <si>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</si>
  <si>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</si>
  <si>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</si>
  <si>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</si>
  <si>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</si>
  <si>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</si>
  <si>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</si>
  <si>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</si>
  <si>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</si>
  <si>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</si>
  <si>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</si>
  <si>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</si>
  <si>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</si>
  <si>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</si>
  <si>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</si>
  <si>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</si>
  <si>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</si>
  <si>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</si>
  <si>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</si>
  <si>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</si>
  <si>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</si>
  <si>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</si>
  <si>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</si>
  <si>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</si>
  <si>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</si>
  <si>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</si>
  <si>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</si>
  <si>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</si>
  <si>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</si>
  <si>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</si>
  <si>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</si>
  <si>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</si>
  <si>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</si>
  <si>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</si>
  <si>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</si>
  <si>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</si>
  <si>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</si>
  <si>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</si>
  <si>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</si>
  <si>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</si>
  <si>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</si>
  <si>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</si>
  <si>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</si>
  <si>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</si>
  <si>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</si>
  <si>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</si>
  <si>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</si>
  <si>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</si>
  <si>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</si>
  <si>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</si>
  <si>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</si>
  <si>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</si>
  <si>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</si>
  <si>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</si>
  <si>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</si>
  <si>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</si>
  <si>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</si>
  <si>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</si>
  <si>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</si>
  <si>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</si>
  <si>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</si>
  <si>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</si>
  <si>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</si>
  <si>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</si>
  <si>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</si>
  <si>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</si>
  <si>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</si>
  <si>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</si>
  <si>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</si>
  <si>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</si>
  <si>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</si>
  <si>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</si>
  <si>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</si>
  <si>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</si>
  <si>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</si>
  <si>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</si>
  <si>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</si>
  <si>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</si>
  <si>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</si>
  <si>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</si>
  <si>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</si>
  <si>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</si>
  <si>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</si>
  <si>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</si>
  <si>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</si>
  <si>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</si>
  <si>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</si>
  <si>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</si>
  <si>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</si>
  <si>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</si>
  <si>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</si>
  <si>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</si>
  <si>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</si>
  <si>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</si>
  <si>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</si>
  <si>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</si>
  <si>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</si>
  <si>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</si>
  <si>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</si>
  <si>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</si>
  <si>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</si>
  <si>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</si>
  <si>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</si>
  <si>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</si>
  <si>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</si>
  <si>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</si>
  <si>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</si>
  <si>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</si>
  <si>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</si>
  <si>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</si>
  <si>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</si>
  <si>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</si>
  <si>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</si>
  <si>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</si>
  <si>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</si>
  <si>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</si>
  <si>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</si>
  <si>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</si>
  <si>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</si>
  <si>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</si>
  <si>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</si>
  <si>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</si>
  <si>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</si>
  <si>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</si>
  <si>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</si>
  <si>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</si>
  <si>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</si>
  <si>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</si>
  <si>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</si>
  <si>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</si>
  <si>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</si>
  <si>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</si>
  <si>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</si>
  <si>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</si>
  <si>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</si>
  <si>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</si>
  <si>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</si>
  <si>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</si>
  <si>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</si>
  <si>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</si>
  <si>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</si>
  <si>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</si>
  <si>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</si>
  <si>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</si>
  <si>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</si>
  <si>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</si>
  <si>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</si>
  <si>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</si>
  <si>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</si>
  <si>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</si>
  <si>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</si>
  <si>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</si>
  <si>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</si>
  <si>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</si>
  <si>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</si>
  <si>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</si>
  <si>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</si>
  <si>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</si>
  <si>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</si>
  <si>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</si>
  <si>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</si>
  <si>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</si>
  <si>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</si>
  <si>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</si>
  <si>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</si>
  <si>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</si>
  <si>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</si>
  <si>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</si>
  <si>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</si>
  <si>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</si>
  <si>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</si>
  <si>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</si>
  <si>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</si>
  <si>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</si>
  <si>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</si>
  <si>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</si>
  <si>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</si>
  <si>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</si>
  <si>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</si>
  <si>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</si>
  <si>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</si>
  <si>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</si>
  <si>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</si>
  <si>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</si>
  <si>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</si>
  <si>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</si>
  <si>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</si>
  <si>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</si>
  <si>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</si>
  <si>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</si>
  <si>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</si>
  <si>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</si>
  <si>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</si>
  <si>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</si>
  <si>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</si>
  <si>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</si>
  <si>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</si>
  <si>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</si>
  <si>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</si>
  <si>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</si>
  <si>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</si>
  <si>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</si>
  <si>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</si>
  <si>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</si>
  <si>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</si>
  <si>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</si>
  <si>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</si>
  <si>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</si>
  <si>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</si>
  <si>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</si>
  <si>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</si>
  <si>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</si>
  <si>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</si>
  <si>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</si>
  <si>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</si>
  <si>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</si>
  <si>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</si>
  <si>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</si>
  <si>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</si>
  <si>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</si>
  <si>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</si>
  <si>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</si>
  <si>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</si>
  <si>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</si>
  <si>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</si>
  <si>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</si>
  <si>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</si>
  <si>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</si>
  <si>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</si>
  <si>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</si>
  <si>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</si>
  <si>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</si>
  <si>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</si>
  <si>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</si>
  <si>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</si>
  <si>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</si>
  <si>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</si>
  <si>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</si>
  <si>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</si>
  <si>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</si>
  <si>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</si>
  <si>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</si>
  <si>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</si>
  <si>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</si>
  <si>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</si>
  <si>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</si>
  <si>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</si>
  <si>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</si>
  <si>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</si>
  <si>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</si>
  <si>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</si>
  <si>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</si>
  <si>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</si>
  <si>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</si>
  <si>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</si>
  <si>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</si>
  <si>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</si>
  <si>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</si>
  <si>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</si>
  <si>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</si>
  <si>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</si>
  <si>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</si>
  <si>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</si>
  <si>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</si>
  <si>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</si>
  <si>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</si>
  <si>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</si>
  <si>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</si>
  <si>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</si>
  <si>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</si>
  <si>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</si>
  <si>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</si>
  <si>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</si>
  <si>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</si>
  <si>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</si>
  <si>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</si>
  <si>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</si>
  <si>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</si>
  <si>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</si>
  <si>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</si>
  <si>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</si>
  <si>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</si>
  <si>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</si>
  <si>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</si>
  <si>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</si>
  <si>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</si>
  <si>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</si>
  <si>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</si>
  <si>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</si>
  <si>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</si>
  <si>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</si>
  <si>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</si>
  <si>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</si>
  <si>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</si>
  <si>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</si>
  <si>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</si>
  <si>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</si>
  <si>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</si>
  <si>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</si>
  <si>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</si>
  <si>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</si>
  <si>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</si>
  <si>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</si>
  <si>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</si>
  <si>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</si>
  <si>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</si>
  <si>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</si>
  <si>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</si>
  <si>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</si>
  <si>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</si>
  <si>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</si>
  <si>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</si>
  <si>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</si>
  <si>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</si>
  <si>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</si>
  <si>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</si>
  <si>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</si>
  <si>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</si>
  <si>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</si>
  <si>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</si>
  <si>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</si>
  <si>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</si>
  <si>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</si>
  <si>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</si>
  <si>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</si>
  <si>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</si>
  <si>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</si>
  <si>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</si>
  <si>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</si>
  <si>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</si>
  <si>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</si>
  <si>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</si>
  <si>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</si>
  <si>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</si>
  <si>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</si>
  <si>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</si>
  <si>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</si>
  <si>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</si>
  <si>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</si>
  <si>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</si>
  <si>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</si>
  <si>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</si>
  <si>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</si>
  <si>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</si>
  <si>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</si>
  <si>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</si>
  <si>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</si>
  <si>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</si>
  <si>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</si>
  <si>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</si>
  <si>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</si>
  <si>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</si>
  <si>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</si>
  <si>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</si>
  <si>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</si>
  <si>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</si>
  <si>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</si>
  <si>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</si>
  <si>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</si>
  <si>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</si>
  <si>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</si>
  <si>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</si>
  <si>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</si>
  <si>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</si>
  <si>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</si>
  <si>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</si>
  <si>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</si>
  <si>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</si>
  <si>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</si>
  <si>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</si>
  <si>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</si>
  <si>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</si>
  <si>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</si>
  <si>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</si>
  <si>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</si>
  <si>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</si>
  <si>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</si>
  <si>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</si>
  <si>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</si>
  <si>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</si>
  <si>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</si>
  <si>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</si>
  <si>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</si>
  <si>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</si>
  <si>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</si>
  <si>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</si>
  <si>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</si>
  <si>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</si>
  <si>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</si>
  <si>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</si>
  <si>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</si>
  <si>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</si>
  <si>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</si>
  <si>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</si>
  <si>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</si>
  <si>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</si>
  <si>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</si>
  <si>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</si>
  <si>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</si>
  <si>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</si>
  <si>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</si>
  <si>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</si>
  <si>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</si>
  <si>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</si>
  <si>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</si>
  <si>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</si>
  <si>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</si>
  <si>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</si>
  <si>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</si>
  <si>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</si>
  <si>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</si>
  <si>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</si>
  <si>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</si>
  <si>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</si>
  <si>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</si>
  <si>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</si>
  <si>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</si>
  <si>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</si>
  <si>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</si>
  <si>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</si>
  <si>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</si>
  <si>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</si>
  <si>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</si>
  <si>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</si>
  <si>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</si>
  <si>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</si>
  <si>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</si>
  <si>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</si>
  <si>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</si>
  <si>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</si>
  <si>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</si>
  <si>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</si>
  <si>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</si>
  <si>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</si>
  <si>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</si>
  <si>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</si>
  <si>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</si>
  <si>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</si>
  <si>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</si>
  <si>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</si>
  <si>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</si>
  <si>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</si>
  <si>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</si>
  <si>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</si>
  <si>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</si>
  <si>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</si>
  <si>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</si>
  <si>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</si>
  <si>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</si>
  <si>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</si>
  <si>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</si>
  <si>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</si>
  <si>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</si>
  <si>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</si>
  <si>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</si>
  <si>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</si>
  <si>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</si>
  <si>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</si>
  <si>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</si>
  <si>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</si>
  <si>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</si>
  <si>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</si>
  <si>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</si>
  <si>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</si>
  <si>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</si>
  <si>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</si>
  <si>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</si>
  <si>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</si>
  <si>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</si>
  <si>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</si>
  <si>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</si>
  <si>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</si>
  <si>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</si>
  <si>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</si>
  <si>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</si>
  <si>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</si>
  <si>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</si>
  <si>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</si>
  <si>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</si>
  <si>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</si>
  <si>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</si>
  <si>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</si>
  <si>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</si>
  <si>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</si>
  <si>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</si>
  <si>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</si>
  <si>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</si>
  <si>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</si>
  <si>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</si>
  <si>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</si>
  <si>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</si>
  <si>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</si>
  <si>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</si>
  <si>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</si>
  <si>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</si>
  <si>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</si>
  <si>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</si>
  <si>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</si>
  <si>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</si>
  <si>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</si>
  <si>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</si>
  <si>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</si>
  <si>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</si>
  <si>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</si>
  <si>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</si>
  <si>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</si>
  <si>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</si>
  <si>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</si>
  <si>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</si>
  <si>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</si>
  <si>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</si>
  <si>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</si>
  <si>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</si>
  <si>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</si>
  <si>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</si>
  <si>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</si>
  <si>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</si>
  <si>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</si>
  <si>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</si>
  <si>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</si>
  <si>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</si>
  <si>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</si>
  <si>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</si>
  <si>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</si>
  <si>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</si>
  <si>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</si>
  <si>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</si>
  <si>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</si>
  <si>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</si>
  <si>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</si>
  <si>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</si>
  <si>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</si>
  <si>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</si>
  <si>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</si>
  <si>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</si>
  <si>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</si>
  <si>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</si>
  <si>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</si>
  <si>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</si>
  <si>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</si>
  <si>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</si>
  <si>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</si>
  <si>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</si>
  <si>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</si>
  <si>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</si>
  <si>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</si>
  <si>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</si>
  <si>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</si>
  <si>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</si>
  <si>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</si>
  <si>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</si>
  <si>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</si>
  <si>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</si>
  <si>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</si>
  <si>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</si>
  <si>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</si>
  <si>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</si>
  <si>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</si>
  <si>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</si>
  <si>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</si>
  <si>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</si>
  <si>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</si>
  <si>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</si>
  <si>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</si>
  <si>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</si>
  <si>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</si>
  <si>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</si>
  <si>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</si>
  <si>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</si>
  <si>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</si>
  <si>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</si>
  <si>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</si>
  <si>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</si>
  <si>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</si>
  <si>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</si>
  <si>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</si>
  <si>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</si>
  <si>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</si>
  <si>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</si>
  <si>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</si>
  <si>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</si>
  <si>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</si>
  <si>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</si>
  <si>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</si>
  <si>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</si>
  <si>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</si>
  <si>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</si>
  <si>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</si>
  <si>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</si>
  <si>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</si>
  <si>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</si>
  <si>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</si>
  <si>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</si>
  <si>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</si>
  <si>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</si>
  <si>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</si>
  <si>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</si>
  <si>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</si>
  <si>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</si>
  <si>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</si>
  <si>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</si>
  <si>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</si>
  <si>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</si>
  <si>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</si>
  <si>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</si>
  <si>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</si>
  <si>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</si>
  <si>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</si>
  <si>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</si>
  <si>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</si>
  <si>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</si>
  <si>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</si>
  <si>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</si>
  <si>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</si>
  <si>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</si>
  <si>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</si>
  <si>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</si>
  <si>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</si>
  <si>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</si>
  <si>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</si>
  <si>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</si>
  <si>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</si>
  <si>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</si>
  <si>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</si>
  <si>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</si>
  <si>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</si>
  <si>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</si>
  <si>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</si>
  <si>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</si>
  <si>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</si>
  <si>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</si>
  <si>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</si>
  <si>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</si>
  <si>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</si>
  <si>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</si>
  <si>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</si>
  <si>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</si>
  <si>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</si>
  <si>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</si>
  <si>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</si>
  <si>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</si>
  <si>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</si>
  <si>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</si>
  <si>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</si>
  <si>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</si>
  <si>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</si>
  <si>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</si>
  <si>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</si>
  <si>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</si>
  <si>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</si>
  <si>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</si>
  <si>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</si>
  <si>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</si>
  <si>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</si>
  <si>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</si>
  <si>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</si>
  <si>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</si>
  <si>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</si>
  <si>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</si>
  <si>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</si>
  <si>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</si>
  <si>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</si>
  <si>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</si>
  <si>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</si>
  <si>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</si>
  <si>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</si>
  <si>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</si>
  <si>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</si>
  <si>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</si>
  <si>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</si>
  <si>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</si>
  <si>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</si>
  <si>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</si>
  <si>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</si>
  <si>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</si>
  <si>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</si>
  <si>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</si>
  <si>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</si>
  <si>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</si>
  <si>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</si>
  <si>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</si>
  <si>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</si>
  <si>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</si>
  <si>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</si>
  <si>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</si>
  <si>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</si>
  <si>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</si>
  <si>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</si>
  <si>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</si>
  <si>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</si>
  <si>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</si>
  <si>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</si>
  <si>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</si>
  <si>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</si>
  <si>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</si>
  <si>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</si>
  <si>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</si>
  <si>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</si>
  <si>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</si>
  <si>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</si>
  <si>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</si>
  <si>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</si>
  <si>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</si>
  <si>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</si>
  <si>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</si>
  <si>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</si>
  <si>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</si>
  <si>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</si>
  <si>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</si>
  <si>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</si>
  <si>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</si>
  <si>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</si>
  <si>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</si>
  <si>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</si>
  <si>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</si>
  <si>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</si>
  <si>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</si>
  <si>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</si>
  <si>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</si>
  <si>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</si>
  <si>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</si>
  <si>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</si>
  <si>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</si>
  <si>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</si>
  <si>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</si>
  <si>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</si>
  <si>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</si>
  <si>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</si>
  <si>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</si>
  <si>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</si>
  <si>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</si>
  <si>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</si>
  <si>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</si>
  <si>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</si>
  <si>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</si>
  <si>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</si>
  <si>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</si>
  <si>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</si>
  <si>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</si>
  <si>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</si>
  <si>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</si>
  <si>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</si>
  <si>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</si>
  <si>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</si>
  <si>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</si>
  <si>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</si>
  <si>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</si>
  <si>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</si>
  <si>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</si>
  <si>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</si>
  <si>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</si>
  <si>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</si>
  <si>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</si>
  <si>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</si>
  <si>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</si>
  <si>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</si>
  <si>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</si>
  <si>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</si>
  <si>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</si>
  <si>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</si>
  <si>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</si>
  <si>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</si>
  <si>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</si>
  <si>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</si>
  <si>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</si>
  <si>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</si>
  <si>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</si>
  <si>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</si>
  <si>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</si>
  <si>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</si>
  <si>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</si>
  <si>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</si>
  <si>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</si>
  <si>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</si>
  <si>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</si>
  <si>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</si>
  <si>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</si>
  <si>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</si>
  <si>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</si>
  <si>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</si>
  <si>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</si>
  <si>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</si>
  <si>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</si>
  <si>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</si>
  <si>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</si>
  <si>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</si>
  <si>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</si>
  <si>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</si>
  <si>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</si>
  <si>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</si>
  <si>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</si>
  <si>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</si>
  <si>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</si>
  <si>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</si>
  <si>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</si>
  <si>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</si>
  <si>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</si>
  <si>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</si>
  <si>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</si>
  <si>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</si>
  <si>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</si>
  <si>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</si>
  <si>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</si>
  <si>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</si>
  <si>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</si>
  <si>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</si>
  <si>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</si>
  <si>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</si>
  <si>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</si>
  <si>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</si>
  <si>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</si>
  <si>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</si>
  <si>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</si>
  <si>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</si>
  <si>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</si>
  <si>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</si>
  <si>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</si>
  <si>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</si>
  <si>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</si>
  <si>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</si>
  <si>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</si>
  <si>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</si>
  <si>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</si>
  <si>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</si>
  <si>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</si>
  <si>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</si>
  <si>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</si>
  <si>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</si>
  <si>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</si>
  <si>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</si>
  <si>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</si>
  <si>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</si>
  <si>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</si>
  <si>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</si>
  <si>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</si>
  <si>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</si>
  <si>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</si>
  <si>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</si>
  <si>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</si>
  <si>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</si>
  <si>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</si>
  <si>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</si>
  <si>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</si>
  <si>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</si>
  <si>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</si>
  <si>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</si>
  <si>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</si>
  <si>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</si>
  <si>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</si>
  <si>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</si>
  <si>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</si>
  <si>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</si>
  <si>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</si>
  <si>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</si>
  <si>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</si>
  <si>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</si>
  <si>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</si>
  <si>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</si>
  <si>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</si>
  <si>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</si>
  <si>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</si>
  <si>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</si>
  <si>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</si>
  <si>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</si>
  <si>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</si>
  <si>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</si>
  <si>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</si>
  <si>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</si>
  <si>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</si>
  <si>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</si>
  <si>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</si>
  <si>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</si>
  <si>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</si>
  <si>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</si>
  <si>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</si>
  <si>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</si>
  <si>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</si>
  <si>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</si>
  <si>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</si>
  <si>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</si>
  <si>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</si>
  <si>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</si>
  <si>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</si>
  <si>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</si>
  <si>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</si>
  <si>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</si>
  <si>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</si>
  <si>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</si>
  <si>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</si>
  <si>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</si>
  <si>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</si>
  <si>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</si>
  <si>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</si>
  <si>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</si>
  <si>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</si>
  <si>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</si>
  <si>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</si>
  <si>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</si>
  <si>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</si>
  <si>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</si>
  <si>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</si>
  <si>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</si>
  <si>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</si>
  <si>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</si>
  <si>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</si>
  <si>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</si>
  <si>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</si>
  <si>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</si>
  <si>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</si>
  <si>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</si>
  <si>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</si>
  <si>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</si>
  <si>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</si>
  <si>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</si>
  <si>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</si>
  <si>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</si>
  <si>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</si>
  <si>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</si>
  <si>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</si>
  <si>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</si>
  <si>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</si>
  <si>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</si>
  <si>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</si>
  <si>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</si>
  <si>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</si>
  <si>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</si>
  <si>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</si>
  <si>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</si>
  <si>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</si>
  <si>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</si>
  <si>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</si>
  <si>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</si>
  <si>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</si>
  <si>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</si>
  <si>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</si>
  <si>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</si>
  <si>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</si>
  <si>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</si>
  <si>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</si>
  <si>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</si>
  <si>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</si>
  <si>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</si>
  <si>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</si>
  <si>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</si>
  <si>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</si>
  <si>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</si>
  <si>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</si>
  <si>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</si>
  <si>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</si>
  <si>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</si>
  <si>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</si>
  <si>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</si>
  <si>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</si>
  <si>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</si>
  <si>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</si>
  <si>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</si>
  <si>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</si>
  <si>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</si>
  <si>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</si>
  <si>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</si>
  <si>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</si>
  <si>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</si>
  <si>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</si>
  <si>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</si>
  <si>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</si>
  <si>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</si>
  <si>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</si>
  <si>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</si>
  <si>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</si>
  <si>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</si>
  <si>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</si>
  <si>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</si>
  <si>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</si>
  <si>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</si>
  <si>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</si>
  <si>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</si>
  <si>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</si>
  <si>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</si>
  <si>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</si>
  <si>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</si>
  <si>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</si>
  <si>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</si>
  <si>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</si>
  <si>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</si>
  <si>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</si>
  <si>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</si>
  <si>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</si>
  <si>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</si>
  <si>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</si>
  <si>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</si>
  <si>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</si>
  <si>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</si>
  <si>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</si>
  <si>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</si>
  <si>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</si>
  <si>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</si>
  <si>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</si>
  <si>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</si>
  <si>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</si>
  <si>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</si>
  <si>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</si>
  <si>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</si>
  <si>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</si>
  <si>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</si>
  <si>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</si>
  <si>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</si>
  <si>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</si>
  <si>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</si>
  <si>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</si>
  <si>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</si>
  <si>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</si>
  <si>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</si>
  <si>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</si>
  <si>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</si>
  <si>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</si>
  <si>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</si>
  <si>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</si>
  <si>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</si>
  <si>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</si>
  <si>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</si>
  <si>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</si>
  <si>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</si>
  <si>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</si>
  <si>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</si>
  <si>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</si>
  <si>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</si>
  <si>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</si>
  <si>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</si>
  <si>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</si>
  <si>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</si>
  <si>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</si>
  <si>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</si>
  <si>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</si>
  <si>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</si>
  <si>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</si>
  <si>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</si>
  <si>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</si>
  <si>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</si>
  <si>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</si>
  <si>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</si>
  <si>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</si>
  <si>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</si>
  <si>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</si>
  <si>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</si>
  <si>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</si>
  <si>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</si>
  <si>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</si>
  <si>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</si>
  <si>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</si>
  <si>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</si>
  <si>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</si>
  <si>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</si>
  <si>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</si>
  <si>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</si>
  <si>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</si>
  <si>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</si>
  <si>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</si>
  <si>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</si>
  <si>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</si>
  <si>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</si>
  <si>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</si>
  <si>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</si>
  <si>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</si>
  <si>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</si>
  <si>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</si>
  <si>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</si>
  <si>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</si>
  <si>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</si>
  <si>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</si>
  <si>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</si>
  <si>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</si>
  <si>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</si>
  <si>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</si>
  <si>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</si>
  <si>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</si>
  <si>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</si>
  <si>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</si>
  <si>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</si>
  <si>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</si>
  <si>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</si>
  <si>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</si>
  <si>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</si>
  <si>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</si>
  <si>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</si>
  <si>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</si>
  <si>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</si>
  <si>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</si>
  <si>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</si>
  <si>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</si>
  <si>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</si>
  <si>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</si>
  <si>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</si>
  <si>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</si>
  <si>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</si>
  <si>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</si>
  <si>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</si>
  <si>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</si>
  <si>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</si>
  <si>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</si>
  <si>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</si>
  <si>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</si>
  <si>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</si>
  <si>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</si>
  <si>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</si>
  <si>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</si>
  <si>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</si>
  <si>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</si>
  <si>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</si>
  <si>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</si>
  <si>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</si>
  <si>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</si>
  <si>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</si>
  <si>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</si>
  <si>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</si>
  <si>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</si>
  <si>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</si>
  <si>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</si>
  <si>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</si>
  <si>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</si>
  <si>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</si>
  <si>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</si>
  <si>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</si>
  <si>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</si>
  <si>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</si>
  <si>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</si>
  <si>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</si>
  <si>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</si>
  <si>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</si>
  <si>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</si>
  <si>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</si>
  <si>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</si>
  <si>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</si>
  <si>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</si>
  <si>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</si>
  <si>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</si>
  <si>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</si>
  <si>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</si>
  <si>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</si>
  <si>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</si>
  <si>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</si>
  <si>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</si>
  <si>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</si>
  <si>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</si>
  <si>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</si>
  <si>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</si>
  <si>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</si>
  <si>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</si>
  <si>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</si>
  <si>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</si>
  <si>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</si>
  <si>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</si>
  <si>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</si>
  <si>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</si>
  <si>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</si>
  <si>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</si>
  <si>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</si>
  <si>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</si>
  <si>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</si>
  <si>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</si>
  <si>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</si>
  <si>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</si>
  <si>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</si>
  <si>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</si>
  <si>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</si>
  <si>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</si>
  <si>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</si>
  <si>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</si>
  <si>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</si>
  <si>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</si>
  <si>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</si>
  <si>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</si>
  <si>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</si>
  <si>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</si>
  <si>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</si>
  <si>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</si>
  <si>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</si>
  <si>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</si>
  <si>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</si>
  <si>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</si>
  <si>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</si>
  <si>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</si>
  <si>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</si>
  <si>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</si>
  <si>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</si>
  <si>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</si>
  <si>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</si>
  <si>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</si>
  <si>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</si>
  <si>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</si>
  <si>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</si>
  <si>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</si>
  <si>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</si>
  <si>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</si>
  <si>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</si>
  <si>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</si>
  <si>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</si>
  <si>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</si>
  <si>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</si>
  <si>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</si>
  <si>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</si>
  <si>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</si>
  <si>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</si>
  <si>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</si>
  <si>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</si>
  <si>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</si>
  <si>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</si>
  <si>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</si>
  <si>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</si>
  <si>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</si>
  <si>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</si>
  <si>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</si>
  <si>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</si>
  <si>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</si>
  <si>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</si>
  <si>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</si>
  <si>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</si>
  <si>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</si>
  <si>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</si>
  <si>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</si>
  <si>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</si>
  <si>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</si>
  <si>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</si>
  <si>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</si>
  <si>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</si>
  <si>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</si>
  <si>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</si>
  <si>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</si>
  <si>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</si>
  <si>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</si>
  <si>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</si>
  <si>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</si>
  <si>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</si>
  <si>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</si>
  <si>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</si>
  <si>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</si>
  <si>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</si>
  <si>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</si>
  <si>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</si>
  <si>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</si>
  <si>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</si>
  <si>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</si>
  <si>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</si>
  <si>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</si>
  <si>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</si>
  <si>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</si>
  <si>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</si>
  <si>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</si>
  <si>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</si>
  <si>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</si>
  <si>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</si>
  <si>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</si>
  <si>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</si>
  <si>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</si>
  <si>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</si>
  <si>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</si>
  <si>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</si>
  <si>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</si>
  <si>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</si>
  <si>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</si>
  <si>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</si>
  <si>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</si>
  <si>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</si>
  <si>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</si>
  <si>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</si>
  <si>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</si>
  <si>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</si>
  <si>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</si>
  <si>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</si>
  <si>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</si>
  <si>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</si>
  <si>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</si>
  <si>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</si>
  <si>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</si>
  <si>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</si>
  <si>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</si>
  <si>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</si>
  <si>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</si>
  <si>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</si>
  <si>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</si>
  <si>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</si>
  <si>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</si>
  <si>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</si>
  <si>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</si>
  <si>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</si>
  <si>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</si>
  <si>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</si>
  <si>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</si>
  <si>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</si>
  <si>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</si>
  <si>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</si>
  <si>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</si>
  <si>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</si>
  <si>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</si>
  <si>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</si>
  <si>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</si>
  <si>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</si>
  <si>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</si>
  <si>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</si>
  <si>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</si>
  <si>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</si>
  <si>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</si>
  <si>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</si>
  <si>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</si>
  <si>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</si>
  <si>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</si>
  <si>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</si>
  <si>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</si>
  <si>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</si>
  <si>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</si>
  <si>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</si>
  <si>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</si>
  <si>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</si>
  <si>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</si>
  <si>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</si>
  <si>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</si>
  <si>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</si>
  <si>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</si>
  <si>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</si>
  <si>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</si>
  <si>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</si>
  <si>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</si>
  <si>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</si>
  <si>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</si>
  <si>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</si>
  <si>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</si>
  <si>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</si>
  <si>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</si>
  <si>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</si>
  <si>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</si>
  <si>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</si>
  <si>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</si>
  <si>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</si>
  <si>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</si>
  <si>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</si>
  <si>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</si>
  <si>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</si>
  <si>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</si>
  <si>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</si>
  <si>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</si>
  <si>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</si>
  <si>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</si>
  <si>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</si>
  <si>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</si>
  <si>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</si>
  <si>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</si>
  <si>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</si>
  <si>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</si>
  <si>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</si>
  <si>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</si>
  <si>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</si>
  <si>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</si>
  <si>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</si>
  <si>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</si>
  <si>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</si>
  <si>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</si>
  <si>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</si>
  <si>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</si>
  <si>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</si>
  <si>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</si>
  <si>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</si>
  <si>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</si>
  <si>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</si>
  <si>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</si>
  <si>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</si>
  <si>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</si>
  <si>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</si>
  <si>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</si>
  <si>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</si>
  <si>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</si>
  <si>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</si>
  <si>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</si>
  <si>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</si>
  <si>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</si>
  <si>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</si>
  <si>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</si>
  <si>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</si>
  <si>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</si>
  <si>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</si>
  <si>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</si>
  <si>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</si>
  <si>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</si>
  <si>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</si>
  <si>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</si>
  <si>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</si>
  <si>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</si>
  <si>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</si>
  <si>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</si>
  <si>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</si>
  <si>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</si>
  <si>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</si>
  <si>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</si>
  <si>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</si>
  <si>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</si>
  <si>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</si>
  <si>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</si>
  <si>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</si>
  <si>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</si>
  <si>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</si>
  <si>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</si>
  <si>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</si>
  <si>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</si>
  <si>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</si>
  <si>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</si>
  <si>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</si>
  <si>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</si>
  <si>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</si>
  <si>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</si>
  <si>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</si>
  <si>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</si>
  <si>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</si>
  <si>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</si>
  <si>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</si>
  <si>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</si>
  <si>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</si>
  <si>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</si>
  <si>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</si>
  <si>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</si>
  <si>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</si>
  <si>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</si>
  <si>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</si>
  <si>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</si>
  <si>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</si>
  <si>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</si>
  <si>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</si>
  <si>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</si>
  <si>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</si>
  <si>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</si>
  <si>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</si>
  <si>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</si>
  <si>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</si>
  <si>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</si>
  <si>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</si>
  <si>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</si>
  <si>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</si>
  <si>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</si>
  <si>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</si>
  <si>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</si>
  <si>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</si>
  <si>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</si>
  <si>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</si>
  <si>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</si>
  <si>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</si>
  <si>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</si>
  <si>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</si>
  <si>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</si>
  <si>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</si>
  <si>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</si>
  <si>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</si>
  <si>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</si>
  <si>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</si>
  <si>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</si>
  <si>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</si>
  <si>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</si>
  <si>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</si>
  <si>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</si>
  <si>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</si>
  <si>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</si>
  <si>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</si>
  <si>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</si>
  <si>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</si>
  <si>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</si>
  <si>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</si>
  <si>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</si>
  <si>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</si>
  <si>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</si>
  <si>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</si>
  <si>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</si>
  <si>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</si>
  <si>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</si>
  <si>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</si>
  <si>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</si>
  <si>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</si>
  <si>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</si>
  <si>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</si>
  <si>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</si>
  <si>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</si>
  <si>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</si>
  <si>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</si>
  <si>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</si>
  <si>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</si>
  <si>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</si>
  <si>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</si>
  <si>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</si>
  <si>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</si>
  <si>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</si>
  <si>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</si>
  <si>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</si>
  <si>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</si>
  <si>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</si>
  <si>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</si>
  <si>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</si>
  <si>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</si>
  <si>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</si>
  <si>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</si>
  <si>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</si>
  <si>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</si>
  <si>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</si>
  <si>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</si>
  <si>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</si>
  <si>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</si>
  <si>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</si>
  <si>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</si>
  <si>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</si>
  <si>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</si>
  <si>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</si>
  <si>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</si>
  <si>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</si>
  <si>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</si>
  <si>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</si>
  <si>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</si>
  <si>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</si>
  <si>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</si>
  <si>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</si>
  <si>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</si>
  <si>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</si>
  <si>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</si>
  <si>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</si>
  <si>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ITR_1000$$$1022ITR</t>
  </si>
  <si>
    <t>CNOW_7210$$$0000021322</t>
  </si>
  <si>
    <t>G000000243_DEFAULT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</si>
  <si>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</si>
  <si>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</si>
  <si>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</si>
  <si>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</si>
  <si>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</si>
  <si>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</si>
  <si>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</si>
  <si>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</si>
  <si>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</si>
  <si>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</si>
  <si>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</si>
  <si>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</si>
  <si>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</si>
  <si>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</si>
  <si>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</si>
  <si>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CLFF_1000$$$US01TAHA01 HVR PDMAT Equip</t>
  </si>
  <si>
    <t>CLFF_1000$$$US01TAHA99 DL -  Haverhill PDMAT</t>
  </si>
  <si>
    <t>CLFF_1000$$$US01TAHB00 XXXHVR ALDM1 Product</t>
  </si>
  <si>
    <t>CLFF_1000$$$US01TAHB01 HVR ALDM1 Equip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</si>
  <si>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</si>
  <si>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</si>
  <si>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</si>
  <si>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</si>
  <si>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CLFF_1000$$$US01TAHD02 HVR Transfill Equ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</si>
  <si>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</si>
  <si>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</si>
  <si>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</si>
  <si>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</si>
  <si>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</si>
  <si>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</si>
  <si>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</si>
  <si>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</si>
  <si>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</si>
  <si>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</si>
  <si>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</si>
  <si>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</si>
  <si>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</si>
  <si>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</si>
  <si>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</si>
  <si>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</si>
  <si>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</si>
  <si>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</si>
  <si>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</si>
  <si>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</si>
  <si>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</si>
  <si>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</si>
  <si>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</si>
  <si>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</si>
  <si>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</si>
  <si>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</si>
  <si>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CLFF_1000$$$US01TFHZ01 HVR Building</t>
  </si>
  <si>
    <t>CLFF_1000$$$US01TFHZ02 XXXHVR General Site</t>
  </si>
  <si>
    <t>CLFF_1000$$$US01TFHZ03 HVR EH&amp;S Dept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</si>
  <si>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</si>
  <si>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</si>
  <si>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</si>
  <si>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</si>
  <si>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</si>
  <si>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</si>
  <si>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</si>
  <si>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</si>
  <si>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</si>
  <si>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CLFF_1000$$$US01TBHZ02 Haverhill Quality Control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</si>
  <si>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</si>
  <si>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</si>
  <si>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</si>
  <si>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</si>
  <si>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</si>
  <si>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</si>
  <si>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</si>
  <si>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</si>
  <si>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</si>
  <si>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</si>
  <si>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</si>
  <si>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</si>
  <si>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</si>
  <si>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</si>
  <si>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</si>
  <si>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</si>
  <si>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</si>
  <si>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</si>
  <si>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</si>
  <si>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</si>
  <si>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</si>
  <si>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</si>
  <si>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P000000578 XX EL-SC ISC General</t>
  </si>
  <si>
    <t>P000000087 EL-OP-SA Site Atsugi, Japan</t>
  </si>
  <si>
    <t>P000000219 THF-US-HA, Haverhill, USA</t>
  </si>
  <si>
    <t>P000000522 EL-FO Planarization ISC &amp; Quality</t>
  </si>
  <si>
    <t>P000001272 EL-SC-ED ELDP</t>
  </si>
  <si>
    <t>P000000250 Kaohsiung Production</t>
  </si>
  <si>
    <t>P000001300 Mfg. &amp; Sus. Eng. -  NA/EUR</t>
  </si>
  <si>
    <t>P000001301 Mfg. &amp; Sus. Eng. -  Asia exKR</t>
  </si>
  <si>
    <t>P000001302 Mfg. &amp; Sus. Eng. -  KR</t>
  </si>
  <si>
    <t>P000000521 Japan Tolling incl. PHPS Ops</t>
  </si>
  <si>
    <t>d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</si>
  <si>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</si>
  <si>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</si>
  <si>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</si>
  <si>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</si>
  <si>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</si>
  <si>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</si>
  <si>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</si>
  <si>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</si>
  <si>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</si>
  <si>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</si>
  <si>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</si>
  <si>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</si>
  <si>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</si>
  <si>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</si>
  <si>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</si>
  <si>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</si>
  <si>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JP02TAAA04</t>
  </si>
  <si>
    <t>JP02TFAZ01</t>
  </si>
  <si>
    <t>JP02TPAZ01</t>
  </si>
  <si>
    <t>JP01TFAZ01</t>
  </si>
  <si>
    <t>US01TASD02</t>
  </si>
  <si>
    <t>US01TPHZ02</t>
  </si>
  <si>
    <t>US01TAHA00</t>
  </si>
  <si>
    <t>US01TAHA01</t>
  </si>
  <si>
    <t>US01TAHA99</t>
  </si>
  <si>
    <t>US01TAHB00</t>
  </si>
  <si>
    <t>US01TAHB01</t>
  </si>
  <si>
    <t>US01TAHB99</t>
  </si>
  <si>
    <t>US01TAHC01</t>
  </si>
  <si>
    <t>US01TAHD00</t>
  </si>
  <si>
    <t>US01TAHD01</t>
  </si>
  <si>
    <t>US01TAHD02</t>
  </si>
  <si>
    <t>US01TAHD99</t>
  </si>
  <si>
    <t>US01TAHZ11</t>
  </si>
  <si>
    <t>US01TAHZ12</t>
  </si>
  <si>
    <t>US01TAHZ99</t>
  </si>
  <si>
    <t>US01TMHZ01</t>
  </si>
  <si>
    <t>US01TCHZ01</t>
  </si>
  <si>
    <t>US01TDHZ01</t>
  </si>
  <si>
    <t>US01TEHZ01</t>
  </si>
  <si>
    <t>US01TFHZ01</t>
  </si>
  <si>
    <t>US01TFHZ02</t>
  </si>
  <si>
    <t>US01TFHZ03</t>
  </si>
  <si>
    <t>US01TKHZ01</t>
  </si>
  <si>
    <t>US01TQHZ02</t>
  </si>
  <si>
    <t>US01TLHZ01</t>
  </si>
  <si>
    <t>US01TBHZ01</t>
  </si>
  <si>
    <t>US01TBHZ02</t>
  </si>
  <si>
    <t>US10C06080</t>
  </si>
  <si>
    <t>GB10C05000</t>
  </si>
  <si>
    <t>KR07PD2332</t>
  </si>
  <si>
    <t>US10PD1808</t>
  </si>
  <si>
    <t>US01TN0001</t>
  </si>
  <si>
    <t>US10TN2100</t>
  </si>
  <si>
    <t>DE04TAKZ01</t>
  </si>
  <si>
    <t>TW03TBKZ02</t>
  </si>
  <si>
    <t>TW03TQKZ01</t>
  </si>
  <si>
    <t>US10L81000</t>
  </si>
  <si>
    <t>US10C01710</t>
  </si>
  <si>
    <t>US10C01711</t>
  </si>
  <si>
    <t>US10PD1014</t>
  </si>
  <si>
    <t>US10PD1807</t>
  </si>
  <si>
    <t>TW10C06306</t>
  </si>
  <si>
    <t>TW91C06026</t>
  </si>
  <si>
    <t>KR08PD2806</t>
  </si>
  <si>
    <t>JP02TASC00</t>
  </si>
  <si>
    <t>JP02TASC01</t>
  </si>
  <si>
    <t>JP02TASC02</t>
  </si>
  <si>
    <t>DE04OF0402</t>
  </si>
  <si>
    <t>Standard</t>
  </si>
  <si>
    <t/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</si>
  <si>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</si>
  <si>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</si>
  <si>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</si>
  <si>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</si>
  <si>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</si>
  <si>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</si>
  <si>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P000000088</t>
  </si>
  <si>
    <t>P000000091</t>
  </si>
  <si>
    <t>P000000093</t>
  </si>
  <si>
    <t>P000000220</t>
  </si>
  <si>
    <t>P000000226</t>
  </si>
  <si>
    <t>P000000221</t>
  </si>
  <si>
    <t>P000000222</t>
  </si>
  <si>
    <t>P000000223</t>
  </si>
  <si>
    <t>P000000224</t>
  </si>
  <si>
    <t>P000000225</t>
  </si>
  <si>
    <t>P000000228</t>
  </si>
  <si>
    <t>P000000343</t>
  </si>
  <si>
    <t>P000000866</t>
  </si>
  <si>
    <t>P000000868</t>
  </si>
  <si>
    <t>P000000249</t>
  </si>
  <si>
    <t>P000001275</t>
  </si>
  <si>
    <t>P000000708</t>
  </si>
  <si>
    <t>P000000992</t>
  </si>
  <si>
    <t>P000000731</t>
  </si>
  <si>
    <t>ITR_1000$$$HU191025</t>
  </si>
  <si>
    <t>DFLTPGCOH_002002</t>
  </si>
  <si>
    <t>for 2025</t>
  </si>
  <si>
    <t>P000000230</t>
  </si>
  <si>
    <t>P000000412</t>
  </si>
  <si>
    <t>DE10YIT021</t>
  </si>
  <si>
    <t>DE10YIT020</t>
  </si>
  <si>
    <t>DE65GIT032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</si>
</sst>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/>
      </top>
      <bottom/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16" xfId="0" applyBorder="1"/>
    <xf numFmtId="0" fontId="0" fillId="0" borderId="0" xfId="0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41.835643865743" createdVersion="7" refreshedVersion="7" minRefreshableVersion="3" recordCount="5333" xr:uid="{11839AE3-6158-4318-87AD-2C711D0BF451}">
  <cacheSource type="worksheet">
    <worksheetSource name="Proc"/>
  </cacheSource>
  <cacheFields count="19">
    <cacheField name="App" numFmtId="0">
      <sharedItems containsBlank="1" count="166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2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8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8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5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4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4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4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4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4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4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4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4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3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3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3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2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2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2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2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0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0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9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7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7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7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7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6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6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5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5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5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5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5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5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5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5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4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4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4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4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4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4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4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4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4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4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4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4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4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4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4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4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3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3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3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3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3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3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3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3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3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3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3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3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3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3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2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2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2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2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2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2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2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2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2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2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2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2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2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1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1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1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1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1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1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1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1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1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1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1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1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1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1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1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1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1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1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1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1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1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1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1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1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1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1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1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1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1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1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1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1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1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1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1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1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1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1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1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1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1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1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1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1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1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1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1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1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1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1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1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1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0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0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0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0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0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0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0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0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0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0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0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0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0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0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0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0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0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0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0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0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0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0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0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0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0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0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0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9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9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9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9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9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9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9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9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9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9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9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9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9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9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9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9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9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9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9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9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9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9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9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9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9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9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9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9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9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9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9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9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9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9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9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9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9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9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9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9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8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8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8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8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8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8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8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8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8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8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8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8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8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8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8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8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8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8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8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8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8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8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8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7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7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7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7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7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7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7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7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7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7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7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7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7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7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7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7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6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6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6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6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6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6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6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6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6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6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6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6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6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6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6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6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6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6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6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6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6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6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6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6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6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6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6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6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6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6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6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6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6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6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6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6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6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6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6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6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6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6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6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6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6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6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6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6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6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6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6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6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6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6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6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8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61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6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5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5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5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5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5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5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5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5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5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5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5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5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5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5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5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5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5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5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5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5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5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5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5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5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5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5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5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5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5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5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5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5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5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4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4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4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4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4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4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4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4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4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4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4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4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4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4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4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4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4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4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4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4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4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4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4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4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4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4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4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4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4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4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4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4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4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4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4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4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4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4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4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4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4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4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4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4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4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3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3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3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3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3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3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3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3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3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3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3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3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3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3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3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3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3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3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3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3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3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32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3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30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30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30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30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30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30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8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26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26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6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6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6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25"/>
    <s v="Ruby Grace Garcia"/>
    <m/>
  </r>
  <r>
    <x v="468"/>
    <x v="1"/>
    <x v="5"/>
    <s v="CNOW_7210$$$0000021322"/>
    <s v="L000006661"/>
    <s v="G000000864"/>
    <s v="Non-LFF"/>
    <s v=""/>
    <s v="TO BE DONE IN 2026"/>
    <b v="0"/>
    <x v="0"/>
    <x v="0"/>
    <d v="2025-12-15T00:00:00"/>
    <m/>
    <m/>
    <x v="1"/>
    <n v="25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2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2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22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22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22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2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2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22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22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15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15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15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11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11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1"/>
    <n v="11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1"/>
    <n v="11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1"/>
    <n v="11"/>
    <s v="Ruby Grace Garcia"/>
    <m/>
  </r>
  <r>
    <x v="478"/>
    <x v="1"/>
    <x v="5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1"/>
    <n v="11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80"/>
    <x v="1"/>
    <x v="8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9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9"/>
    <s v="Jay-R Lizardo"/>
    <m/>
  </r>
  <r>
    <x v="480"/>
    <x v="1"/>
    <x v="5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1"/>
    <n v="9"/>
    <s v="Jay-R Lizardo"/>
    <m/>
  </r>
  <r>
    <x v="480"/>
    <x v="1"/>
    <x v="5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1"/>
    <n v="9"/>
    <s v="Jay-R Lizardo"/>
    <m/>
  </r>
  <r>
    <x v="480"/>
    <x v="1"/>
    <x v="5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1"/>
    <n v="9"/>
    <s v="Jay-R Lizardo"/>
    <m/>
  </r>
  <r>
    <x v="481"/>
    <x v="1"/>
    <x v="4"/>
    <s v="FP000000466_IO EL-SC Integrated Supply Chain (IO)"/>
    <s v="P000000578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000000466_IO EL-SC Integrated Supply Chain (IO)"/>
    <s v="P000000578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PHOENX_000400757375 PM-OSL Mgt. cost to WH"/>
    <s v="P000000578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IPHOENX_000400757376 PM-OSL Mgt. Cost to GDP"/>
    <s v="P000000578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1000$$$JP02TAAA04 Atsugi - Filling M30"/>
    <s v="P000000578"/>
    <s v="P000000088"/>
    <s v="LFF (MDG-F)"/>
    <s v="JP02TAAA04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FAZ01 XX_Atsugi Site Common"/>
    <s v="P000000087"/>
    <s v="P000000091"/>
    <s v="LFF (MDG-F)"/>
    <s v="JP02TFA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PAZ01 Display SC Planning"/>
    <s v="P000000087"/>
    <s v="P000000091"/>
    <s v="LFF (MDG-F)"/>
    <s v="JP02TPA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1TFAZ01 Atsugi Site Common"/>
    <s v="P000000087"/>
    <s v="P000000093"/>
    <s v="LFF (MDG-F)"/>
    <s v="JP01TFAZ01"/>
    <s v="TO BE DONE IN 2026"/>
    <b v="0"/>
    <x v="3"/>
    <x v="0"/>
    <d v="2026-01-15T00:00:00"/>
    <m/>
    <m/>
    <x v="0"/>
    <n v="2"/>
    <s v="John Rowie Del Rosario"/>
    <m/>
  </r>
  <r>
    <x v="481"/>
    <x v="1"/>
    <x v="4"/>
    <s v="PL_E1_JPAC ProcOrd_'PM Atsugi_JPAC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L_E1_JPAK ProcOrd_PM Atsugi_JPAK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RPL_E1_JPAK ProcOrd_PM Atsugi_JPAK(IO)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ASD02 Sheboygan Filling Equipment"/>
    <s v="P000000578"/>
    <s v="P000000220"/>
    <s v="LFF (MDG-F)"/>
    <s v="US01TASD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PHZ02 Sheboygan Delta Inbound Freight"/>
    <s v="P000000578"/>
    <s v="P000000226"/>
    <s v="LFF (MDG-F)"/>
    <s v="US01TP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00 XXXHVR PDMAT Product"/>
    <s v="P000000219"/>
    <s v="P000000220"/>
    <s v="LFF (MDG-F)"/>
    <s v="US01TAHA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01 HVR PDMAT Equip"/>
    <s v="P000000219"/>
    <s v="P000000220"/>
    <s v="LFF (MDG-F)"/>
    <s v="US01TAHA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99 DL -  Haverhill PDMAT"/>
    <s v="P000000219"/>
    <s v="P000000220"/>
    <s v="LFF (MDG-F)"/>
    <s v="US01TAHA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00 XXXHVR ALDM1 Product"/>
    <s v="P000000219"/>
    <s v="P000000220"/>
    <s v="LFF (MDG-F)"/>
    <s v="US01TAHB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01 HVR ALDM1 Equip"/>
    <s v="P000000219"/>
    <s v="P000000220"/>
    <s v="LFF (MDG-F)"/>
    <s v="US01TAHB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99 XXXHVR ALDM1 DL"/>
    <s v="P000000219"/>
    <s v="P000000220"/>
    <s v="LFF (MDG-F)"/>
    <s v="US01TAHB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C01 Production Fix Equipment  -  HVR TMA"/>
    <s v="P000000219"/>
    <s v="P000000220"/>
    <s v="LFF (MDG-F)"/>
    <s v="US01TAHC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0 XXXHVR FG Preparatio"/>
    <s v="P000000219"/>
    <s v="P000000220"/>
    <s v="LFF (MDG-F)"/>
    <s v="US01TAHD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1 Production Fix Equipment  -  Bubbler Pre"/>
    <s v="P000000219"/>
    <s v="P000000220"/>
    <s v="LFF (MDG-F)"/>
    <s v="US01TAHD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2 HVR Transfill Equ"/>
    <s v="P000000219"/>
    <s v="P000000220"/>
    <s v="LFF (MDG-F)"/>
    <s v="US01TAHD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99 XXXHVR FG Prep DL"/>
    <s v="P000000219"/>
    <s v="P000000220"/>
    <s v="LFF (MDG-F)"/>
    <s v="US01TAHD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11 Site Director + Assistant"/>
    <s v="P000000219"/>
    <s v="P000000220"/>
    <s v="LFF (MDG-F)"/>
    <s v="US01TAHZ1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12 Ind. Personnel (Prod. Man. + Line Man.)"/>
    <s v="P000000219"/>
    <s v="P000000220"/>
    <s v="LFF (MDG-F)"/>
    <s v="US01TAHZ1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99 Haverhill - Direct Labor Pool"/>
    <s v="P000000219"/>
    <s v="P000000220"/>
    <s v="LFF (MDG-F)"/>
    <s v="US01TAHZ99"/>
    <s v="TO BE DONE IN 2026"/>
    <b v="0"/>
    <x v="3"/>
    <x v="0"/>
    <d v="2026-01-15T00:00:00"/>
    <m/>
    <m/>
    <x v="0"/>
    <n v="2"/>
    <s v="John Rowie Del Rosario"/>
    <m/>
  </r>
  <r>
    <x v="481"/>
    <x v="1"/>
    <x v="4"/>
    <s v="FP000000220_IO THF-US-HA, Production (T1) 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000000220_IO THF-US-HA, Production (T1) 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QUATRO_001050000220 US01 Volume variance HVR TAHB00 100% H2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IQUATRO_001050000222 US01 Volume variance HVR TAHD00 100% H2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1000$$$US01TMHZ01 Bubbler, Sensor &amp; Parts"/>
    <s v="P000000219"/>
    <s v="P000000221"/>
    <s v="LFF (MDG-F)"/>
    <s v="US01TMHZ01"/>
    <s v="TO BE DONE IN 2026"/>
    <b v="0"/>
    <x v="3"/>
    <x v="0"/>
    <d v="2026-01-15T00:00:00"/>
    <m/>
    <m/>
    <x v="0"/>
    <n v="2"/>
    <s v="John Rowie Del Rosario"/>
    <m/>
  </r>
  <r>
    <x v="481"/>
    <x v="1"/>
    <x v="4"/>
    <s v="FI500613000000 Containers to support thin films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500613000000 Containers to support thin films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QUATRO_I500613US01000000 Technical Projec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000000 Technical Projec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100000 Ca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0000 Ca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101000 Technical Equipmen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1000 Technical Equipmen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1001 Mechanical installations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700000 O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0000 O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701000 Operative Expenditure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1000 Operative Expenditure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1001 Process consulting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CHZ01 XXXHVR Engineering"/>
    <s v="P000000219"/>
    <s v="P000000222"/>
    <s v="LFF (MDG-F)"/>
    <s v="US01TC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DHZ01 XXXHVR Energy &amp; Util"/>
    <s v="P000000219"/>
    <s v="P000000223"/>
    <s v="LFF (MDG-F)"/>
    <s v="US01TD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EHZ01 Haverhill EH&amp;S Waste AU"/>
    <s v="P000000219"/>
    <s v="P000000224"/>
    <s v="LFF (MDG-F)"/>
    <s v="US01TE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1 HVR Building"/>
    <s v="P000000219"/>
    <s v="P000000225"/>
    <s v="LFF (MDG-F)"/>
    <s v="US01TF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2 XXXHVR General Site"/>
    <s v="P000000219"/>
    <s v="P000000225"/>
    <s v="LFF (MDG-F)"/>
    <s v="US01TF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3 HVR EH&amp;S Dept"/>
    <s v="P000000219"/>
    <s v="P000000225"/>
    <s v="LFF (MDG-F)"/>
    <s v="US01TFHZ03"/>
    <s v="TO BE DONE IN 2026"/>
    <b v="0"/>
    <x v="3"/>
    <x v="0"/>
    <d v="2026-01-15T00:00:00"/>
    <m/>
    <m/>
    <x v="0"/>
    <n v="2"/>
    <s v="John Rowie Del Rosario"/>
    <m/>
  </r>
  <r>
    <x v="481"/>
    <x v="1"/>
    <x v="4"/>
    <s v="FK10001195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K10001195000 Fire Suppresion System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QUATRO_K10001195US01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K10001195US01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K10001195US011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KHZ01 XXXHVR Mat-OH Surcha"/>
    <s v="P000000219"/>
    <s v="P000000226"/>
    <s v="LFF (MDG-F)"/>
    <s v="US01TK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QHZ02 XXXLogistics - Haver"/>
    <s v="P000000219"/>
    <s v="P000000226"/>
    <s v="LFF (MDG-F)"/>
    <s v="US01TQ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LHZ01 Operations/Process Excellence, Process I"/>
    <s v="P000000219"/>
    <s v="P000000228"/>
    <s v="LFF (MDG-F)"/>
    <s v="US01TL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BHZ01 XXXHVR QA"/>
    <s v="P000000219"/>
    <s v="P000000343"/>
    <s v="LFF (MDG-F)"/>
    <s v="US01TB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BHZ02 Haverhill Quality Control"/>
    <s v="P000000219"/>
    <s v="P000000343"/>
    <s v="LFF (MDG-F)"/>
    <s v="US01TBHZ02"/>
    <s v="TO BE DONE IN 2026"/>
    <b v="0"/>
    <x v="3"/>
    <x v="0"/>
    <d v="2026-01-15T00:00:00"/>
    <m/>
    <m/>
    <x v="0"/>
    <n v="2"/>
    <s v="John Rowie Del Rosario"/>
    <m/>
  </r>
  <r>
    <x v="481"/>
    <x v="1"/>
    <x v="4"/>
    <s v="PL_E1_USAX ProcOrd_SAFC Hitech, Inc._USA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RPL_E1_USAX ProcOrd_SAFC Hitech, Inc._USAX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VMCA$$$US10C06080 Planarization ISC"/>
    <s v="P000000522"/>
    <s v="P000000866"/>
    <s v="LFF (MDG-F)"/>
    <s v="US10C0608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GB10C05000 PM-IOL-Y SC Planning"/>
    <s v="P000000522"/>
    <s v="P000000868"/>
    <s v="LFF (MDG-F)"/>
    <s v="GB10C050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KR07PD2332 Material Planning/Operations PLA/PAT"/>
    <s v="P000000522"/>
    <s v="P000000868"/>
    <s v="LFF (MDG-F)"/>
    <s v="KR07PD233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808 Material Planning/Operations"/>
    <s v="P000000522"/>
    <s v="P000000868"/>
    <s v="LFF (MDG-F)"/>
    <s v="US10PD1808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N0001 US ELDP Central CC"/>
    <s v="P000001272"/>
    <s v="P000000578"/>
    <s v="LFF (MDG-F)"/>
    <s v="US01TN00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TN2100 US ELDP Central CC"/>
    <s v="P000001272"/>
    <s v="P000000578"/>
    <s v="LFF (MDG-F)"/>
    <s v="US10TN21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DE04TAKZ01 Strategic Projects Thin Films"/>
    <s v="P000001412"/>
    <s v="P000000801"/>
    <s v="LFF (MDG-F)"/>
    <s v="DE04TAK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TW03TBKZ02 QA Quality Assurance"/>
    <s v="P000000250"/>
    <s v="P000000249"/>
    <s v="LFF (MDG-F)"/>
    <s v="TW03TBK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TW03TQKZ01 Warehouse _ site allocation"/>
    <s v="P000000250"/>
    <s v="P000000249"/>
    <s v="LFF (MDG-F)"/>
    <s v="TW03TQK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L81000 DSS Global Head of ISC"/>
    <s v="P000001411"/>
    <s v="P000001275"/>
    <s v="LFF (MDG-F)"/>
    <s v="US10L810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C01710 DS Mech/Sys Eng"/>
    <s v="P000001300"/>
    <s v="P000000708"/>
    <s v="LFF (MDG-F)"/>
    <s v="US10C0171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C01711 DS Polyflow Engineering"/>
    <s v="P000001300"/>
    <s v="P000000708"/>
    <s v="LFF (MDG-F)"/>
    <s v="US10C0171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014 Engineering Licenses"/>
    <s v="P000001300"/>
    <s v="P000000708"/>
    <s v="LFF (MDG-F)"/>
    <s v="US10PD1014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807 DS Svcs Engineering Admin"/>
    <s v="P000001300"/>
    <s v="P000000708"/>
    <s v="LFF (MDG-F)"/>
    <s v="US10PD1807"/>
    <s v="TO BE DONE IN 2026"/>
    <b v="0"/>
    <x v="3"/>
    <x v="0"/>
    <d v="2026-01-15T00:00:00"/>
    <m/>
    <m/>
    <x v="0"/>
    <n v="2"/>
    <s v="John Rowie Del Rosario"/>
    <m/>
  </r>
  <r>
    <x v="481"/>
    <x v="1"/>
    <x v="4"/>
    <s v="CVRSM_VMCA$$US10PD1807 DS Svcs Engineering Admin"/>
    <s v="P000001300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VMCA$$$TW10C06306 DSS Engineering TW10"/>
    <s v="P000001301"/>
    <s v="P000000992"/>
    <s v="LFF (MDG-F)"/>
    <s v="TW10C0630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TW91C06026 DSS Engineering TW91"/>
    <s v="P000001301"/>
    <s v="P000000992"/>
    <s v="LFF (MDG-F)"/>
    <s v="TW91C0602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KR08PD2806 KR08 DSS Project Engineering"/>
    <s v="P000001302"/>
    <s v="P000000731"/>
    <s v="LFF (MDG-F)"/>
    <s v="KR08PD280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0 Main Cost Collector - KFC (PHPS)"/>
    <s v="P000000521"/>
    <s v="P000000230"/>
    <s v="LFF (MDG-F)"/>
    <s v="JP02TASC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1 Kawaken PHPS Plant 1"/>
    <s v="P000000521"/>
    <s v="P000000230"/>
    <s v="LFF (MDG-F)"/>
    <s v="JP02TASC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2 Kawaken PHPS Plant 2"/>
    <s v="P000000521"/>
    <s v="P000000230"/>
    <s v="LFF (MDG-F)"/>
    <s v="JP02TASC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DE04OF0402 Strategic Supply Network Planning"/>
    <s v="P000001396"/>
    <s v="P000000412"/>
    <s v="LFF (MDG-F)"/>
    <s v="DE04OF0402"/>
    <s v="TO BE DONE IN 2026"/>
    <b v="0"/>
    <x v="3"/>
    <x v="0"/>
    <d v="2026-01-15T00:00:00"/>
    <m/>
    <m/>
    <x v="0"/>
    <n v="2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0"/>
    <n v="2"/>
    <s v="Ruby Grace Garcia"/>
    <m/>
  </r>
  <r>
    <x v="483"/>
    <x v="1"/>
    <x v="5"/>
    <s v="CSCALA_1025$ITEF_V40"/>
    <s v="G000000786"/>
    <s v="ITR_1000$$$HU191025"/>
    <s v="Non-LFF"/>
    <s v=""/>
    <s v="To be done in 2025"/>
    <b v="0"/>
    <x v="0"/>
    <x v="0"/>
    <d v="2026-01-15T00:00:00"/>
    <m/>
    <m/>
    <x v="0"/>
    <n v="2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0"/>
    <n v="0"/>
    <s v="Ruby Grace Garcia"/>
    <m/>
  </r>
  <r>
    <x v="485"/>
    <x v="1"/>
    <x v="5"/>
    <s v="CNOW_7210$$$0000015880 "/>
    <s v="L000011157"/>
    <s v="DFLTPGCOH_002002"/>
    <s v="Non-LFF"/>
    <s v=""/>
    <s v="for 2025"/>
    <b v="0"/>
    <x v="2"/>
    <x v="0"/>
    <d v="2026-01-19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3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10"/>
    </i>
    <i r="1">
      <x v="13"/>
    </i>
    <i>
      <x v="8"/>
    </i>
    <i r="1">
      <x/>
    </i>
    <i r="1">
      <x v="3"/>
    </i>
    <i r="1">
      <x v="10"/>
    </i>
    <i>
      <x v="9"/>
    </i>
    <i r="1">
      <x/>
    </i>
    <i>
      <x v="10"/>
    </i>
    <i r="1">
      <x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3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668">
        <item m="1" x="1052"/>
        <item x="0"/>
        <item m="1" x="1122"/>
        <item m="1" x="1543"/>
        <item m="1" x="705"/>
        <item m="1" x="1560"/>
        <item m="1" x="1082"/>
        <item m="1" x="1172"/>
        <item m="1" x="1593"/>
        <item m="1" x="1387"/>
        <item m="1" x="1075"/>
        <item m="1" x="1659"/>
        <item m="1" x="1405"/>
        <item m="1" x="1649"/>
        <item m="1" x="1023"/>
        <item m="1" x="924"/>
        <item m="1" x="628"/>
        <item m="1" x="889"/>
        <item m="1" x="1613"/>
        <item m="1" x="681"/>
        <item m="1" x="989"/>
        <item m="1" x="1357"/>
        <item m="1" x="1072"/>
        <item m="1" x="1165"/>
        <item m="1" x="1461"/>
        <item m="1" x="1646"/>
        <item m="1" x="1107"/>
        <item m="1" x="1129"/>
        <item m="1" x="894"/>
        <item m="1" x="1295"/>
        <item m="1" x="1054"/>
        <item m="1" x="1600"/>
        <item m="1" x="1257"/>
        <item m="1" x="690"/>
        <item m="1" x="798"/>
        <item m="1" x="1585"/>
        <item m="1" x="1349"/>
        <item m="1" x="603"/>
        <item m="1" x="1435"/>
        <item m="1" x="1101"/>
        <item m="1" x="1396"/>
        <item m="1" x="982"/>
        <item m="1" x="1334"/>
        <item m="1" x="593"/>
        <item m="1" x="623"/>
        <item m="1" x="1662"/>
        <item m="1" x="1341"/>
        <item m="1" x="1409"/>
        <item m="1" x="1516"/>
        <item m="1" x="1285"/>
        <item m="1" x="1383"/>
        <item m="1" x="1222"/>
        <item m="1" x="677"/>
        <item m="1" x="868"/>
        <item m="1" x="1644"/>
        <item m="1" x="1212"/>
        <item m="1" x="1352"/>
        <item m="1" x="880"/>
        <item m="1" x="841"/>
        <item m="1" x="1133"/>
        <item m="1" x="1025"/>
        <item m="1" x="1058"/>
        <item m="1" x="617"/>
        <item m="1" x="756"/>
        <item m="1" x="1418"/>
        <item m="1" x="1635"/>
        <item m="1" x="821"/>
        <item m="1" x="1226"/>
        <item m="1" x="1236"/>
        <item m="1" x="1413"/>
        <item m="1" x="1523"/>
        <item m="1" x="1401"/>
        <item m="1" x="696"/>
        <item m="1" x="1544"/>
        <item m="1" x="1274"/>
        <item m="1" x="1261"/>
        <item m="1" x="796"/>
        <item m="1" x="1149"/>
        <item m="1" x="1496"/>
        <item m="1" x="614"/>
        <item m="1" x="1193"/>
        <item m="1" x="1546"/>
        <item m="1" x="1384"/>
        <item m="1" x="1119"/>
        <item m="1" x="1161"/>
        <item m="1" x="1042"/>
        <item m="1" x="1277"/>
        <item m="1" x="1089"/>
        <item m="1" x="1321"/>
        <item m="1" x="805"/>
        <item m="1" x="1634"/>
        <item m="1" x="1159"/>
        <item m="1" x="1445"/>
        <item m="1" x="522"/>
        <item m="1" x="1650"/>
        <item m="1" x="1186"/>
        <item m="1" x="1475"/>
        <item m="1" x="1388"/>
        <item m="1" x="1166"/>
        <item m="1" x="676"/>
        <item m="1" x="683"/>
        <item m="1" x="723"/>
        <item m="1" x="905"/>
        <item m="1" x="1329"/>
        <item m="1" x="1090"/>
        <item m="1" x="1206"/>
        <item m="1" x="1269"/>
        <item m="1" x="1416"/>
        <item m="1" x="1499"/>
        <item m="1" x="1061"/>
        <item m="1" x="782"/>
        <item m="1" x="625"/>
        <item m="1" x="768"/>
        <item m="1" x="1643"/>
        <item m="1" x="800"/>
        <item m="1" x="1481"/>
        <item m="1" x="1410"/>
        <item m="1" x="1028"/>
        <item m="1" x="1100"/>
        <item m="1" x="966"/>
        <item m="1" x="1223"/>
        <item m="1" x="1598"/>
        <item m="1" x="774"/>
        <item m="1" x="722"/>
        <item m="1" x="657"/>
        <item m="1" x="1323"/>
        <item m="1" x="1583"/>
        <item m="1" x="1511"/>
        <item m="1" x="1168"/>
        <item m="1" x="692"/>
        <item m="1" x="1417"/>
        <item m="1" x="869"/>
        <item m="1" x="1123"/>
        <item m="1" x="1298"/>
        <item m="1" x="1406"/>
        <item m="1" x="526"/>
        <item m="1" x="1355"/>
        <item m="1" x="1318"/>
        <item m="1" x="759"/>
        <item m="1" x="1207"/>
        <item m="1" x="1095"/>
        <item m="1" x="1048"/>
        <item m="1" x="781"/>
        <item m="1" x="717"/>
        <item m="1" x="957"/>
        <item m="1" x="1144"/>
        <item m="1" x="551"/>
        <item m="1" x="890"/>
        <item m="1" x="749"/>
        <item m="1" x="491"/>
        <item m="1" x="1001"/>
        <item m="1" x="1202"/>
        <item m="1" x="1084"/>
        <item m="1" x="1130"/>
        <item m="1" x="1449"/>
        <item m="1" x="1031"/>
        <item m="1" x="1557"/>
        <item m="1" x="1281"/>
        <item m="1" x="1220"/>
        <item m="1" x="734"/>
        <item m="1" x="1367"/>
        <item m="1" x="1645"/>
        <item m="1" x="1333"/>
        <item m="1" x="1317"/>
        <item m="1" x="604"/>
        <item m="1" x="652"/>
        <item m="1" x="1187"/>
        <item m="1" x="693"/>
        <item m="1" x="1630"/>
        <item m="1" x="1296"/>
        <item m="1" x="1221"/>
        <item m="1" x="1173"/>
        <item m="1" x="974"/>
        <item m="1" x="602"/>
        <item m="1" x="702"/>
        <item m="1" x="808"/>
        <item m="1" x="1541"/>
        <item m="1" x="1573"/>
        <item m="1" x="1272"/>
        <item m="1" x="999"/>
        <item m="1" x="1087"/>
        <item m="1" x="597"/>
        <item m="1" x="637"/>
        <item m="1" x="976"/>
        <item m="1" x="1201"/>
        <item m="1" x="1114"/>
        <item m="1" x="772"/>
        <item m="1" x="1005"/>
        <item m="1" x="719"/>
        <item m="1" x="914"/>
        <item m="1" x="836"/>
        <item m="1" x="671"/>
        <item m="1" x="807"/>
        <item m="1" x="1177"/>
        <item m="1" x="587"/>
        <item m="1" x="826"/>
        <item m="1" x="618"/>
        <item m="1" x="1311"/>
        <item m="1" x="1500"/>
        <item m="1" x="1110"/>
        <item m="1" x="754"/>
        <item m="1" x="1404"/>
        <item m="1" x="1249"/>
        <item m="1" x="766"/>
        <item m="1" x="767"/>
        <item m="1" x="952"/>
        <item m="1" x="642"/>
        <item m="1" x="831"/>
        <item m="1" x="626"/>
        <item m="1" x="812"/>
        <item m="1" x="1380"/>
        <item m="1" x="891"/>
        <item m="1" x="1258"/>
        <item m="1" x="1308"/>
        <item m="1" x="1442"/>
        <item m="1" x="1446"/>
        <item m="1" x="1163"/>
        <item m="1" x="1004"/>
        <item m="1" x="1043"/>
        <item m="1" x="1610"/>
        <item m="1" x="903"/>
        <item m="1" x="715"/>
        <item m="1" x="1093"/>
        <item m="1" x="550"/>
        <item m="1" x="1614"/>
        <item m="1" x="1077"/>
        <item m="1" x="511"/>
        <item m="1" x="1532"/>
        <item m="1" x="1575"/>
        <item m="1" x="1412"/>
        <item m="1" x="789"/>
        <item m="1" x="528"/>
        <item m="1" x="1462"/>
        <item m="1" x="853"/>
        <item m="1" x="489"/>
        <item m="1" x="1633"/>
        <item m="1" x="877"/>
        <item m="1" x="1032"/>
        <item m="1" x="1477"/>
        <item m="1" x="564"/>
        <item m="1" x="1389"/>
        <item m="1" x="1197"/>
        <item m="1" x="1062"/>
        <item m="1" x="932"/>
        <item m="1" x="679"/>
        <item m="1" x="1180"/>
        <item m="1" x="882"/>
        <item m="1" x="1420"/>
        <item m="1" x="742"/>
        <item m="1" x="1490"/>
        <item m="1" x="1497"/>
        <item m="1" x="1181"/>
        <item m="1" x="1371"/>
        <item m="1" x="788"/>
        <item m="1" x="1085"/>
        <item m="1" x="1374"/>
        <item m="1" x="958"/>
        <item m="1" x="1248"/>
        <item m="1" x="887"/>
        <item m="1" x="672"/>
        <item m="1" x="876"/>
        <item m="1" x="1642"/>
        <item m="1" x="1584"/>
        <item m="1" x="729"/>
        <item m="1" x="1530"/>
        <item m="1" x="536"/>
        <item m="1" x="1552"/>
        <item m="1" x="571"/>
        <item m="1" x="873"/>
        <item m="1" x="971"/>
        <item m="1" x="918"/>
        <item m="1" x="1525"/>
        <item m="1" x="1428"/>
        <item m="1" x="669"/>
        <item m="1" x="1239"/>
        <item m="1" x="1447"/>
        <item m="1" x="1581"/>
        <item m="1" x="1488"/>
        <item m="1" x="574"/>
        <item m="1" x="1654"/>
        <item m="1" x="725"/>
        <item m="1" x="1006"/>
        <item m="1" x="1450"/>
        <item m="1" x="573"/>
        <item m="1" x="1509"/>
        <item m="1" x="738"/>
        <item m="1" x="1382"/>
        <item m="1" x="1246"/>
        <item m="1" x="1224"/>
        <item m="1" x="803"/>
        <item m="1" x="765"/>
        <item m="1" x="1577"/>
        <item m="1" x="518"/>
        <item m="1" x="700"/>
        <item m="1" x="1359"/>
        <item m="1" x="1470"/>
        <item m="1" x="1397"/>
        <item m="1" x="1601"/>
        <item m="1" x="1105"/>
        <item m="1" x="732"/>
        <item m="1" x="852"/>
        <item m="1" x="1171"/>
        <item m="1" x="913"/>
        <item m="1" x="1241"/>
        <item m="1" x="854"/>
        <item m="1" x="656"/>
        <item m="1" x="1309"/>
        <item m="1" x="711"/>
        <item m="1" x="591"/>
        <item m="1" x="1443"/>
        <item m="1" x="1590"/>
        <item m="1" x="1291"/>
        <item m="1" x="556"/>
        <item m="1" x="1482"/>
        <item m="1" x="1280"/>
        <item m="1" x="1390"/>
        <item m="1" x="1529"/>
        <item m="1" x="757"/>
        <item m="1" x="949"/>
        <item m="1" x="787"/>
        <item m="1" x="1055"/>
        <item m="1" x="979"/>
        <item m="1" x="1009"/>
        <item m="1" x="1545"/>
        <item m="1" x="991"/>
        <item m="1" x="1194"/>
        <item m="1" x="726"/>
        <item m="1" x="925"/>
        <item m="1" x="899"/>
        <item m="1" x="1242"/>
        <item m="1" x="1145"/>
        <item m="1" x="1373"/>
        <item m="1" x="895"/>
        <item m="1" x="1531"/>
        <item m="1" x="733"/>
        <item m="1" x="659"/>
        <item m="1" x="915"/>
        <item m="1" x="1456"/>
        <item m="1" x="566"/>
        <item m="1" x="567"/>
        <item m="1" x="863"/>
        <item m="1" x="1536"/>
        <item m="1" x="930"/>
        <item m="1" x="575"/>
        <item m="1" x="735"/>
        <item m="1" x="977"/>
        <item m="1" x="1288"/>
        <item m="1" x="1260"/>
        <item m="1" x="931"/>
        <item m="1" x="512"/>
        <item m="1" x="650"/>
        <item m="1" x="862"/>
        <item m="1" x="750"/>
        <item m="1" x="507"/>
        <item m="1" x="1460"/>
        <item m="1" x="1589"/>
        <item m="1" x="1059"/>
        <item m="1" x="1489"/>
        <item m="1" x="1549"/>
        <item m="1" x="572"/>
        <item m="1" x="1587"/>
        <item m="1" x="1325"/>
        <item m="1" x="748"/>
        <item m="1" x="934"/>
        <item m="1" x="838"/>
        <item m="1" x="1200"/>
        <item m="1" x="771"/>
        <item m="1" x="987"/>
        <item m="1" x="1282"/>
        <item m="1" x="1407"/>
        <item m="1" x="910"/>
        <item m="1" x="1038"/>
        <item m="1" x="850"/>
        <item m="1" x="776"/>
        <item m="1" x="1287"/>
        <item m="1" x="1402"/>
        <item m="1" x="1564"/>
        <item m="1" x="606"/>
        <item m="1" x="810"/>
        <item m="1" x="1250"/>
        <item m="1" x="651"/>
        <item m="1" x="938"/>
        <item m="1" x="1319"/>
        <item m="1" x="584"/>
        <item m="1" x="794"/>
        <item m="1" x="904"/>
        <item m="1" x="1510"/>
        <item m="1" x="743"/>
        <item m="1" x="1013"/>
        <item m="1" x="1566"/>
        <item m="1" x="694"/>
        <item m="1" x="883"/>
        <item m="1" x="1071"/>
        <item m="1" x="1408"/>
        <item m="1" x="706"/>
        <item m="1" x="962"/>
        <item m="1" x="804"/>
        <item m="1" x="1300"/>
        <item m="1" x="1486"/>
        <item m="1" x="612"/>
        <item m="1" x="832"/>
        <item m="1" x="1568"/>
        <item m="1" x="1533"/>
        <item m="1" x="633"/>
        <item m="1" x="950"/>
        <item m="1" x="1474"/>
        <item m="1" x="1605"/>
        <item m="1" x="1476"/>
        <item m="1" x="1451"/>
        <item m="1" x="582"/>
        <item m="1" x="758"/>
        <item m="1" x="840"/>
        <item m="1" x="829"/>
        <item m="1" x="1056"/>
        <item m="1" x="544"/>
        <item m="1" x="1243"/>
        <item m="1" x="1314"/>
        <item m="1" x="496"/>
        <item m="1" x="1574"/>
        <item m="1" x="1436"/>
        <item m="1" x="1565"/>
        <item m="1" x="1595"/>
        <item m="1" x="1631"/>
        <item m="1" x="1569"/>
        <item m="1" x="933"/>
        <item m="1" x="1293"/>
        <item m="1" x="900"/>
        <item m="1" x="1306"/>
        <item m="1" x="1271"/>
        <item m="1" x="709"/>
        <item m="1" x="747"/>
        <item m="1" x="885"/>
        <item m="1" x="1350"/>
        <item m="1" x="870"/>
        <item m="1" x="616"/>
        <item m="1" x="1615"/>
        <item m="1" x="1365"/>
        <item m="1" x="1198"/>
        <item m="1" x="1230"/>
        <item m="1" x="1279"/>
        <item m="1" x="704"/>
        <item m="1" x="1046"/>
        <item m="1" x="1391"/>
        <item m="1" x="542"/>
        <item m="1" x="785"/>
        <item m="1" x="685"/>
        <item m="1" x="682"/>
        <item m="1" x="686"/>
        <item m="1" x="487"/>
        <item m="1" x="708"/>
        <item m="1" x="1505"/>
        <item m="1" x="509"/>
        <item m="1" x="1155"/>
        <item m="1" x="1592"/>
        <item m="1" x="1403"/>
        <item m="1" x="663"/>
        <item m="1" x="1663"/>
        <item m="1" x="592"/>
        <item m="1" x="959"/>
        <item m="1" x="1182"/>
        <item m="1" x="638"/>
        <item m="1" x="1091"/>
        <item m="1" x="1251"/>
        <item m="1" x="1519"/>
        <item m="1" x="1421"/>
        <item m="1" x="500"/>
        <item m="1" x="1183"/>
        <item m="1" x="583"/>
        <item m="1" x="819"/>
        <item m="1" x="791"/>
        <item m="1" x="553"/>
        <item m="1" x="1146"/>
        <item m="1" x="1153"/>
        <item m="1" x="1253"/>
        <item m="1" x="1002"/>
        <item m="1" x="1502"/>
        <item m="1" x="911"/>
        <item m="1" x="1621"/>
        <item m="1" x="1256"/>
        <item m="1" x="1147"/>
        <item m="1" x="811"/>
        <item m="1" x="1219"/>
        <item m="1" x="1517"/>
        <item m="1" x="1582"/>
        <item m="1" x="1561"/>
        <item m="1" x="1491"/>
        <item m="1" x="1240"/>
        <item m="1" x="1353"/>
        <item m="1" x="866"/>
        <item m="1" x="1315"/>
        <item m="1" x="1140"/>
        <item m="1" x="1099"/>
        <item m="1" x="1097"/>
        <item m="1" x="1098"/>
        <item m="1" x="795"/>
        <item m="1" x="839"/>
        <item m="1" x="1452"/>
        <item m="1" x="1017"/>
        <item m="1" x="859"/>
        <item m="1" x="901"/>
        <item m="1" x="947"/>
        <item m="1" x="1199"/>
        <item m="1" x="1537"/>
        <item m="1" x="1626"/>
        <item m="1" x="744"/>
        <item m="1" x="695"/>
        <item m="1" x="532"/>
        <item m="1" x="554"/>
        <item m="1" x="851"/>
        <item m="1" x="639"/>
        <item m="1" x="967"/>
        <item m="1" x="1503"/>
        <item m="1" x="844"/>
        <item m="1" x="636"/>
        <item m="1" x="1395"/>
        <item m="1" x="513"/>
        <item m="1" x="1521"/>
        <item m="1" x="1596"/>
        <item m="1" x="1660"/>
        <item m="1" x="1535"/>
        <item m="1" x="778"/>
        <item m="1" x="555"/>
        <item m="1" x="1019"/>
        <item m="1" x="1103"/>
        <item m="1" x="1299"/>
        <item m="1" x="1267"/>
        <item m="1" x="1303"/>
        <item m="1" x="1080"/>
        <item m="1" x="1118"/>
        <item m="1" x="1559"/>
        <item m="1" x="1322"/>
        <item m="1" x="1292"/>
        <item m="1" x="1231"/>
        <item m="1" x="1304"/>
        <item m="1" x="505"/>
        <item m="1" x="510"/>
        <item m="1" x="1113"/>
        <item m="1" x="1498"/>
        <item m="1" x="1068"/>
        <item m="1" x="1638"/>
        <item m="1" x="1037"/>
        <item m="1" x="1213"/>
        <item m="1" x="1284"/>
        <item m="1" x="898"/>
        <item m="1" x="730"/>
        <item m="1" x="1106"/>
        <item m="1" x="792"/>
        <item m="1" x="1647"/>
        <item m="1" x="1562"/>
        <item m="1" x="1375"/>
        <item m="1" x="632"/>
        <item m="1" x="559"/>
        <item m="1" x="1132"/>
        <item m="1" x="1376"/>
        <item m="1" x="1665"/>
        <item m="1" x="1011"/>
        <item m="1" x="1612"/>
        <item m="1" x="546"/>
        <item m="1" x="660"/>
        <item m="1" x="972"/>
        <item m="1" x="1063"/>
        <item m="1" x="1492"/>
        <item m="1" x="816"/>
        <item m="1" x="1495"/>
        <item m="1" x="912"/>
        <item m="1" x="1484"/>
        <item m="1" x="1648"/>
        <item m="1" x="576"/>
        <item m="1" x="1632"/>
        <item m="1" x="523"/>
        <item m="1" x="1385"/>
        <item m="1" x="1003"/>
        <item m="1" x="834"/>
        <item m="1" x="797"/>
        <item m="1" x="941"/>
        <item m="1" x="540"/>
        <item m="1" x="1625"/>
        <item m="1" x="624"/>
        <item m="1" x="645"/>
        <item m="1" x="1518"/>
        <item m="1" x="1597"/>
        <item m="1" x="1111"/>
        <item m="1" x="1252"/>
        <item m="1" x="953"/>
        <item m="1" x="1066"/>
        <item m="1" x="1215"/>
        <item m="1" x="1332"/>
        <item m="1" x="919"/>
        <item m="1" x="1195"/>
        <item m="1" x="1014"/>
        <item m="1" x="1651"/>
        <item m="1" x="504"/>
        <item m="1" x="943"/>
        <item m="1" x="884"/>
        <item m="1" x="845"/>
        <item m="1" x="1639"/>
        <item m="1" x="1457"/>
        <item m="1" x="1588"/>
        <item m="1" x="601"/>
        <item m="1" x="1599"/>
        <item m="1" x="1586"/>
        <item m="1" x="1463"/>
        <item m="1" x="698"/>
        <item m="1" x="1067"/>
        <item m="1" x="1160"/>
        <item m="1" x="906"/>
        <item m="1" x="1504"/>
        <item m="1" x="1290"/>
        <item m="1" x="1310"/>
        <item m="1" x="1204"/>
        <item m="1" x="547"/>
        <item m="1" x="1377"/>
        <item m="1" x="1539"/>
        <item m="1" x="944"/>
        <item m="1" x="1658"/>
        <item m="1" x="1152"/>
        <item m="1" x="739"/>
        <item m="1" x="872"/>
        <item m="1" x="908"/>
        <item m="1" x="1567"/>
        <item m="1" x="1551"/>
        <item m="1" x="611"/>
        <item m="1" x="613"/>
        <item m="1" x="527"/>
        <item m="1" x="1487"/>
        <item m="1" x="529"/>
        <item m="1" x="946"/>
        <item m="1" x="846"/>
        <item m="1" x="1302"/>
        <item m="1" x="1245"/>
        <item m="1" x="1594"/>
        <item m="1" x="1526"/>
        <item m="1" x="1018"/>
        <item m="1" x="1232"/>
        <item m="1" x="1467"/>
        <item m="1" x="580"/>
        <item m="1" x="1012"/>
        <item m="1" x="942"/>
        <item m="1" x="1636"/>
        <item m="1" x="1603"/>
        <item m="1" x="1034"/>
        <item m="1" x="640"/>
        <item m="1" x="935"/>
        <item m="1" x="1108"/>
        <item m="1" x="562"/>
        <item m="1" x="1398"/>
        <item m="1" x="992"/>
        <item m="1" x="802"/>
        <item m="1" x="896"/>
        <item m="1" x="1342"/>
        <item m="1" x="1641"/>
        <item m="1" x="720"/>
        <item m="1" x="1493"/>
        <item m="1" x="714"/>
        <item m="1" x="1278"/>
        <item m="1" x="1050"/>
        <item m="1" x="981"/>
        <item m="1" x="703"/>
        <item m="1" x="770"/>
        <item m="1" x="558"/>
        <item m="1" x="1358"/>
        <item m="1" x="871"/>
        <item m="1" x="595"/>
        <item m="1" x="1209"/>
        <item m="1" x="1524"/>
        <item m="1" x="1064"/>
        <item m="1" x="1022"/>
        <item m="1" x="493"/>
        <item m="1" x="1629"/>
        <item m="1" x="879"/>
        <item m="1" x="939"/>
        <item m="1" x="1346"/>
        <item m="1" x="1623"/>
        <item m="1" x="1548"/>
        <item m="1" x="1399"/>
        <item m="1" x="1514"/>
        <item m="1" x="675"/>
        <item m="1" x="874"/>
        <item m="1" x="707"/>
        <item m="1" x="499"/>
        <item m="1" x="1112"/>
        <item m="1" x="561"/>
        <item m="1" x="783"/>
        <item m="1" x="727"/>
        <item m="1" x="673"/>
        <item m="1" x="1628"/>
        <item m="1" x="724"/>
        <item m="1" x="1326"/>
        <item m="1" x="1538"/>
        <item m="1" x="664"/>
        <item m="1" x="568"/>
        <item m="1" x="1361"/>
        <item m="1" x="1337"/>
        <item m="1" x="1378"/>
        <item m="1" x="1297"/>
        <item m="1" x="641"/>
        <item m="1" x="997"/>
        <item m="1" x="1265"/>
        <item m="1" x="1515"/>
        <item m="1" x="1109"/>
        <item m="1" x="1227"/>
        <item m="1" x="1571"/>
        <item m="1" x="983"/>
        <item m="1" x="827"/>
        <item m="1" x="1060"/>
        <item m="1" x="1007"/>
        <item m="1" x="937"/>
        <item m="1" x="1454"/>
        <item m="1" x="1141"/>
        <item m="1" x="1237"/>
        <item m="1" x="488"/>
        <item m="1" x="1033"/>
        <item m="1" x="635"/>
        <item m="1" x="902"/>
        <item m="1" x="1040"/>
        <item m="1" x="570"/>
        <item m="1" x="687"/>
        <item m="1" x="1142"/>
        <item m="1" x="1339"/>
        <item m="1" x="1609"/>
        <item m="1" x="1652"/>
        <item m="1" x="1262"/>
        <item m="1" x="610"/>
        <item m="1" x="538"/>
        <item m="1" x="1124"/>
        <item m="1" x="746"/>
        <item m="1" x="1020"/>
        <item m="1" x="648"/>
        <item m="1" x="751"/>
        <item m="1" x="1178"/>
        <item m="1" x="1534"/>
        <item m="1" x="1465"/>
        <item m="1" x="881"/>
        <item m="1" x="916"/>
        <item m="1" x="1192"/>
        <item m="1" x="1622"/>
        <item m="1" x="1348"/>
        <item m="1" x="514"/>
        <item m="1" x="1576"/>
        <item m="1" x="622"/>
        <item m="1" x="1268"/>
        <item m="1" x="1313"/>
        <item m="1" x="1316"/>
        <item m="1" x="1656"/>
        <item m="1" x="549"/>
        <item m="1" x="1327"/>
        <item m="1" x="1424"/>
        <item m="1" x="1196"/>
        <item m="1" x="1366"/>
        <item m="1" x="608"/>
        <item m="1" x="1000"/>
        <item m="1" x="847"/>
        <item m="1" x="1459"/>
        <item m="1" x="1554"/>
        <item m="1" x="1083"/>
        <item m="1" x="1522"/>
        <item m="1" x="1570"/>
        <item m="1" x="923"/>
        <item m="1" x="1426"/>
        <item m="1" x="1289"/>
        <item m="1" x="1572"/>
        <item m="1" x="1616"/>
        <item m="1" x="1354"/>
        <item m="1" x="964"/>
        <item m="1" x="769"/>
        <item m="1" x="1604"/>
        <item m="1" x="1151"/>
        <item m="1" x="1125"/>
        <item m="1" x="1134"/>
        <item m="1" x="1655"/>
        <item m="1" x="1379"/>
        <item m="1" x="1074"/>
        <item m="1" x="1343"/>
        <item m="1" x="1320"/>
        <item m="1" x="936"/>
        <item m="1" x="837"/>
        <item m="1" x="1336"/>
        <item m="1" x="731"/>
        <item m="1" x="688"/>
        <item m="1" x="630"/>
        <item m="1" x="1617"/>
        <item m="1" x="1233"/>
        <item m="1" x="968"/>
        <item m="1" x="1049"/>
        <item m="1" x="530"/>
        <item m="1" x="1606"/>
        <item m="1" x="1157"/>
        <item m="1" x="1305"/>
        <item m="1" x="753"/>
        <item m="1" x="1437"/>
        <item m="1" x="940"/>
        <item m="1" x="833"/>
        <item m="1" x="1661"/>
        <item m="1" x="963"/>
        <item m="1" x="1602"/>
        <item m="1" x="1188"/>
        <item m="1" x="864"/>
        <item m="1" x="655"/>
        <item m="1" x="598"/>
        <item m="1" x="892"/>
        <item m="1" x="589"/>
        <item m="1" x="560"/>
        <item m="1" x="577"/>
        <item m="1" x="856"/>
        <item m="1" x="701"/>
        <item m="1" x="1008"/>
        <item m="1" x="1065"/>
        <item m="1" x="1164"/>
        <item m="1" x="1035"/>
        <item m="1" x="1368"/>
        <item m="1" x="1432"/>
        <item m="1" x="644"/>
        <item m="1" x="654"/>
        <item m="1" x="843"/>
        <item m="1" x="985"/>
        <item m="1" x="775"/>
        <item m="1" x="1328"/>
        <item m="1" x="1078"/>
        <item m="1" x="995"/>
        <item m="1" x="1128"/>
        <item m="1" x="1434"/>
        <item m="1" x="1372"/>
        <item m="1" x="1458"/>
        <item m="1" x="1214"/>
        <item m="1" x="634"/>
        <item m="1" x="1640"/>
        <item m="1" x="1053"/>
        <item m="1" x="668"/>
        <item m="1" x="492"/>
        <item m="1" x="1637"/>
        <item m="1" x="1121"/>
        <item m="1" x="1088"/>
        <item m="1" x="860"/>
        <item m="1" x="740"/>
        <item m="1" x="824"/>
        <item m="1" x="978"/>
        <item m="1" x="1553"/>
        <item m="1" x="1472"/>
        <item m="1" x="848"/>
        <item m="1" x="921"/>
        <item m="1" x="928"/>
        <item m="1" x="1466"/>
        <item m="1" x="1069"/>
        <item m="1" x="541"/>
        <item m="1" x="1102"/>
        <item m="1" x="1381"/>
        <item m="1" x="1507"/>
        <item m="1" x="1400"/>
        <item m="1" x="1208"/>
        <item m="1" x="1506"/>
        <item m="1" x="520"/>
        <item m="1" x="1423"/>
        <item m="1" x="502"/>
        <item m="1" x="842"/>
        <item m="1" x="506"/>
        <item m="1" x="665"/>
        <item m="1" x="755"/>
        <item m="1" x="761"/>
        <item m="1" x="1179"/>
        <item m="1" x="1433"/>
        <item m="1" x="960"/>
        <item m="1" x="531"/>
        <item m="1" x="737"/>
        <item m="1" x="525"/>
        <item m="1" x="1520"/>
        <item m="1" x="745"/>
        <item m="1" x="1081"/>
        <item m="1" x="1540"/>
        <item m="1" x="867"/>
        <item m="1" x="809"/>
        <item m="1" x="1205"/>
        <item m="1" x="762"/>
        <item m="1" x="1070"/>
        <item m="1" x="1364"/>
        <item m="1" x="503"/>
        <item m="1" x="1016"/>
        <item m="1" x="1135"/>
        <item m="1" x="627"/>
        <item m="1" x="969"/>
        <item m="1" x="1104"/>
        <item m="1" x="855"/>
        <item m="1" x="893"/>
        <item m="1" x="620"/>
        <item m="1" x="1026"/>
        <item m="1" x="490"/>
        <item m="1" x="1162"/>
        <item m="1" x="1555"/>
        <item m="1" x="1276"/>
        <item m="1" x="1270"/>
        <item m="1" x="1169"/>
        <item m="1" x="495"/>
        <item m="1" x="1301"/>
        <item m="1" x="1344"/>
        <item m="1" x="1150"/>
        <item m="1" x="494"/>
        <item m="1" x="1501"/>
        <item m="1" x="1468"/>
        <item m="1" x="498"/>
        <item m="1" x="777"/>
        <item m="1" x="1167"/>
        <item m="1" x="1422"/>
        <item m="1" x="619"/>
        <item m="1" x="515"/>
        <item m="1" x="674"/>
        <item m="1" x="565"/>
        <item m="1" x="973"/>
        <item m="1" x="786"/>
        <item m="1" x="784"/>
        <item m="1" x="955"/>
        <item m="1" x="1057"/>
        <item m="1" x="961"/>
        <item m="1" x="1158"/>
        <item m="1" x="1010"/>
        <item m="1" x="875"/>
        <item m="1" x="990"/>
        <item m="1" x="1483"/>
        <item m="1" x="1578"/>
        <item m="1" x="835"/>
        <item m="1" x="1558"/>
        <item m="1" x="600"/>
        <item m="1" x="1547"/>
        <item m="1" x="1244"/>
        <item m="1" x="1415"/>
        <item m="1" x="1494"/>
        <item m="1" x="1174"/>
        <item m="1" x="1386"/>
        <item m="1" x="678"/>
        <item m="1" x="661"/>
        <item m="1" x="1283"/>
        <item m="1" x="1255"/>
        <item m="1" x="817"/>
        <item m="1" x="1653"/>
        <item m="1" x="1225"/>
        <item m="1" x="965"/>
        <item m="1" x="1039"/>
        <item m="1" x="998"/>
        <item m="1" x="1508"/>
        <item m="1" x="1512"/>
        <item m="1" x="508"/>
        <item m="1" x="1392"/>
        <item m="1" x="1438"/>
        <item m="1" x="557"/>
        <item m="1" x="929"/>
        <item m="1" x="920"/>
        <item m="1" x="1427"/>
        <item m="1" x="1126"/>
        <item m="1" x="1330"/>
        <item m="1" x="996"/>
        <item m="1" x="1347"/>
        <item m="1" x="535"/>
        <item m="1" x="658"/>
        <item m="1" x="1627"/>
        <item m="1" x="1247"/>
        <item m="1" x="1619"/>
        <item m="1" x="539"/>
        <item m="1" x="799"/>
        <item m="1" x="615"/>
        <item m="1" x="548"/>
        <item m="1" x="563"/>
        <item m="1" x="1115"/>
        <item m="1" x="1148"/>
        <item m="1" x="820"/>
        <item m="1" x="1238"/>
        <item m="1" x="1556"/>
        <item m="1" x="907"/>
        <item m="1" x="986"/>
        <item m="1" x="1136"/>
        <item m="1" x="1624"/>
        <item m="1" x="801"/>
        <item m="1" x="813"/>
        <item m="1" x="823"/>
        <item m="1" x="1444"/>
        <item m="1" x="1580"/>
        <item m="1" x="497"/>
        <item m="1" x="1324"/>
        <item m="1" x="1620"/>
        <item m="1" x="721"/>
        <item m="1" x="1036"/>
        <item m="1" x="1657"/>
        <item m="1" x="1563"/>
        <item m="1" x="710"/>
        <item m="1" x="822"/>
        <item m="1" x="909"/>
        <item m="1" x="1234"/>
        <item m="1" x="1431"/>
        <item m="1" x="666"/>
        <item m="1" x="1137"/>
        <item m="1" x="662"/>
        <item m="1" x="631"/>
        <item m="1" x="579"/>
        <item m="1" x="1550"/>
        <item m="1" x="1143"/>
        <item m="1" x="1591"/>
        <item m="1" x="984"/>
        <item m="1" x="1608"/>
        <item m="1" x="1360"/>
        <item m="1" x="649"/>
        <item m="1" x="1464"/>
        <item m="1" x="1478"/>
        <item m="1" x="1138"/>
        <item m="1" x="1513"/>
        <item m="1" x="1351"/>
        <item m="1" x="1216"/>
        <item m="1" x="533"/>
        <item m="1" x="1362"/>
        <item m="1" x="1094"/>
        <item m="1" x="1027"/>
        <item m="1" x="1370"/>
        <item m="1" x="954"/>
        <item m="1" x="588"/>
        <item m="1" x="760"/>
        <item m="1" x="537"/>
        <item m="1" x="886"/>
        <item m="1" x="1264"/>
        <item m="1" x="849"/>
        <item m="1" x="712"/>
        <item m="1" x="927"/>
        <item m="1" x="605"/>
        <item m="1" x="857"/>
        <item m="1" x="728"/>
        <item m="1" x="1079"/>
        <item m="1" x="1666"/>
        <item m="1" x="1120"/>
        <item m="1" x="716"/>
        <item m="1" x="993"/>
        <item m="1" x="699"/>
        <item m="1" x="752"/>
        <item m="1" x="1044"/>
        <item m="1" x="1312"/>
        <item m="1" x="1029"/>
        <item m="1" x="1479"/>
        <item m="1" x="1041"/>
        <item m="1" x="1275"/>
        <item m="1" x="590"/>
        <item m="1" x="1073"/>
        <item m="1" x="713"/>
        <item m="1" x="643"/>
        <item m="1" x="1369"/>
        <item m="1" x="684"/>
        <item m="1" x="1393"/>
        <item m="1" x="585"/>
        <item m="1" x="1210"/>
        <item m="1" x="1217"/>
        <item m="1" x="621"/>
        <item m="1" x="1139"/>
        <item m="1" x="517"/>
        <item m="1" x="1340"/>
        <item m="1" x="1045"/>
        <item m="1" x="1266"/>
        <item m="1" x="1235"/>
        <item m="1" x="1455"/>
        <item m="1" x="1228"/>
        <item m="1" x="806"/>
        <item m="1" x="1307"/>
        <item m="1" x="1441"/>
        <item m="1" x="1131"/>
        <item m="1" x="1263"/>
        <item m="1" x="596"/>
        <item m="1" x="1429"/>
        <item m="1" x="1086"/>
        <item m="1" x="951"/>
        <item m="1" x="1335"/>
        <item m="1" x="861"/>
        <item m="1" x="1184"/>
        <item m="1" x="718"/>
        <item m="1" x="814"/>
        <item m="1" x="1211"/>
        <item m="1" x="980"/>
        <item m="1" x="524"/>
        <item m="1" x="858"/>
        <item m="1" x="1338"/>
        <item m="1" x="1440"/>
        <item m="1" x="543"/>
        <item m="1" x="828"/>
        <item m="1" x="763"/>
        <item m="1" x="1096"/>
        <item m="1" x="1189"/>
        <item m="1" x="629"/>
        <item m="1" x="1611"/>
        <item m="1" x="594"/>
        <item m="1" x="667"/>
        <item m="1" x="1448"/>
        <item m="1" x="956"/>
        <item m="1" x="970"/>
        <item m="1" x="1024"/>
        <item m="1" x="599"/>
        <item m="1" x="878"/>
        <item m="1" x="1273"/>
        <item m="1" x="1185"/>
        <item m="1" x="975"/>
        <item m="1" x="922"/>
        <item m="1" x="552"/>
        <item m="1" x="790"/>
        <item m="1" x="1254"/>
        <item m="1" x="888"/>
        <item m="1" x="1051"/>
        <item m="1" x="988"/>
        <item m="1" x="1170"/>
        <item m="1" x="534"/>
        <item m="1" x="1015"/>
        <item m="1" x="689"/>
        <item m="1" x="1092"/>
        <item m="1" x="1218"/>
        <item m="1" x="1294"/>
        <item m="1" x="1229"/>
        <item m="1" x="1190"/>
        <item m="1" x="1116"/>
        <item m="1" x="1527"/>
        <item m="1" x="1419"/>
        <item m="1" x="670"/>
        <item m="1" x="1411"/>
        <item m="1" x="865"/>
        <item m="1" x="1175"/>
        <item m="1" x="581"/>
        <item m="1" x="1154"/>
        <item m="1" x="1021"/>
        <item m="1" x="1453"/>
        <item m="1" x="607"/>
        <item m="1" x="1664"/>
        <item m="1" x="646"/>
        <item m="1" x="586"/>
        <item m="1" x="1156"/>
        <item m="1" x="1356"/>
        <item m="1" x="1259"/>
        <item m="1" x="545"/>
        <item m="1" x="697"/>
        <item m="1" x="1485"/>
        <item m="1" x="1425"/>
        <item m="1" x="680"/>
        <item m="1" x="653"/>
        <item m="1" x="948"/>
        <item m="1" x="569"/>
        <item m="1" x="1176"/>
        <item m="1" x="609"/>
        <item m="1" x="779"/>
        <item m="1" x="1076"/>
        <item m="1" x="1607"/>
        <item m="1" x="647"/>
        <item m="1" x="917"/>
        <item m="1" x="764"/>
        <item m="1" x="926"/>
        <item m="1" x="1480"/>
        <item m="1" x="1363"/>
        <item m="1" x="825"/>
        <item m="1" x="578"/>
        <item m="1" x="1528"/>
        <item m="1" x="691"/>
        <item m="1" x="1473"/>
        <item m="1" x="1030"/>
        <item m="1" x="1414"/>
        <item m="1" x="773"/>
        <item m="1" x="945"/>
        <item m="1" x="1430"/>
        <item m="1" x="1618"/>
        <item m="1" x="1394"/>
        <item m="1" x="793"/>
        <item m="1" x="736"/>
        <item m="1" x="1439"/>
        <item m="1" x="1203"/>
        <item m="1" x="1047"/>
        <item m="1" x="1471"/>
        <item m="1" x="519"/>
        <item m="1" x="516"/>
        <item m="1" x="1191"/>
        <item m="1" x="1331"/>
        <item m="1" x="1286"/>
        <item m="1" x="1469"/>
        <item m="1" x="994"/>
        <item m="1" x="741"/>
        <item m="1" x="815"/>
        <item m="1" x="1345"/>
        <item m="1" x="897"/>
        <item m="1" x="1127"/>
        <item m="1" x="1542"/>
        <item m="1" x="780"/>
        <item m="1" x="1117"/>
        <item m="1" x="501"/>
        <item m="1" x="8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m="1" x="818"/>
        <item m="1" x="1579"/>
        <item m="1" x="521"/>
        <item m="1" x="48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658"/>
    </i>
    <i r="2">
      <x v="8"/>
    </i>
    <i r="2">
      <x v="10"/>
    </i>
    <i r="1">
      <x v="1660"/>
    </i>
    <i r="2">
      <x v="8"/>
    </i>
    <i r="1">
      <x v="1662"/>
    </i>
    <i r="2">
      <x v="8"/>
    </i>
    <i>
      <x v="1"/>
    </i>
    <i r="1">
      <x v="1644"/>
    </i>
    <i r="2">
      <x v="8"/>
    </i>
    <i r="1">
      <x v="1651"/>
    </i>
    <i r="2">
      <x v="8"/>
    </i>
    <i r="1">
      <x v="1652"/>
    </i>
    <i r="2">
      <x v="3"/>
    </i>
    <i r="2">
      <x v="8"/>
    </i>
    <i r="1">
      <x v="1657"/>
    </i>
    <i r="2">
      <x v="3"/>
    </i>
    <i r="2">
      <x v="8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4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602C252-5129-450C-9538-0ED4258B4190}" name="Table5" displayName="Table5" ref="A1:S34" totalsRowShown="0">
  <autoFilter ref="A1:S34" xr:uid="{C602C252-5129-450C-9538-0ED4258B4190}"/>
  <tableColumns count="19">
    <tableColumn id="1" xr3:uid="{12E869FF-B018-409F-9401-180401F01090}" name="App"/>
    <tableColumn id="2" xr3:uid="{EA64008D-561F-4768-AF7D-23AEEBCA51A6}" name="Filter"/>
    <tableColumn id="3" xr3:uid="{8D777C5E-53D1-48F2-BF30-5F8A83E5AEDE}" name="Status"/>
    <tableColumn id="4" xr3:uid="{9CFEC272-58FD-4300-A42D-AC76457B0C06}" name="Obj"/>
    <tableColumn id="5" xr3:uid="{CDB62CDB-599A-472F-9DCA-22EBF75ED0BA}" name="Requested"/>
    <tableColumn id="6" xr3:uid="{22170037-F714-46AA-9F99-8A31469A4AA2}" name="CurrentParent"/>
    <tableColumn id="7" xr3:uid="{AB436A28-4E31-4FEC-84D5-BDB4902A3DBD}" name="type"/>
    <tableColumn id="8" xr3:uid="{00DB14DE-260A-43B3-B520-D8BF325A985A}" name="LFF_ID"/>
    <tableColumn id="9" xr3:uid="{CF9BD0E7-C173-4657-87CE-570DE53DC722}" name="Analysis"/>
    <tableColumn id="10" xr3:uid="{56CB265F-6E41-46F1-B911-812CEEAF0D27}" name="Check"/>
    <tableColumn id="11" xr3:uid="{8146E47D-D887-489C-A7B8-95CC17629AAD}" name="Sector"/>
    <tableColumn id="12" xr3:uid="{B393E39C-2FCD-497E-A032-01B8B23665BC}" name="Forecast"/>
    <tableColumn id="13" xr3:uid="{2384BDBD-02C4-45B6-9399-A55C82DC859B}" name="DateOpened" dataDxfId="48"/>
    <tableColumn id="14" xr3:uid="{C8D187D8-FB53-4521-BABA-D945DA7B88BA}" name="DateMapped"/>
    <tableColumn id="15" xr3:uid="{47756CE8-52D6-4B1F-B2E4-04DF24F50B68}" name="DateClosed"/>
    <tableColumn id="16" xr3:uid="{ACB7352A-6FB1-45AE-9F02-E20EE84B7DFD}" name="Delayed?"/>
    <tableColumn id="17" xr3:uid="{F2F3FA16-7122-4324-BA43-E65835D9FDEC}" name="DaysAgeing"/>
    <tableColumn id="18" xr3:uid="{32156333-D359-48AF-B56B-548D628E77C6}" name="Author"/>
    <tableColumn id="19" xr3:uid="{8893B57B-0873-45AC-93D9-FA0206F1741F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704E10-C538-4DC9-AA13-E71E7BAE0C12}" name="Table7" displayName="Table7" ref="A1:S6" totalsRowShown="0">
  <autoFilter ref="A1:S6" xr:uid="{DB704E10-C538-4DC9-AA13-E71E7BAE0C12}"/>
  <tableColumns count="19">
    <tableColumn id="1" xr3:uid="{38E63694-91AE-40CF-B25C-21277D685FA8}" name="App"/>
    <tableColumn id="2" xr3:uid="{887FAB9F-C911-4169-AB52-37D306423A2E}" name="Filter"/>
    <tableColumn id="3" xr3:uid="{78614A9A-93FF-492B-A18F-0845BB5445F2}" name="Status"/>
    <tableColumn id="4" xr3:uid="{5DAF615C-4BBF-4401-BE94-5377CE6AD3F3}" name="Obj"/>
    <tableColumn id="5" xr3:uid="{C77C09CE-C31F-463F-B047-17A9884D5DB8}" name="Requested"/>
    <tableColumn id="6" xr3:uid="{8AC9A744-95FD-46D5-B83F-999DAFF613E1}" name="CurrentParent"/>
    <tableColumn id="7" xr3:uid="{B75034B4-BCD9-46CC-90F2-9F4EE89EC5DC}" name="type"/>
    <tableColumn id="8" xr3:uid="{91F2D676-1660-44E5-AAD8-164461FD1E0F}" name="LFF_ID"/>
    <tableColumn id="9" xr3:uid="{51CAE0F5-FDCA-43DA-A373-4C51F2D77501}" name="Analysis"/>
    <tableColumn id="10" xr3:uid="{8C8F42E2-A54B-47FA-882D-518E10D08DFE}" name="Check"/>
    <tableColumn id="11" xr3:uid="{D3FE1F2B-24C7-4CF9-B0DC-55E506C518F7}" name="Sector"/>
    <tableColumn id="12" xr3:uid="{6CF39CAD-AA35-4781-B405-93929360E3D6}" name="Forecast"/>
    <tableColumn id="13" xr3:uid="{090CA735-5F18-4C14-AA23-F4560E6B8168}" name="DateOpened" dataDxfId="4"/>
    <tableColumn id="14" xr3:uid="{93B15105-583B-4E2A-812A-97A990D3C217}" name="DateMapped"/>
    <tableColumn id="15" xr3:uid="{8A5F9B18-8F49-403C-BAA1-421104944095}" name="DateClosed"/>
    <tableColumn id="16" xr3:uid="{BF5A032F-CF37-495B-AEDD-81A88FF00FD5}" name="Delayed?"/>
    <tableColumn id="17" xr3:uid="{CAFB1CCF-4E56-4481-91C5-26F893C64AE9}" name="DaysAgeing"/>
    <tableColumn id="18" xr3:uid="{05266932-1910-425E-906B-A1BFCC59ACEE}" name="Author"/>
    <tableColumn id="19" xr3:uid="{A925C75C-96ED-46B9-A7CC-3ABE326745C4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5" totalsRowShown="0" totalsRowDxfId="43">
  <autoFilter ref="A1:C1405" xr:uid="{43456A03-EFD4-416A-B021-C441A7C21E4E}"/>
  <tableColumns count="3">
    <tableColumn id="1" xr3:uid="{96F9219D-1D74-4611-A7AA-8AB4E044352A}" name="Ticket" totalsRowDxfId="42"/>
    <tableColumn id="2" xr3:uid="{D6F02EDE-42BA-4EF9-A278-EA070340E315}" name="Number" totalsRowDxfId="41"/>
    <tableColumn id="3" xr3:uid="{F6A90E5F-0E5C-41D7-A40C-1CC9A86DC194}" name="Status" totalsRow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334" totalsRowShown="0">
  <autoFilter ref="A1:S5334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3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38"/>
    <tableColumn id="7" xr3:uid="{D69C8A00-2CB4-4F31-920A-C1D332375D40}" name="type"/>
    <tableColumn id="9" xr3:uid="{3D246B09-CC89-411A-9E7E-B79496797F29}" name="LFF_ID" dataDxfId="3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36">
      <calculatedColumnFormula>Proc[[#This Row],[Requested]]=Proc[[#This Row],[CurrentParent]]</calculatedColumnFormula>
    </tableColumn>
    <tableColumn id="24" xr3:uid="{9DAA192A-7AAB-4460-A9EA-787D5AF7E069}" name="Sector" dataDxfId="3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34"/>
    <tableColumn id="15" xr3:uid="{F0BFEDC5-AB85-4752-8DBE-1E2D2A86C38C}" name="DateOpened" dataDxfId="33"/>
    <tableColumn id="17" xr3:uid="{78B7D816-31FE-4F8F-8018-91CE8D5DE9A2}" name="DateMapped" dataDxfId="32"/>
    <tableColumn id="16" xr3:uid="{37F76675-DAA7-497A-B0C3-D5ADC87396FC}" name="DateClosed" dataDxfId="31"/>
    <tableColumn id="23" xr3:uid="{77371810-6F86-4EEF-85D0-5FCFC20B88DC}" name="Delayed?" dataDxfId="30">
      <calculatedColumnFormula>IF(Proc[[#This Row],[DaysAgeing]]&gt;5,"yep","on track")</calculatedColumnFormula>
    </tableColumn>
    <tableColumn id="18" xr3:uid="{6AC4A96E-CE6C-49CA-A4F1-794160BB5940}" name="DaysAgeing" dataDxfId="2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28"/>
    <tableColumn id="22" xr3:uid="{87389AE1-9ECE-4C7F-80F9-48A35BE78A62}" name="Prognosis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6"/>
    <tableColumn id="6" xr3:uid="{73647D57-303F-4AF5-983C-1CCB32EBD08D}" name="Forecast Period" dataDxfId="25"/>
    <tableColumn id="4" xr3:uid="{FA11B267-B5E3-452C-A4E3-1668B4A12A28}" name="Number of Tickets Raised" dataDxfId="24"/>
    <tableColumn id="1" xr3:uid="{441BC59C-A1EA-4CA8-B944-D602CD57D89D}" name="Delayed Tickets"/>
    <tableColumn id="5" xr3:uid="{29680677-3B0F-4EC4-81FF-46A6FDD4C5F7}" name="Number of Total Objects" dataDxfId="23"/>
    <tableColumn id="2" xr3:uid="{3D96D299-AEA2-4D9C-9BE6-F98ADF0CDB84}" name="Commentary for delayed tickets" dataDxf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1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0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288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5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2</v>
      </c>
    </row>
    <row r="14" spans="1:2">
      <c r="A14" s="17" t="s">
        <v>568</v>
      </c>
      <c r="B14" s="150">
        <v>308</v>
      </c>
    </row>
    <row r="15" spans="1:2">
      <c r="A15" s="111" t="s">
        <v>369</v>
      </c>
      <c r="B15" s="150">
        <v>304</v>
      </c>
    </row>
    <row r="16" spans="1:2">
      <c r="A16" s="111" t="s">
        <v>370</v>
      </c>
      <c r="B16" s="150">
        <v>4</v>
      </c>
    </row>
    <row r="17" spans="1:2">
      <c r="A17" s="17" t="s">
        <v>569</v>
      </c>
      <c r="B17" s="150">
        <v>221</v>
      </c>
    </row>
    <row r="18" spans="1:2">
      <c r="A18" s="111" t="s">
        <v>369</v>
      </c>
      <c r="B18" s="150">
        <v>218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1</v>
      </c>
    </row>
    <row r="21" spans="1:2">
      <c r="A21" s="17" t="s">
        <v>570</v>
      </c>
      <c r="B21" s="150">
        <v>393</v>
      </c>
    </row>
    <row r="22" spans="1:2">
      <c r="A22" s="111" t="s">
        <v>369</v>
      </c>
      <c r="B22" s="150">
        <v>298</v>
      </c>
    </row>
    <row r="23" spans="1:2">
      <c r="A23" s="111" t="s">
        <v>370</v>
      </c>
      <c r="B23" s="150">
        <v>53</v>
      </c>
    </row>
    <row r="24" spans="1:2">
      <c r="A24" s="111" t="s">
        <v>377</v>
      </c>
      <c r="B24" s="150">
        <v>42</v>
      </c>
    </row>
    <row r="25" spans="1:2">
      <c r="A25" s="17" t="s">
        <v>6998</v>
      </c>
      <c r="B25" s="150">
        <v>4</v>
      </c>
    </row>
    <row r="26" spans="1:2">
      <c r="A26" s="111" t="s">
        <v>369</v>
      </c>
      <c r="B26" s="150">
        <v>4</v>
      </c>
    </row>
    <row r="27" spans="1:2">
      <c r="A27" s="17" t="s">
        <v>7194</v>
      </c>
      <c r="B27" s="150">
        <v>16</v>
      </c>
    </row>
    <row r="28" spans="1:2">
      <c r="A28" s="111" t="s">
        <v>369</v>
      </c>
      <c r="B28" s="150">
        <v>5</v>
      </c>
    </row>
    <row r="29" spans="1:2">
      <c r="A29" s="111" t="s">
        <v>370</v>
      </c>
      <c r="B29" s="150">
        <v>11</v>
      </c>
    </row>
    <row r="30" spans="1:2">
      <c r="A30" s="17" t="s">
        <v>381</v>
      </c>
      <c r="B30" s="150">
        <v>1230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605F9-20FD-4F8E-A046-5D75B2F62053}">
  <dimension ref="A1:S34"/>
  <sheetViews>
    <sheetView workbookViewId="0"/>
  </sheetViews>
  <sheetFormatPr defaultRowHeight="15"/>
  <cols>
    <col min="4" max="4" width="63.14062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7545</v>
      </c>
      <c r="B2" t="s">
        <v>925</v>
      </c>
      <c r="C2" t="s">
        <v>377</v>
      </c>
      <c r="D2" t="s">
        <v>7622</v>
      </c>
      <c r="E2" t="s">
        <v>7650</v>
      </c>
      <c r="G2" t="s">
        <v>400</v>
      </c>
      <c r="H2" t="s">
        <v>7711</v>
      </c>
      <c r="I2" t="s">
        <v>7379</v>
      </c>
      <c r="J2" t="b">
        <v>0</v>
      </c>
      <c r="K2" t="s">
        <v>570</v>
      </c>
      <c r="L2" t="s">
        <v>401</v>
      </c>
      <c r="M2" s="178">
        <v>46037</v>
      </c>
      <c r="P2" t="s">
        <v>6532</v>
      </c>
      <c r="Q2">
        <v>0</v>
      </c>
      <c r="R2" t="s">
        <v>5709</v>
      </c>
    </row>
    <row r="3" spans="1:19">
      <c r="A3" t="s">
        <v>7545</v>
      </c>
      <c r="B3" t="s">
        <v>925</v>
      </c>
      <c r="C3" t="s">
        <v>377</v>
      </c>
      <c r="D3" t="s">
        <v>7609</v>
      </c>
      <c r="E3" t="s">
        <v>7646</v>
      </c>
      <c r="G3" t="s">
        <v>400</v>
      </c>
      <c r="H3" t="s">
        <v>7711</v>
      </c>
      <c r="J3" t="b">
        <v>0</v>
      </c>
      <c r="K3" t="s">
        <v>570</v>
      </c>
      <c r="L3" t="s">
        <v>401</v>
      </c>
      <c r="M3" s="178">
        <v>46037</v>
      </c>
      <c r="P3" t="s">
        <v>6532</v>
      </c>
      <c r="Q3">
        <v>0</v>
      </c>
      <c r="R3" t="s">
        <v>5709</v>
      </c>
    </row>
    <row r="4" spans="1:19">
      <c r="A4" t="s">
        <v>7545</v>
      </c>
      <c r="B4" t="s">
        <v>925</v>
      </c>
      <c r="C4" t="s">
        <v>377</v>
      </c>
      <c r="D4" t="s">
        <v>7608</v>
      </c>
      <c r="E4" t="s">
        <v>7646</v>
      </c>
      <c r="G4" t="s">
        <v>400</v>
      </c>
      <c r="H4" t="s">
        <v>7711</v>
      </c>
      <c r="J4" t="b">
        <v>0</v>
      </c>
      <c r="K4" t="s">
        <v>570</v>
      </c>
      <c r="L4" t="s">
        <v>401</v>
      </c>
      <c r="M4" s="178">
        <v>46037</v>
      </c>
      <c r="P4" t="s">
        <v>6532</v>
      </c>
      <c r="Q4">
        <v>0</v>
      </c>
      <c r="R4" t="s">
        <v>5709</v>
      </c>
    </row>
    <row r="5" spans="1:19">
      <c r="A5" t="s">
        <v>7545</v>
      </c>
      <c r="B5" t="s">
        <v>925</v>
      </c>
      <c r="C5" t="s">
        <v>377</v>
      </c>
      <c r="D5" t="s">
        <v>7602</v>
      </c>
      <c r="E5" t="s">
        <v>7646</v>
      </c>
      <c r="G5" t="s">
        <v>400</v>
      </c>
      <c r="H5" t="s">
        <v>7711</v>
      </c>
      <c r="J5" t="b">
        <v>0</v>
      </c>
      <c r="K5" t="s">
        <v>570</v>
      </c>
      <c r="L5" t="s">
        <v>401</v>
      </c>
      <c r="M5" s="178">
        <v>46037</v>
      </c>
      <c r="P5" t="s">
        <v>6532</v>
      </c>
      <c r="Q5">
        <v>0</v>
      </c>
      <c r="R5" t="s">
        <v>5709</v>
      </c>
    </row>
    <row r="6" spans="1:19">
      <c r="A6" t="s">
        <v>7545</v>
      </c>
      <c r="B6" t="s">
        <v>925</v>
      </c>
      <c r="C6" t="s">
        <v>377</v>
      </c>
      <c r="D6" t="s">
        <v>7601</v>
      </c>
      <c r="E6" t="s">
        <v>7646</v>
      </c>
      <c r="G6" t="s">
        <v>400</v>
      </c>
      <c r="H6" t="s">
        <v>7711</v>
      </c>
      <c r="J6" t="b">
        <v>0</v>
      </c>
      <c r="K6" t="s">
        <v>570</v>
      </c>
      <c r="L6" t="s">
        <v>401</v>
      </c>
      <c r="M6" s="178">
        <v>46037</v>
      </c>
      <c r="P6" t="s">
        <v>6532</v>
      </c>
      <c r="Q6">
        <v>0</v>
      </c>
      <c r="R6" t="s">
        <v>5709</v>
      </c>
    </row>
    <row r="7" spans="1:19">
      <c r="A7" t="s">
        <v>7545</v>
      </c>
      <c r="B7" t="s">
        <v>925</v>
      </c>
      <c r="C7" t="s">
        <v>377</v>
      </c>
      <c r="D7" t="s">
        <v>7600</v>
      </c>
      <c r="E7" t="s">
        <v>7646</v>
      </c>
      <c r="G7" t="s">
        <v>400</v>
      </c>
      <c r="H7" t="s">
        <v>7711</v>
      </c>
      <c r="J7" t="b">
        <v>0</v>
      </c>
      <c r="K7" t="s">
        <v>570</v>
      </c>
      <c r="L7" t="s">
        <v>401</v>
      </c>
      <c r="M7" s="178">
        <v>46037</v>
      </c>
      <c r="P7" t="s">
        <v>6532</v>
      </c>
      <c r="Q7">
        <v>0</v>
      </c>
      <c r="R7" t="s">
        <v>5709</v>
      </c>
    </row>
    <row r="8" spans="1:19">
      <c r="A8" t="s">
        <v>7545</v>
      </c>
      <c r="B8" t="s">
        <v>925</v>
      </c>
      <c r="C8" t="s">
        <v>377</v>
      </c>
      <c r="D8" t="s">
        <v>7599</v>
      </c>
      <c r="E8" t="s">
        <v>7646</v>
      </c>
      <c r="G8" t="s">
        <v>400</v>
      </c>
      <c r="H8" t="s">
        <v>7711</v>
      </c>
      <c r="I8" t="s">
        <v>7379</v>
      </c>
      <c r="J8" t="b">
        <v>0</v>
      </c>
      <c r="K8" t="s">
        <v>570</v>
      </c>
      <c r="L8" t="s">
        <v>401</v>
      </c>
      <c r="M8" s="178">
        <v>46037</v>
      </c>
      <c r="P8" t="s">
        <v>6532</v>
      </c>
      <c r="Q8">
        <v>0</v>
      </c>
      <c r="R8" t="s">
        <v>5709</v>
      </c>
    </row>
    <row r="9" spans="1:19">
      <c r="A9" t="s">
        <v>7545</v>
      </c>
      <c r="B9" t="s">
        <v>925</v>
      </c>
      <c r="C9" t="s">
        <v>377</v>
      </c>
      <c r="D9" t="s">
        <v>7598</v>
      </c>
      <c r="E9" t="s">
        <v>7646</v>
      </c>
      <c r="G9" t="s">
        <v>400</v>
      </c>
      <c r="H9" t="s">
        <v>7711</v>
      </c>
      <c r="J9" t="b">
        <v>0</v>
      </c>
      <c r="K9" t="s">
        <v>570</v>
      </c>
      <c r="L9" t="s">
        <v>401</v>
      </c>
      <c r="M9" s="178">
        <v>46037</v>
      </c>
      <c r="P9" t="s">
        <v>6532</v>
      </c>
      <c r="Q9">
        <v>0</v>
      </c>
      <c r="R9" t="s">
        <v>5709</v>
      </c>
    </row>
    <row r="10" spans="1:19">
      <c r="A10" t="s">
        <v>7545</v>
      </c>
      <c r="B10" t="s">
        <v>925</v>
      </c>
      <c r="C10" t="s">
        <v>377</v>
      </c>
      <c r="D10" t="s">
        <v>7591</v>
      </c>
      <c r="E10" t="s">
        <v>7646</v>
      </c>
      <c r="G10" t="s">
        <v>400</v>
      </c>
      <c r="H10" t="s">
        <v>7711</v>
      </c>
      <c r="J10" t="b">
        <v>0</v>
      </c>
      <c r="K10" t="s">
        <v>570</v>
      </c>
      <c r="L10" t="s">
        <v>401</v>
      </c>
      <c r="M10" s="178">
        <v>46037</v>
      </c>
      <c r="P10" t="s">
        <v>6532</v>
      </c>
      <c r="Q10">
        <v>0</v>
      </c>
      <c r="R10" t="s">
        <v>5709</v>
      </c>
    </row>
    <row r="11" spans="1:19">
      <c r="A11" t="s">
        <v>7545</v>
      </c>
      <c r="B11" t="s">
        <v>925</v>
      </c>
      <c r="C11" t="s">
        <v>377</v>
      </c>
      <c r="D11" t="s">
        <v>7590</v>
      </c>
      <c r="E11" t="s">
        <v>7646</v>
      </c>
      <c r="G11" t="s">
        <v>400</v>
      </c>
      <c r="H11" t="s">
        <v>7711</v>
      </c>
      <c r="J11" t="b">
        <v>0</v>
      </c>
      <c r="K11" t="s">
        <v>570</v>
      </c>
      <c r="L11" t="s">
        <v>401</v>
      </c>
      <c r="M11" s="178">
        <v>46037</v>
      </c>
      <c r="P11" t="s">
        <v>6532</v>
      </c>
      <c r="Q11">
        <v>0</v>
      </c>
      <c r="R11" t="s">
        <v>5709</v>
      </c>
    </row>
    <row r="12" spans="1:19">
      <c r="A12" t="s">
        <v>7545</v>
      </c>
      <c r="B12" t="s">
        <v>925</v>
      </c>
      <c r="C12" t="s">
        <v>377</v>
      </c>
      <c r="D12" t="s">
        <v>7589</v>
      </c>
      <c r="E12" t="s">
        <v>7646</v>
      </c>
      <c r="G12" t="s">
        <v>400</v>
      </c>
      <c r="H12" t="s">
        <v>7711</v>
      </c>
      <c r="J12" t="b">
        <v>0</v>
      </c>
      <c r="K12" t="s">
        <v>570</v>
      </c>
      <c r="L12" t="s">
        <v>401</v>
      </c>
      <c r="M12" s="178">
        <v>46037</v>
      </c>
      <c r="P12" t="s">
        <v>6532</v>
      </c>
      <c r="Q12">
        <v>0</v>
      </c>
      <c r="R12" t="s">
        <v>5709</v>
      </c>
    </row>
    <row r="13" spans="1:19">
      <c r="A13" t="s">
        <v>7545</v>
      </c>
      <c r="B13" t="s">
        <v>925</v>
      </c>
      <c r="C13" t="s">
        <v>377</v>
      </c>
      <c r="D13" t="s">
        <v>7588</v>
      </c>
      <c r="E13" t="s">
        <v>7646</v>
      </c>
      <c r="G13" t="s">
        <v>400</v>
      </c>
      <c r="H13" t="s">
        <v>7711</v>
      </c>
      <c r="J13" t="b">
        <v>0</v>
      </c>
      <c r="K13" t="s">
        <v>570</v>
      </c>
      <c r="L13" t="s">
        <v>401</v>
      </c>
      <c r="M13" s="178">
        <v>46037</v>
      </c>
      <c r="P13" t="s">
        <v>6532</v>
      </c>
      <c r="Q13">
        <v>0</v>
      </c>
      <c r="R13" t="s">
        <v>5709</v>
      </c>
    </row>
    <row r="14" spans="1:19">
      <c r="A14" t="s">
        <v>7545</v>
      </c>
      <c r="B14" t="s">
        <v>925</v>
      </c>
      <c r="C14" t="s">
        <v>377</v>
      </c>
      <c r="D14" t="s">
        <v>7587</v>
      </c>
      <c r="E14" t="s">
        <v>7646</v>
      </c>
      <c r="G14" t="s">
        <v>400</v>
      </c>
      <c r="H14" t="s">
        <v>7711</v>
      </c>
      <c r="J14" t="b">
        <v>0</v>
      </c>
      <c r="K14" t="s">
        <v>570</v>
      </c>
      <c r="L14" t="s">
        <v>401</v>
      </c>
      <c r="M14" s="178">
        <v>46037</v>
      </c>
      <c r="P14" t="s">
        <v>6532</v>
      </c>
      <c r="Q14">
        <v>0</v>
      </c>
      <c r="R14" t="s">
        <v>5709</v>
      </c>
    </row>
    <row r="15" spans="1:19">
      <c r="A15" t="s">
        <v>7545</v>
      </c>
      <c r="B15" t="s">
        <v>925</v>
      </c>
      <c r="C15" t="s">
        <v>377</v>
      </c>
      <c r="D15" t="s">
        <v>7586</v>
      </c>
      <c r="E15" t="s">
        <v>7646</v>
      </c>
      <c r="G15" t="s">
        <v>400</v>
      </c>
      <c r="H15" t="s">
        <v>7711</v>
      </c>
      <c r="J15" t="b">
        <v>0</v>
      </c>
      <c r="K15" t="s">
        <v>570</v>
      </c>
      <c r="L15" t="s">
        <v>401</v>
      </c>
      <c r="M15" s="178">
        <v>46037</v>
      </c>
      <c r="P15" t="s">
        <v>6532</v>
      </c>
      <c r="Q15">
        <v>0</v>
      </c>
      <c r="R15" t="s">
        <v>5709</v>
      </c>
    </row>
    <row r="16" spans="1:19">
      <c r="A16" t="s">
        <v>7545</v>
      </c>
      <c r="B16" t="s">
        <v>925</v>
      </c>
      <c r="C16" t="s">
        <v>377</v>
      </c>
      <c r="D16" t="s">
        <v>7585</v>
      </c>
      <c r="E16" t="s">
        <v>7646</v>
      </c>
      <c r="G16" t="s">
        <v>400</v>
      </c>
      <c r="H16" t="s">
        <v>7711</v>
      </c>
      <c r="J16" t="b">
        <v>0</v>
      </c>
      <c r="K16" t="s">
        <v>570</v>
      </c>
      <c r="L16" t="s">
        <v>401</v>
      </c>
      <c r="M16" s="178">
        <v>46037</v>
      </c>
      <c r="P16" t="s">
        <v>6532</v>
      </c>
      <c r="Q16">
        <v>0</v>
      </c>
      <c r="R16" t="s">
        <v>5709</v>
      </c>
    </row>
    <row r="17" spans="1:18">
      <c r="A17" t="s">
        <v>7545</v>
      </c>
      <c r="B17" t="s">
        <v>925</v>
      </c>
      <c r="C17" t="s">
        <v>377</v>
      </c>
      <c r="D17" t="s">
        <v>7584</v>
      </c>
      <c r="E17" t="s">
        <v>7646</v>
      </c>
      <c r="G17" t="s">
        <v>400</v>
      </c>
      <c r="H17" t="s">
        <v>7711</v>
      </c>
      <c r="J17" t="b">
        <v>0</v>
      </c>
      <c r="K17" t="s">
        <v>570</v>
      </c>
      <c r="L17" t="s">
        <v>401</v>
      </c>
      <c r="M17" s="178">
        <v>46037</v>
      </c>
      <c r="P17" t="s">
        <v>6532</v>
      </c>
      <c r="Q17">
        <v>0</v>
      </c>
      <c r="R17" t="s">
        <v>5709</v>
      </c>
    </row>
    <row r="18" spans="1:18">
      <c r="A18" t="s">
        <v>7545</v>
      </c>
      <c r="B18" t="s">
        <v>925</v>
      </c>
      <c r="C18" t="s">
        <v>377</v>
      </c>
      <c r="D18" t="s">
        <v>7583</v>
      </c>
      <c r="E18" t="s">
        <v>7646</v>
      </c>
      <c r="G18" t="s">
        <v>400</v>
      </c>
      <c r="H18" t="s">
        <v>7711</v>
      </c>
      <c r="J18" t="b">
        <v>0</v>
      </c>
      <c r="K18" t="s">
        <v>570</v>
      </c>
      <c r="L18" t="s">
        <v>401</v>
      </c>
      <c r="M18" s="178">
        <v>46037</v>
      </c>
      <c r="P18" t="s">
        <v>6532</v>
      </c>
      <c r="Q18">
        <v>0</v>
      </c>
      <c r="R18" t="s">
        <v>5709</v>
      </c>
    </row>
    <row r="19" spans="1:18">
      <c r="A19" t="s">
        <v>7545</v>
      </c>
      <c r="B19" t="s">
        <v>925</v>
      </c>
      <c r="C19" t="s">
        <v>377</v>
      </c>
      <c r="D19" t="s">
        <v>7582</v>
      </c>
      <c r="E19" t="s">
        <v>7646</v>
      </c>
      <c r="G19" t="s">
        <v>400</v>
      </c>
      <c r="H19" t="s">
        <v>7711</v>
      </c>
      <c r="J19" t="b">
        <v>0</v>
      </c>
      <c r="K19" t="s">
        <v>570</v>
      </c>
      <c r="L19" t="s">
        <v>401</v>
      </c>
      <c r="M19" s="178">
        <v>46037</v>
      </c>
      <c r="P19" t="s">
        <v>6532</v>
      </c>
      <c r="Q19">
        <v>0</v>
      </c>
      <c r="R19" t="s">
        <v>5709</v>
      </c>
    </row>
    <row r="20" spans="1:18">
      <c r="A20" t="s">
        <v>7545</v>
      </c>
      <c r="B20" t="s">
        <v>925</v>
      </c>
      <c r="C20" t="s">
        <v>377</v>
      </c>
      <c r="D20" t="s">
        <v>7581</v>
      </c>
      <c r="E20" t="s">
        <v>7646</v>
      </c>
      <c r="G20" t="s">
        <v>400</v>
      </c>
      <c r="H20" t="s">
        <v>7711</v>
      </c>
      <c r="J20" t="b">
        <v>0</v>
      </c>
      <c r="K20" t="s">
        <v>570</v>
      </c>
      <c r="L20" t="s">
        <v>401</v>
      </c>
      <c r="M20" s="178">
        <v>46037</v>
      </c>
      <c r="P20" t="s">
        <v>6532</v>
      </c>
      <c r="Q20">
        <v>0</v>
      </c>
      <c r="R20" t="s">
        <v>5709</v>
      </c>
    </row>
    <row r="21" spans="1:18">
      <c r="A21" t="s">
        <v>7545</v>
      </c>
      <c r="B21" t="s">
        <v>925</v>
      </c>
      <c r="C21" t="s">
        <v>377</v>
      </c>
      <c r="D21" t="s">
        <v>7580</v>
      </c>
      <c r="E21" t="s">
        <v>7646</v>
      </c>
      <c r="G21" t="s">
        <v>400</v>
      </c>
      <c r="H21" t="s">
        <v>7711</v>
      </c>
      <c r="J21" t="b">
        <v>0</v>
      </c>
      <c r="K21" t="s">
        <v>570</v>
      </c>
      <c r="L21" t="s">
        <v>401</v>
      </c>
      <c r="M21" s="178">
        <v>46037</v>
      </c>
      <c r="P21" t="s">
        <v>6532</v>
      </c>
      <c r="Q21">
        <v>0</v>
      </c>
      <c r="R21" t="s">
        <v>5709</v>
      </c>
    </row>
    <row r="22" spans="1:18">
      <c r="A22" t="s">
        <v>7545</v>
      </c>
      <c r="B22" t="s">
        <v>925</v>
      </c>
      <c r="C22" t="s">
        <v>377</v>
      </c>
      <c r="D22" t="s">
        <v>7579</v>
      </c>
      <c r="E22" t="s">
        <v>7646</v>
      </c>
      <c r="G22" t="s">
        <v>400</v>
      </c>
      <c r="H22" t="s">
        <v>7711</v>
      </c>
      <c r="I22" t="s">
        <v>7379</v>
      </c>
      <c r="J22" t="b">
        <v>0</v>
      </c>
      <c r="K22" t="s">
        <v>570</v>
      </c>
      <c r="L22" t="s">
        <v>401</v>
      </c>
      <c r="M22" s="178">
        <v>46037</v>
      </c>
      <c r="P22" t="s">
        <v>6532</v>
      </c>
      <c r="Q22">
        <v>0</v>
      </c>
      <c r="R22" t="s">
        <v>5709</v>
      </c>
    </row>
    <row r="23" spans="1:18">
      <c r="A23" t="s">
        <v>7545</v>
      </c>
      <c r="B23" t="s">
        <v>925</v>
      </c>
      <c r="C23" t="s">
        <v>377</v>
      </c>
      <c r="D23" t="s">
        <v>7578</v>
      </c>
      <c r="E23" t="s">
        <v>7646</v>
      </c>
      <c r="G23" t="s">
        <v>400</v>
      </c>
      <c r="H23" t="s">
        <v>7711</v>
      </c>
      <c r="J23" t="b">
        <v>0</v>
      </c>
      <c r="K23" t="s">
        <v>570</v>
      </c>
      <c r="L23" t="s">
        <v>401</v>
      </c>
      <c r="M23" s="178">
        <v>46037</v>
      </c>
      <c r="P23" t="s">
        <v>6532</v>
      </c>
      <c r="Q23">
        <v>0</v>
      </c>
      <c r="R23" t="s">
        <v>5709</v>
      </c>
    </row>
    <row r="24" spans="1:18">
      <c r="A24" t="s">
        <v>7545</v>
      </c>
      <c r="B24" t="s">
        <v>925</v>
      </c>
      <c r="C24" t="s">
        <v>377</v>
      </c>
      <c r="D24" t="s">
        <v>7576</v>
      </c>
      <c r="E24" t="s">
        <v>7646</v>
      </c>
      <c r="G24" t="s">
        <v>400</v>
      </c>
      <c r="H24" t="s">
        <v>7711</v>
      </c>
      <c r="I24" t="s">
        <v>7379</v>
      </c>
      <c r="J24" t="b">
        <v>0</v>
      </c>
      <c r="K24" t="s">
        <v>570</v>
      </c>
      <c r="L24" t="s">
        <v>401</v>
      </c>
      <c r="M24" s="178">
        <v>46037</v>
      </c>
      <c r="P24" t="s">
        <v>6532</v>
      </c>
      <c r="Q24">
        <v>0</v>
      </c>
      <c r="R24" t="s">
        <v>5709</v>
      </c>
    </row>
    <row r="25" spans="1:18">
      <c r="A25" t="s">
        <v>7545</v>
      </c>
      <c r="B25" t="s">
        <v>925</v>
      </c>
      <c r="C25" t="s">
        <v>377</v>
      </c>
      <c r="D25" t="s">
        <v>7575</v>
      </c>
      <c r="E25" t="s">
        <v>7646</v>
      </c>
      <c r="G25" t="s">
        <v>400</v>
      </c>
      <c r="H25" t="s">
        <v>7711</v>
      </c>
      <c r="I25" t="s">
        <v>7379</v>
      </c>
      <c r="J25" t="b">
        <v>0</v>
      </c>
      <c r="K25" t="s">
        <v>570</v>
      </c>
      <c r="L25" t="s">
        <v>401</v>
      </c>
      <c r="M25" s="178">
        <v>46037</v>
      </c>
      <c r="P25" t="s">
        <v>6532</v>
      </c>
      <c r="Q25">
        <v>0</v>
      </c>
      <c r="R25" t="s">
        <v>5709</v>
      </c>
    </row>
    <row r="26" spans="1:18">
      <c r="A26" t="s">
        <v>7545</v>
      </c>
      <c r="B26" t="s">
        <v>925</v>
      </c>
      <c r="C26" t="s">
        <v>377</v>
      </c>
      <c r="D26" t="s">
        <v>7574</v>
      </c>
      <c r="E26" t="s">
        <v>7646</v>
      </c>
      <c r="G26" t="s">
        <v>400</v>
      </c>
      <c r="H26" t="s">
        <v>7711</v>
      </c>
      <c r="J26" t="b">
        <v>0</v>
      </c>
      <c r="K26" t="s">
        <v>570</v>
      </c>
      <c r="L26" t="s">
        <v>401</v>
      </c>
      <c r="M26" s="178">
        <v>46037</v>
      </c>
      <c r="P26" t="s">
        <v>6532</v>
      </c>
      <c r="Q26">
        <v>0</v>
      </c>
      <c r="R26" t="s">
        <v>5709</v>
      </c>
    </row>
    <row r="27" spans="1:18">
      <c r="A27" t="s">
        <v>7545</v>
      </c>
      <c r="B27" t="s">
        <v>925</v>
      </c>
      <c r="C27" t="s">
        <v>377</v>
      </c>
      <c r="D27" t="s">
        <v>7573</v>
      </c>
      <c r="E27" t="s">
        <v>7646</v>
      </c>
      <c r="G27" t="s">
        <v>400</v>
      </c>
      <c r="H27" t="s">
        <v>7711</v>
      </c>
      <c r="J27" t="b">
        <v>0</v>
      </c>
      <c r="K27" t="s">
        <v>570</v>
      </c>
      <c r="L27" t="s">
        <v>401</v>
      </c>
      <c r="M27" s="178">
        <v>46037</v>
      </c>
      <c r="P27" t="s">
        <v>6532</v>
      </c>
      <c r="Q27">
        <v>0</v>
      </c>
      <c r="R27" t="s">
        <v>5709</v>
      </c>
    </row>
    <row r="28" spans="1:18">
      <c r="A28" t="s">
        <v>7545</v>
      </c>
      <c r="B28" t="s">
        <v>925</v>
      </c>
      <c r="C28" t="s">
        <v>377</v>
      </c>
      <c r="D28" t="s">
        <v>7556</v>
      </c>
      <c r="E28" t="s">
        <v>7645</v>
      </c>
      <c r="G28" t="s">
        <v>400</v>
      </c>
      <c r="H28" t="s">
        <v>7711</v>
      </c>
      <c r="J28" t="b">
        <v>0</v>
      </c>
      <c r="K28" t="s">
        <v>570</v>
      </c>
      <c r="L28" t="s">
        <v>401</v>
      </c>
      <c r="M28" s="178">
        <v>46037</v>
      </c>
      <c r="P28" t="s">
        <v>6532</v>
      </c>
      <c r="Q28">
        <v>0</v>
      </c>
      <c r="R28" t="s">
        <v>5709</v>
      </c>
    </row>
    <row r="29" spans="1:18">
      <c r="A29" t="s">
        <v>7545</v>
      </c>
      <c r="B29" t="s">
        <v>925</v>
      </c>
      <c r="C29" t="s">
        <v>377</v>
      </c>
      <c r="D29" t="s">
        <v>7555</v>
      </c>
      <c r="E29" t="s">
        <v>7645</v>
      </c>
      <c r="G29" t="s">
        <v>400</v>
      </c>
      <c r="H29" t="s">
        <v>7711</v>
      </c>
      <c r="J29" t="b">
        <v>0</v>
      </c>
      <c r="K29" t="s">
        <v>570</v>
      </c>
      <c r="L29" t="s">
        <v>401</v>
      </c>
      <c r="M29" s="178">
        <v>46037</v>
      </c>
      <c r="P29" t="s">
        <v>6532</v>
      </c>
      <c r="Q29">
        <v>0</v>
      </c>
      <c r="R29" t="s">
        <v>5709</v>
      </c>
    </row>
    <row r="30" spans="1:18">
      <c r="A30" t="s">
        <v>7545</v>
      </c>
      <c r="B30" t="s">
        <v>925</v>
      </c>
      <c r="C30" t="s">
        <v>377</v>
      </c>
      <c r="D30" t="s">
        <v>7554</v>
      </c>
      <c r="E30" t="s">
        <v>7645</v>
      </c>
      <c r="G30" t="s">
        <v>400</v>
      </c>
      <c r="H30" t="s">
        <v>7711</v>
      </c>
      <c r="J30" t="b">
        <v>0</v>
      </c>
      <c r="K30" t="s">
        <v>570</v>
      </c>
      <c r="L30" t="s">
        <v>401</v>
      </c>
      <c r="M30" s="178">
        <v>46037</v>
      </c>
      <c r="P30" t="s">
        <v>6532</v>
      </c>
      <c r="Q30">
        <v>0</v>
      </c>
      <c r="R30" t="s">
        <v>5709</v>
      </c>
    </row>
    <row r="31" spans="1:18">
      <c r="A31" t="s">
        <v>7545</v>
      </c>
      <c r="B31" t="s">
        <v>925</v>
      </c>
      <c r="C31" t="s">
        <v>377</v>
      </c>
      <c r="D31" t="s">
        <v>7549</v>
      </c>
      <c r="E31" t="s">
        <v>7644</v>
      </c>
      <c r="G31" t="s">
        <v>400</v>
      </c>
      <c r="H31" t="s">
        <v>7711</v>
      </c>
      <c r="I31" t="s">
        <v>7379</v>
      </c>
      <c r="J31" t="b">
        <v>0</v>
      </c>
      <c r="K31" t="s">
        <v>570</v>
      </c>
      <c r="L31" t="s">
        <v>401</v>
      </c>
      <c r="M31" s="178">
        <v>46037</v>
      </c>
      <c r="P31" t="s">
        <v>6532</v>
      </c>
      <c r="Q31">
        <v>0</v>
      </c>
      <c r="R31" t="s">
        <v>5709</v>
      </c>
    </row>
    <row r="32" spans="1:18">
      <c r="A32" t="s">
        <v>7545</v>
      </c>
      <c r="B32" t="s">
        <v>925</v>
      </c>
      <c r="C32" t="s">
        <v>377</v>
      </c>
      <c r="D32" t="s">
        <v>7548</v>
      </c>
      <c r="E32" t="s">
        <v>7644</v>
      </c>
      <c r="G32" t="s">
        <v>400</v>
      </c>
      <c r="H32" t="s">
        <v>7711</v>
      </c>
      <c r="I32" t="s">
        <v>7379</v>
      </c>
      <c r="J32" t="b">
        <v>0</v>
      </c>
      <c r="K32" t="s">
        <v>570</v>
      </c>
      <c r="L32" t="s">
        <v>401</v>
      </c>
      <c r="M32" s="178">
        <v>46037</v>
      </c>
      <c r="P32" t="s">
        <v>6532</v>
      </c>
      <c r="Q32">
        <v>0</v>
      </c>
      <c r="R32" t="s">
        <v>5709</v>
      </c>
    </row>
    <row r="33" spans="1:18">
      <c r="A33" t="s">
        <v>7545</v>
      </c>
      <c r="B33" t="s">
        <v>925</v>
      </c>
      <c r="C33" t="s">
        <v>377</v>
      </c>
      <c r="D33" t="s">
        <v>7547</v>
      </c>
      <c r="E33" t="s">
        <v>7644</v>
      </c>
      <c r="H33" t="s">
        <v>7711</v>
      </c>
      <c r="J33" t="b">
        <v>0</v>
      </c>
      <c r="K33" t="s">
        <v>570</v>
      </c>
      <c r="L33" t="s">
        <v>401</v>
      </c>
      <c r="M33" s="178">
        <v>46037</v>
      </c>
      <c r="P33" t="s">
        <v>6532</v>
      </c>
      <c r="Q33">
        <v>0</v>
      </c>
      <c r="R33" t="s">
        <v>5709</v>
      </c>
    </row>
    <row r="34" spans="1:18">
      <c r="A34" t="s">
        <v>7545</v>
      </c>
      <c r="B34" t="s">
        <v>925</v>
      </c>
      <c r="C34" t="s">
        <v>377</v>
      </c>
      <c r="D34" t="s">
        <v>7546</v>
      </c>
      <c r="E34" t="s">
        <v>7644</v>
      </c>
      <c r="H34" t="s">
        <v>7711</v>
      </c>
      <c r="J34" t="b">
        <v>0</v>
      </c>
      <c r="K34" t="s">
        <v>570</v>
      </c>
      <c r="L34" t="s">
        <v>401</v>
      </c>
      <c r="M34" s="178">
        <v>46037</v>
      </c>
      <c r="P34" t="s">
        <v>6532</v>
      </c>
      <c r="Q34">
        <v>0</v>
      </c>
      <c r="R34" t="s">
        <v>5709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F33AB-8201-4445-A159-4CC4495A8FA0}">
  <dimension ref="A1:S6"/>
  <sheetViews>
    <sheetView workbookViewId="0">
      <selection activeCell="C6" sqref="C6"/>
    </sheetView>
  </sheetViews>
  <sheetFormatPr defaultRowHeight="15"/>
  <cols>
    <col min="4" max="4" width="25" bestFit="1" customWidth="1"/>
    <col min="5" max="5" width="12.7109375" customWidth="1"/>
    <col min="6" max="6" width="24.85546875" bestFit="1" customWidth="1"/>
    <col min="7" max="7" width="11.7109375" bestFit="1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7532</v>
      </c>
      <c r="B2" t="s">
        <v>925</v>
      </c>
      <c r="C2" t="s">
        <v>369</v>
      </c>
      <c r="D2" t="s">
        <v>7533</v>
      </c>
      <c r="E2" t="s">
        <v>7536</v>
      </c>
      <c r="F2" t="s">
        <v>7536</v>
      </c>
      <c r="G2" t="s">
        <v>400</v>
      </c>
      <c r="H2" t="s">
        <v>7711</v>
      </c>
      <c r="I2" t="s">
        <v>7537</v>
      </c>
      <c r="J2" t="b">
        <v>1</v>
      </c>
      <c r="K2" t="s">
        <v>567</v>
      </c>
      <c r="L2" t="s">
        <v>401</v>
      </c>
      <c r="M2" s="178">
        <v>46028</v>
      </c>
      <c r="P2" t="s">
        <v>4326</v>
      </c>
      <c r="Q2">
        <v>9</v>
      </c>
      <c r="R2" t="s">
        <v>1459</v>
      </c>
    </row>
    <row r="3" spans="1:19">
      <c r="A3" t="s">
        <v>7532</v>
      </c>
      <c r="B3" t="s">
        <v>925</v>
      </c>
      <c r="C3" t="s">
        <v>370</v>
      </c>
      <c r="D3" t="s">
        <v>7535</v>
      </c>
      <c r="E3" t="s">
        <v>2616</v>
      </c>
      <c r="F3" t="s">
        <v>2625</v>
      </c>
      <c r="G3" t="s">
        <v>406</v>
      </c>
      <c r="H3" t="s">
        <v>7742</v>
      </c>
      <c r="I3" t="s">
        <v>7538</v>
      </c>
      <c r="J3" t="b">
        <v>0</v>
      </c>
      <c r="K3" t="s">
        <v>567</v>
      </c>
      <c r="L3" t="s">
        <v>401</v>
      </c>
      <c r="M3" s="178">
        <v>46028</v>
      </c>
      <c r="P3" t="s">
        <v>4326</v>
      </c>
      <c r="Q3">
        <v>9</v>
      </c>
      <c r="R3" t="s">
        <v>1459</v>
      </c>
    </row>
    <row r="4" spans="1:19">
      <c r="A4" t="s">
        <v>7532</v>
      </c>
      <c r="B4" t="s">
        <v>925</v>
      </c>
      <c r="C4" t="s">
        <v>370</v>
      </c>
      <c r="D4" t="s">
        <v>7534</v>
      </c>
      <c r="E4" t="s">
        <v>5466</v>
      </c>
      <c r="F4" t="s">
        <v>2336</v>
      </c>
      <c r="G4" t="s">
        <v>406</v>
      </c>
      <c r="H4" t="s">
        <v>7743</v>
      </c>
      <c r="I4" t="s">
        <v>7538</v>
      </c>
      <c r="J4" t="b">
        <v>0</v>
      </c>
      <c r="K4" t="s">
        <v>567</v>
      </c>
      <c r="L4" t="s">
        <v>401</v>
      </c>
      <c r="M4" s="178">
        <v>46028</v>
      </c>
      <c r="P4" t="s">
        <v>4326</v>
      </c>
      <c r="Q4">
        <v>9</v>
      </c>
      <c r="R4" t="s">
        <v>1459</v>
      </c>
    </row>
    <row r="5" spans="1:19">
      <c r="A5" t="s">
        <v>7532</v>
      </c>
      <c r="B5" t="s">
        <v>925</v>
      </c>
      <c r="C5" t="s">
        <v>370</v>
      </c>
      <c r="D5" t="s">
        <v>2319</v>
      </c>
      <c r="E5" t="s">
        <v>430</v>
      </c>
      <c r="F5" t="s">
        <v>5569</v>
      </c>
      <c r="G5" t="s">
        <v>406</v>
      </c>
      <c r="H5" t="s">
        <v>7744</v>
      </c>
      <c r="I5" t="s">
        <v>7538</v>
      </c>
      <c r="J5" t="b">
        <v>0</v>
      </c>
      <c r="K5" t="s">
        <v>567</v>
      </c>
      <c r="L5" t="s">
        <v>401</v>
      </c>
      <c r="M5" s="178">
        <v>46028</v>
      </c>
      <c r="P5" t="s">
        <v>4326</v>
      </c>
      <c r="Q5">
        <v>9</v>
      </c>
      <c r="R5" t="s">
        <v>1459</v>
      </c>
    </row>
    <row r="6" spans="1:19">
      <c r="A6" t="s">
        <v>7532</v>
      </c>
      <c r="B6" t="s">
        <v>925</v>
      </c>
      <c r="C6" t="s">
        <v>370</v>
      </c>
      <c r="D6" t="s">
        <v>6783</v>
      </c>
      <c r="E6" t="s">
        <v>759</v>
      </c>
      <c r="F6" t="s">
        <v>7542</v>
      </c>
      <c r="G6" t="s">
        <v>400</v>
      </c>
      <c r="H6" t="s">
        <v>7711</v>
      </c>
      <c r="I6" t="s">
        <v>7537</v>
      </c>
      <c r="J6" t="b">
        <v>0</v>
      </c>
      <c r="K6" t="s">
        <v>567</v>
      </c>
      <c r="L6" t="s">
        <v>401</v>
      </c>
      <c r="M6" s="178">
        <v>46028</v>
      </c>
      <c r="P6" t="s">
        <v>4326</v>
      </c>
      <c r="Q6">
        <v>9</v>
      </c>
      <c r="R6" t="s">
        <v>1459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A21" sqref="A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0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88</v>
      </c>
      <c r="C5"/>
      <c r="D5"/>
      <c r="E5"/>
    </row>
    <row r="6" spans="1:6">
      <c r="A6" s="111" t="s">
        <v>7545</v>
      </c>
      <c r="B6" s="150">
        <v>86</v>
      </c>
      <c r="C6" s="126"/>
      <c r="D6" s="124"/>
      <c r="E6" s="124"/>
    </row>
    <row r="7" spans="1:6">
      <c r="A7" s="112" t="s">
        <v>370</v>
      </c>
      <c r="B7" s="150">
        <v>53</v>
      </c>
      <c r="C7"/>
      <c r="D7"/>
      <c r="E7"/>
    </row>
    <row r="8" spans="1:6">
      <c r="A8" s="112" t="s">
        <v>377</v>
      </c>
      <c r="B8" s="150">
        <v>33</v>
      </c>
      <c r="C8" s="56"/>
      <c r="D8" s="124"/>
      <c r="E8" s="124"/>
    </row>
    <row r="9" spans="1:6">
      <c r="A9" s="111" t="s">
        <v>7712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11" t="s">
        <v>7717</v>
      </c>
      <c r="B11" s="150">
        <v>1</v>
      </c>
      <c r="C11"/>
      <c r="D11"/>
    </row>
    <row r="12" spans="1:6">
      <c r="A12" s="112" t="s">
        <v>370</v>
      </c>
      <c r="B12" s="150">
        <v>1</v>
      </c>
      <c r="C12" s="126"/>
      <c r="D12"/>
    </row>
    <row r="13" spans="1:6">
      <c r="A13" s="17" t="s">
        <v>4326</v>
      </c>
      <c r="B13" s="150">
        <v>51</v>
      </c>
      <c r="C13"/>
      <c r="D13"/>
    </row>
    <row r="14" spans="1:6">
      <c r="A14" s="111" t="s">
        <v>7376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11" t="s">
        <v>7519</v>
      </c>
      <c r="B16" s="150">
        <v>11</v>
      </c>
      <c r="C16"/>
      <c r="D16"/>
    </row>
    <row r="17" spans="1:5">
      <c r="A17" s="112" t="s">
        <v>370</v>
      </c>
      <c r="B17" s="150">
        <v>11</v>
      </c>
      <c r="C17"/>
      <c r="D17" s="124"/>
      <c r="E17" s="124"/>
    </row>
    <row r="18" spans="1:5">
      <c r="A18" s="111" t="s">
        <v>7476</v>
      </c>
      <c r="B18" s="150">
        <v>34</v>
      </c>
      <c r="C18" s="126"/>
      <c r="D18"/>
    </row>
    <row r="19" spans="1:5">
      <c r="A19" s="112" t="s">
        <v>369</v>
      </c>
      <c r="B19" s="150">
        <v>31</v>
      </c>
      <c r="C19" s="47"/>
      <c r="D19"/>
    </row>
    <row r="20" spans="1:5">
      <c r="A20" s="112" t="s">
        <v>370</v>
      </c>
      <c r="B20" s="150">
        <v>3</v>
      </c>
      <c r="C20" s="126"/>
    </row>
    <row r="21" spans="1:5" ht="17.25" customHeight="1">
      <c r="A21" s="111" t="s">
        <v>7532</v>
      </c>
      <c r="B21" s="150">
        <v>5</v>
      </c>
    </row>
    <row r="22" spans="1:5">
      <c r="A22" s="112" t="s">
        <v>369</v>
      </c>
      <c r="B22" s="150">
        <v>1</v>
      </c>
    </row>
    <row r="23" spans="1:5">
      <c r="A23" s="112" t="s">
        <v>370</v>
      </c>
      <c r="B23" s="150">
        <v>3</v>
      </c>
    </row>
    <row r="24" spans="1:5">
      <c r="A24" s="112" t="s">
        <v>692</v>
      </c>
      <c r="B24" s="150">
        <v>1</v>
      </c>
    </row>
    <row r="25" spans="1:5">
      <c r="A25" s="17" t="s">
        <v>381</v>
      </c>
      <c r="B25" s="150">
        <v>139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5"/>
  <sheetViews>
    <sheetView topLeftCell="A1371" workbookViewId="0">
      <selection activeCell="C1404" sqref="C1404:C140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  <row r="1401" spans="1:3">
      <c r="A1401" t="s">
        <v>7654</v>
      </c>
      <c r="B1401">
        <v>1</v>
      </c>
      <c r="C1401" s="180" t="s">
        <v>4</v>
      </c>
    </row>
    <row r="1402" spans="1:3">
      <c r="A1402" t="s">
        <v>7714</v>
      </c>
      <c r="B1402">
        <v>1</v>
      </c>
      <c r="C1402" s="180" t="s">
        <v>4</v>
      </c>
    </row>
    <row r="1403" spans="1:3">
      <c r="A1403" t="s">
        <v>6639</v>
      </c>
      <c r="B1403">
        <v>2</v>
      </c>
      <c r="C1403" s="180" t="s">
        <v>4</v>
      </c>
    </row>
    <row r="1404" spans="1:3">
      <c r="A1404" t="s">
        <v>7364</v>
      </c>
      <c r="B1404">
        <v>5</v>
      </c>
      <c r="C1404" s="180" t="s">
        <v>4</v>
      </c>
    </row>
    <row r="1405" spans="1:3">
      <c r="A1405" t="s">
        <v>7343</v>
      </c>
      <c r="B1405">
        <v>1</v>
      </c>
      <c r="C1405" s="180" t="s">
        <v>4</v>
      </c>
    </row>
  </sheetData>
  <conditionalFormatting sqref="A2:A545 A548:A568 A570:A1036 A1038:A1232 A1238:A1272 A1274:A1283 A1286:A1291 A1293:A1048576">
    <cfRule type="duplicateValues" dxfId="9" priority="4"/>
  </conditionalFormatting>
  <conditionalFormatting sqref="A1284">
    <cfRule type="duplicateValues" dxfId="8" priority="2"/>
  </conditionalFormatting>
  <conditionalFormatting sqref="A1292">
    <cfRule type="duplicateValues" dxfId="7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334"/>
  <sheetViews>
    <sheetView tabSelected="1" topLeftCell="A5249" zoomScale="105" zoomScaleNormal="105" workbookViewId="0">
      <selection activeCell="F5252" sqref="F525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281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256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256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256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256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256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256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256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256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256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256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256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252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249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249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249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249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249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249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249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249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249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249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249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249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249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249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249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249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249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249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249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249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249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249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249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249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249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249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249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249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249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249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249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249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249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249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249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249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249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249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249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249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249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248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248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248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248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248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248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248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248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248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248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248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248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248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248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248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248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248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248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248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248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248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248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248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248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248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248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248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248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248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248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248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248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248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248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248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248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248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248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248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248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248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248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248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248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248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248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248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248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248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248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248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248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248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248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248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248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248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248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248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247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247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247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247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247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246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246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244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244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243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240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240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240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240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240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240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240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240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240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240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240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240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240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240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240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240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240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240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240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240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240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239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239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239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239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239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234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234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234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229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229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229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229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229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229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229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229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229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229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229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229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229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229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229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229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229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229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225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225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225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220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219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219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219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219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219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219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219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219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219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219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219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219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205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205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204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204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204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194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179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179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179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179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179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179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179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179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179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179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179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179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179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179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179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179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179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179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179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179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176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176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176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176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175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175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175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175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175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175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175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175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175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175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175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175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175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175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175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175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175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175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175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175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175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175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175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175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175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175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175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175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175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175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174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174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174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174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174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174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174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174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174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174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174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174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174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174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174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174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174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174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170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170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170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170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170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170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170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170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170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170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170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170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170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170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170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170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170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170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170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170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170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170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170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170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170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170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170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170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170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170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170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170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170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170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170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170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170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170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170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170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170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170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170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170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170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170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170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170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170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170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170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170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170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170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170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170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170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170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170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170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170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170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170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170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170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170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170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170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170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170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170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170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170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170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170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170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170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170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170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170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170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170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170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170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170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170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170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170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170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170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170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170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164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164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159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159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154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154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154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154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154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154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154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154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154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154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154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154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154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154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154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154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154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154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154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154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154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154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154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154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154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154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154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154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154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154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154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154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154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154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154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154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154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154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154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154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154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154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154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154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154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154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154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154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154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154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154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154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154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154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154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154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154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154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154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154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154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154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154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154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154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154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154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154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154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154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154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154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154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154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154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154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154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154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154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154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154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154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154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154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154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154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154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154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154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154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154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154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154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154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154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154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154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154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154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154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154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154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154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154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154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151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151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151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151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152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149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149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144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144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144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144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144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144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144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144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144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144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144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142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142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142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142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142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142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142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142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142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142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142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142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142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142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142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142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142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142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142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142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142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142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142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142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142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142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142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142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142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142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142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142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142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142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142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142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142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142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142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142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142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142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142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142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142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142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142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142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142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142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142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142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142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142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142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142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142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142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142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142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142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142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142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142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142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142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142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142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142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142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142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142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142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142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142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142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142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142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142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142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142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142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142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142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142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142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142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142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142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142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142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142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142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142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142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142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142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142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142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142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142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142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142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142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142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142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142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142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142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142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142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142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142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142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142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142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142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142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142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142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142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142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142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142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142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142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142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142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142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142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142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142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142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142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142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142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142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142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142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142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142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142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142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142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142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142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142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142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142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142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142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142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142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142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142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142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142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142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142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142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142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142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142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142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142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142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142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142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142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142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142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142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142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142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142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142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142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142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142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142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142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142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142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142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142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142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142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142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142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142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142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142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142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142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142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142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142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142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142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142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142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142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142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142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142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142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142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142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142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142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142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142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142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142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142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142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142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142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142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142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142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142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142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142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142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142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142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142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142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142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142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142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142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142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142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142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142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142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142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142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142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142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142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142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142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142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142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142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142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142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142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142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142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142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142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142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142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142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142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142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142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142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142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142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142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142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142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142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142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142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142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142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142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142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142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142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142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142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142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142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142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142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142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142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142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142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142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142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142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142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142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142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142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142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142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142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142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142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142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142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142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142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142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142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142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142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142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142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142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142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142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142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142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142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142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142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142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142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142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142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142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142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142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142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142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142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142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142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142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142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142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142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142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142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142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140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140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140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140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140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140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140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140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140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140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139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139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139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138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138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138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138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138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138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137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137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135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134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134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134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133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133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133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131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131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131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131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131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131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131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128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128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128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128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128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128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128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128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128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128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128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128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128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128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128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128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128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128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128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128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128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128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128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128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128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128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128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128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128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127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127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125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125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125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125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125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125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125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125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125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125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123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123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123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123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123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123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123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123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122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122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122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122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122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122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122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122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122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122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122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122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122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122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122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122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122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120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120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120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120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120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120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120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120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120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120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120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120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120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120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120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120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120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120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120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120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120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120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120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120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120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120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120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120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120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120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120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120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120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120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120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120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120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120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120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120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120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120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120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120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120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120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120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120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120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120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120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120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120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120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120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120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120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120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120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120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120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120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120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120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120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120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120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120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120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120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120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120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120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120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120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120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120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120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120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120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120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120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120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120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120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120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120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120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120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120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120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120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120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120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120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120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120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120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120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120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120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120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120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120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120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120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120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120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120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120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120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120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120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120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120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120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120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120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120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120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120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120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120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120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120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120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120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120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120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120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120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120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120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120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120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120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120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120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120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120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120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120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120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120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120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120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120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120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120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120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120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120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120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120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120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120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120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120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120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120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120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120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120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120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120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120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120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120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120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120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120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120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120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120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120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120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120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120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120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120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120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120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120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120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120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120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120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120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120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120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120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120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120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120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120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120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120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120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120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120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120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120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120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120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120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120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120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120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120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120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120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120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120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120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120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120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120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120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120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120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120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120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120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120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120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120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120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120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120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120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120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120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120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120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120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120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120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120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120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120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120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120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120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120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120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120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120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120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120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120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120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120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120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120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120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120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120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120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120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120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120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120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120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120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120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120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120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120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120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120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120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120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120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120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120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120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120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120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120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120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120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120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120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120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120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120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120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120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120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120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120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120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120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120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120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119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119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119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119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119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119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119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119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119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119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119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119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119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119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119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119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119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119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119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119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119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119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119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119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119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119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119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119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119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119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119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119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119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119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119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119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119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119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119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119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119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119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119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119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119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119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119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119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119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119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119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119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119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119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119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119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119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119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119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119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119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119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119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119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119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119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119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119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119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119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119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119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119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119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119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119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119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119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119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119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119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119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119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119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119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119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119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119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119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119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119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119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119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119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119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119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119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119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119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119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119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119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119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119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119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119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119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119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119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119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119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119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119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119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119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119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119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119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119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119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119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119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119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119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119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119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119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119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119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119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119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119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119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119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119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119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119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119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119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119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119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119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119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119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119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119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119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119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119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119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119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119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119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119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119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119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119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119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119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119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119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119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119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119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119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119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119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119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119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119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119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119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119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119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119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119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119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119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119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119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119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119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119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119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119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119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119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119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119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119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119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119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119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119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119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119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119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119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119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119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119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119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116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116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116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116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116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116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116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116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116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116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116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116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116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116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116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116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116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116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116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116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116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116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116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116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116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116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116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116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116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116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116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116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116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116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116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116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116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116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116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116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116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116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116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115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115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114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114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114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114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114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114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114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113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113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113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112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112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112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112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112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112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112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112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112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112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112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112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112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112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112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112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112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112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112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112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112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112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112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112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112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112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112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112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112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112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112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112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112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112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112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112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112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112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112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112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112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112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112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112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112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112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112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112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112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112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112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112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112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112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112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112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112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112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112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112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112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112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112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112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112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112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112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112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112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112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112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112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112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112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112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112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112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112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112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112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112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112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112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112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112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112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112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112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112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112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112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112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112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112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111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111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111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111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111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111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111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111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111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111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111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111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111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111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111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111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111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111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111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110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110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110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110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110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110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110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110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110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110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110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110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110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110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110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110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110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110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109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109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109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109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109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109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109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109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109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109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109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109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106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106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106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106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106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106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106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106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106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106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106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106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106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106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106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106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106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106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106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106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106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106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106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106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106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106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106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106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106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105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105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105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105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105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105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105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105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105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105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105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105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105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105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105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105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105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105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105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105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105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105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105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105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105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105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105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105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105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105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105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105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105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105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105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104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104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104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104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104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104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104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104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104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104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104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104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104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104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104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104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104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104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104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104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104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104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104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104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104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104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104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104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104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104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104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104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104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104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104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104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104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104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104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104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104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104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104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104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104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104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104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104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104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104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104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104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104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104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104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104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104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104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104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104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104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104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104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104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104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104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104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104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104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104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104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104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104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104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104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104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104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104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104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104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104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104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104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104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104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104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104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104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104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104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104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104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104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104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104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104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104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104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104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104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104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104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104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104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104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104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104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104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104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104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104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104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104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104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104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104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104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104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104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104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104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104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104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104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104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104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104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104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104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104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104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104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104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104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104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104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104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104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104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104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104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104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104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104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104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104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104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104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104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104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104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104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104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104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104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104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104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104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104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104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104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104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104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104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104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104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104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104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104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104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104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104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104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104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104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104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104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104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104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104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104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104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104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104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104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104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104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104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104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104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104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104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104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104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104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104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104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104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104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104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104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104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104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104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104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104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104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104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104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104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104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104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104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104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104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104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104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104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104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104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104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104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104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104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104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104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104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104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104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104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104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104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104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104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104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104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102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102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102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102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102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102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102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102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102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102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102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102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102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102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102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102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101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101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101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101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101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101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101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101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101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101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101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101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101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101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101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101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101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101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101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101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101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101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101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101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101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101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101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101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101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101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101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101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101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101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101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101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101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101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101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100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100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100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100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100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100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100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100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100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100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100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100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100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100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100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100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100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100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99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99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99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99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99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99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99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99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99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99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99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99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99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99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99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99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99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99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99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99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99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99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99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99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99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99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99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99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99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99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99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99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99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99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99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99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99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99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99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99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99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99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99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99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99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99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99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99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99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99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99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99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99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99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99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99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99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99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99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99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99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99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99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99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99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99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99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99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99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99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99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99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99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99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99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99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99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99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99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99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99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99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99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99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99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99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99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99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99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99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99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99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99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99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99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99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99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99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99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99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99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99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99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99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99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99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99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99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99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99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99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99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99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99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99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95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95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95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95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95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95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95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95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95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95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95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95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94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94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94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94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94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94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94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94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94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94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94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94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94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94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94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94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94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94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94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94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94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94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94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94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94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94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94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94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94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94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94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91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91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91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91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91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91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91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91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91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90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89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89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89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89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89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89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88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88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88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88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88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88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88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88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88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88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88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88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88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88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88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88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88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88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88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88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87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87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87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87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87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87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87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87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87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87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87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87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86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86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86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86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86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86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86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86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86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86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86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86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83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83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83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83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83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83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83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83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83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83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83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83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83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83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83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83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83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83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83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83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83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83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83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83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83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83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83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83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83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83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83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83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83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83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83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83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83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83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83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83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83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83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83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83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83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83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83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83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83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83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82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82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82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82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82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82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82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82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82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82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82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82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82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82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82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82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79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78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78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78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78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78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78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76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76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76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76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76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76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76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76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76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76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76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76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76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76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76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76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76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76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76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76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76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76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76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76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76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76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76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76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76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76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76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76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76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76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76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76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76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76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76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76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76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76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76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76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76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76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76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74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74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74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74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74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74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74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74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74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74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74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74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74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74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74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74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74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74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74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74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74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74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74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74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74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74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74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74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72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72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72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72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67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67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67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67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67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66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66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66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66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66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66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66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66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66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66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66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66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63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63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63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63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63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63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63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63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63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63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63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63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63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63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63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63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63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63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63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63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63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63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63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63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63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63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63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63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63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62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61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60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60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60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60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60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60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60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60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60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60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60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60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60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60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60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60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60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60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60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60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60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60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60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60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60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60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60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59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59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59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59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59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59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59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59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59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59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59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59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59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59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59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59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59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59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59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59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59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59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59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59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59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59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59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59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59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59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59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59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59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59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59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59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59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59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59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58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ok</v>
      </c>
      <c r="C4490" s="149" t="s">
        <v>369</v>
      </c>
      <c r="D4490" t="s">
        <v>6742</v>
      </c>
      <c r="E4490" t="s">
        <v>6640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61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ok</v>
      </c>
      <c r="C4491" s="180" t="s">
        <v>369</v>
      </c>
      <c r="D4491" t="s">
        <v>6743</v>
      </c>
      <c r="E4491" t="s">
        <v>6641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61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56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56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56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56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56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56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56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56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56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56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56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56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56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56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56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56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56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56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56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56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56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56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56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56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56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56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56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56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56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56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56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56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56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56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56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56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56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56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56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56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56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56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56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56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56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56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56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56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56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56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56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56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56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56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56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56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56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56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56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56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56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56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56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56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56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56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56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56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56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56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56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56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56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56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56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56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56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56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56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56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56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56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56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56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56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56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56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56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56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56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56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56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56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54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54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54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54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54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54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54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54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54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54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54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54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54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54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54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54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54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54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54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54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54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54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54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54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54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54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54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54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54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53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51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51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51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48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48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48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48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48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48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48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48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48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48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48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48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48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48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48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48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48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48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48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48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48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48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48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48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48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48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48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48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48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48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48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48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48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48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48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48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48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48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48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48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48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48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48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48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48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48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48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48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48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48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48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48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48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48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48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48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48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48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48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45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45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45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45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45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45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45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45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45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45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45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45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45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45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45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45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45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45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45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45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45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45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45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45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44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44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44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44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44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44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44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44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44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44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44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44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44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44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42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42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42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42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42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42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42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40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40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40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40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40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40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40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40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40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40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40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40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40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40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40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40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40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40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40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40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40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40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40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40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40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40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40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40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40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40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40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40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40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40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40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40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40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40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40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40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40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40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40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40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40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40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40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40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40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40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40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40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40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40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40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40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40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40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40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40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40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40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40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40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39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39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39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39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39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39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39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39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39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39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37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37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37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37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37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37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37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37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37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37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37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37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37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37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37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37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37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37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37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37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37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37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37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37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37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37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37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37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37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37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37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37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37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37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36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36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36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36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36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36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36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36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36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36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36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36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36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36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36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36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36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36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36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36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36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36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36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36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36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36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36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36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36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36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36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36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36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36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36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36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36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36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36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36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36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36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36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36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36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36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36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36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36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36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36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36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36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36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36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36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36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36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36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36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36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36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36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36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36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36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36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36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36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36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36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36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36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36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36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36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36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36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36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36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36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36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36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36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36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36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36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36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36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36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36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36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36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36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36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36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36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36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36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36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36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36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36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36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36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36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36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36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36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36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36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36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36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36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36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36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36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36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36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36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36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36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36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36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36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36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36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36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36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36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36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36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36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36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36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36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36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36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36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36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36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36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36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36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36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35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35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35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35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35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35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35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35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35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35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35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35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35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35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35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35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35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35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35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35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35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35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35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35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35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35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35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35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34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34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34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34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34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34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34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34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34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34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34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33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33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33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33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33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33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33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33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33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33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33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33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33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33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33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33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33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33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33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33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33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33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33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33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33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33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32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32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31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31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31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31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31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31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31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31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31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31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31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31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31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31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31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31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31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31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31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31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30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30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30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30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30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30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30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30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30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30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30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30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30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30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30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30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30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30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30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30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30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30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30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30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30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30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30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30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ok</v>
      </c>
      <c r="C5090" s="149" t="s">
        <v>692</v>
      </c>
      <c r="D5090" t="s">
        <v>7342</v>
      </c>
      <c r="E5090" t="s">
        <v>4829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30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30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30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30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30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30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28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28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28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28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28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28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28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28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ok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26</v>
      </c>
      <c r="R5104" s="176" t="s">
        <v>780</v>
      </c>
      <c r="S5104" s="150"/>
    </row>
    <row r="5105" spans="1:19" hidden="1">
      <c r="A5105" t="s">
        <v>7364</v>
      </c>
      <c r="B5105" s="150" t="str">
        <f>IFERROR(VLOOKUP(Proc[[#This Row],[App]],Table2[],3,0),"open")</f>
        <v>ok</v>
      </c>
      <c r="C5105" s="180" t="s">
        <v>369</v>
      </c>
      <c r="D5105" t="s">
        <v>7367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26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ok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26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ok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26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ok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26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25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25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25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25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25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25</v>
      </c>
      <c r="R5114" s="177" t="s">
        <v>489</v>
      </c>
      <c r="S5114" s="150"/>
    </row>
    <row r="5115" spans="1:19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7543</v>
      </c>
      <c r="E5115" t="s">
        <v>7377</v>
      </c>
      <c r="F5115" s="150" t="s">
        <v>7399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25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22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22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22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22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22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22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22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22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22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22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22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22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22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22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22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18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18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18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18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18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18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18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18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18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18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18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18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18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18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18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18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15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15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15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11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11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11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11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11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11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11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11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11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11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11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11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11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11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11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11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11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11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11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11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11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11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11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11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11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11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11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11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11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11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11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11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11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11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11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11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11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11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11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11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11</v>
      </c>
      <c r="R5190" s="178" t="s">
        <v>489</v>
      </c>
      <c r="S5190" s="150"/>
    </row>
    <row r="5191" spans="1:19" hidden="1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11</v>
      </c>
      <c r="R5191" s="178" t="s">
        <v>489</v>
      </c>
      <c r="S5191" s="150"/>
    </row>
    <row r="5192" spans="1:19" hidden="1">
      <c r="A5192" s="149" t="s">
        <v>7476</v>
      </c>
      <c r="B5192" s="150" t="str">
        <f>IFERROR(VLOOKUP(Proc[[#This Row],[App]],Table2[],3,0),"open")</f>
        <v>open</v>
      </c>
      <c r="C5192" s="149" t="s">
        <v>369</v>
      </c>
      <c r="D5192" t="s">
        <v>7478</v>
      </c>
      <c r="E5192" t="s">
        <v>7350</v>
      </c>
      <c r="F5192" s="150" t="s">
        <v>7350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11</v>
      </c>
      <c r="R5192" s="178" t="s">
        <v>489</v>
      </c>
      <c r="S5192" s="150"/>
    </row>
    <row r="5193" spans="1:19" hidden="1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11</v>
      </c>
      <c r="R5193" s="178" t="s">
        <v>489</v>
      </c>
      <c r="S5193" s="150"/>
    </row>
    <row r="5194" spans="1:19" hidden="1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11</v>
      </c>
      <c r="R5194" s="178" t="s">
        <v>489</v>
      </c>
      <c r="S5194" s="150"/>
    </row>
    <row r="5195" spans="1:19" hidden="1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11</v>
      </c>
      <c r="R5195" s="178" t="s">
        <v>489</v>
      </c>
      <c r="S5195" s="150"/>
    </row>
    <row r="5196" spans="1:19" hidden="1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11</v>
      </c>
      <c r="R5196" s="178" t="s">
        <v>489</v>
      </c>
      <c r="S5196" s="150"/>
    </row>
    <row r="5197" spans="1:19" hidden="1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11</v>
      </c>
      <c r="R5197" s="178" t="s">
        <v>489</v>
      </c>
      <c r="S5197" s="150"/>
    </row>
    <row r="5198" spans="1:19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">
        <v>7539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11</v>
      </c>
      <c r="R5198" s="178" t="s">
        <v>489</v>
      </c>
      <c r="S5198" s="150"/>
    </row>
    <row r="5199" spans="1:19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">
        <v>7523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11</v>
      </c>
      <c r="R5199" s="178" t="s">
        <v>489</v>
      </c>
      <c r="S5199" s="150"/>
    </row>
    <row r="5200" spans="1:19" hidden="1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11</v>
      </c>
      <c r="R5200" s="178" t="s">
        <v>489</v>
      </c>
      <c r="S5200" s="150"/>
    </row>
    <row r="5201" spans="1:19" hidden="1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11</v>
      </c>
      <c r="R5201" s="178" t="s">
        <v>489</v>
      </c>
      <c r="S5201" s="150"/>
    </row>
    <row r="5202" spans="1:19" hidden="1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11</v>
      </c>
      <c r="R5202" s="178" t="s">
        <v>489</v>
      </c>
      <c r="S5202" s="150"/>
    </row>
    <row r="5203" spans="1:19" hidden="1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11</v>
      </c>
      <c r="R5203" s="178" t="s">
        <v>489</v>
      </c>
      <c r="S5203" s="150"/>
    </row>
    <row r="5204" spans="1:19" hidden="1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11</v>
      </c>
      <c r="R5204" s="178" t="s">
        <v>489</v>
      </c>
      <c r="S5204" s="150"/>
    </row>
    <row r="5205" spans="1:19" hidden="1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11</v>
      </c>
      <c r="R5205" s="178" t="s">
        <v>489</v>
      </c>
      <c r="S5205" s="150"/>
    </row>
    <row r="5206" spans="1:19" hidden="1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11</v>
      </c>
      <c r="R5206" s="178" t="s">
        <v>489</v>
      </c>
      <c r="S5206" s="150"/>
    </row>
    <row r="5207" spans="1:19" hidden="1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11</v>
      </c>
      <c r="R5207" s="178" t="s">
        <v>489</v>
      </c>
      <c r="S5207" s="150"/>
    </row>
    <row r="5208" spans="1:19" hidden="1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11</v>
      </c>
      <c r="R5208" s="178" t="s">
        <v>489</v>
      </c>
      <c r="S5208" s="150"/>
    </row>
    <row r="5209" spans="1:19" hidden="1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11</v>
      </c>
      <c r="R5209" s="178" t="s">
        <v>489</v>
      </c>
      <c r="S5209" s="150"/>
    </row>
    <row r="5210" spans="1:19" hidden="1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11</v>
      </c>
      <c r="R5210" s="178" t="s">
        <v>489</v>
      </c>
      <c r="S5210" s="150"/>
    </row>
    <row r="5211" spans="1:19" hidden="1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11</v>
      </c>
      <c r="R5211" s="178" t="s">
        <v>489</v>
      </c>
      <c r="S5211" s="150"/>
    </row>
    <row r="5212" spans="1:19" hidden="1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11</v>
      </c>
      <c r="R5212" s="178" t="s">
        <v>489</v>
      </c>
      <c r="S5212" s="150"/>
    </row>
    <row r="5213" spans="1:19" hidden="1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11</v>
      </c>
      <c r="R5213" s="178" t="s">
        <v>489</v>
      </c>
      <c r="S5213" s="150"/>
    </row>
    <row r="5214" spans="1:19" hidden="1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11</v>
      </c>
      <c r="R5214" s="178" t="s">
        <v>489</v>
      </c>
      <c r="S5214" s="150"/>
    </row>
    <row r="5215" spans="1:19" hidden="1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11</v>
      </c>
      <c r="R5215" s="178" t="s">
        <v>489</v>
      </c>
      <c r="S5215" s="150"/>
    </row>
    <row r="5216" spans="1:19" hidden="1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11</v>
      </c>
      <c r="R5216" s="178" t="s">
        <v>489</v>
      </c>
      <c r="S5216" s="150"/>
    </row>
    <row r="5217" spans="1:19" hidden="1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11</v>
      </c>
      <c r="R5217" s="178" t="s">
        <v>489</v>
      </c>
      <c r="S5217" s="150"/>
    </row>
    <row r="5218" spans="1:19" hidden="1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11</v>
      </c>
      <c r="R5218" s="178" t="s">
        <v>489</v>
      </c>
      <c r="S5218" s="150"/>
    </row>
    <row r="5219" spans="1:19" hidden="1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11</v>
      </c>
      <c r="R5219" s="178" t="s">
        <v>489</v>
      </c>
      <c r="S5219" s="150"/>
    </row>
    <row r="5220" spans="1:19" hidden="1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11</v>
      </c>
      <c r="R5220" s="178" t="s">
        <v>489</v>
      </c>
      <c r="S5220" s="150"/>
    </row>
    <row r="5221" spans="1:19" hidden="1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11</v>
      </c>
      <c r="R5221" s="178" t="s">
        <v>489</v>
      </c>
      <c r="S5221" s="150"/>
    </row>
    <row r="5222" spans="1:19" hidden="1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11</v>
      </c>
      <c r="R5222" s="178" t="s">
        <v>489</v>
      </c>
      <c r="S5222" s="150"/>
    </row>
    <row r="5223" spans="1:19" hidden="1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11</v>
      </c>
      <c r="R5223" s="178" t="s">
        <v>489</v>
      </c>
      <c r="S5223" s="150"/>
    </row>
    <row r="5224" spans="1:19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">
        <v>7540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11</v>
      </c>
      <c r="R5224" s="178" t="s">
        <v>489</v>
      </c>
      <c r="S5224" s="150"/>
    </row>
    <row r="5225" spans="1:19">
      <c r="A5225" t="s">
        <v>7519</v>
      </c>
      <c r="B5225" s="150" t="str">
        <f>IFERROR(VLOOKUP(Proc[[#This Row],[App]],Table2[],3,0),"open")</f>
        <v>open</v>
      </c>
      <c r="C5225" s="149" t="s">
        <v>370</v>
      </c>
      <c r="D5225" t="s">
        <v>7508</v>
      </c>
      <c r="E5225" t="s">
        <v>631</v>
      </c>
      <c r="F5225" s="150" t="s">
        <v>7525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11</v>
      </c>
      <c r="R5225" s="178" t="s">
        <v>7193</v>
      </c>
      <c r="S5225" s="150"/>
    </row>
    <row r="5226" spans="1:19">
      <c r="A5226" s="149" t="s">
        <v>7519</v>
      </c>
      <c r="B5226" s="150" t="str">
        <f>IFERROR(VLOOKUP(Proc[[#This Row],[App]],Table2[],3,0),"open")</f>
        <v>open</v>
      </c>
      <c r="C5226" s="149" t="s">
        <v>370</v>
      </c>
      <c r="D5226" t="s">
        <v>7509</v>
      </c>
      <c r="E5226" t="s">
        <v>631</v>
      </c>
      <c r="F5226" s="150" t="s">
        <v>7525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11</v>
      </c>
      <c r="R5226" s="178" t="s">
        <v>7193</v>
      </c>
      <c r="S5226" s="150"/>
    </row>
    <row r="5227" spans="1:19">
      <c r="A5227" s="149" t="s">
        <v>7519</v>
      </c>
      <c r="B5227" s="150" t="str">
        <f>IFERROR(VLOOKUP(Proc[[#This Row],[App]],Table2[],3,0),"open")</f>
        <v>open</v>
      </c>
      <c r="C5227" s="149" t="s">
        <v>370</v>
      </c>
      <c r="D5227" t="s">
        <v>7510</v>
      </c>
      <c r="E5227" t="s">
        <v>631</v>
      </c>
      <c r="F5227" s="150" t="s">
        <v>7524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11</v>
      </c>
      <c r="R5227" s="178" t="s">
        <v>7193</v>
      </c>
      <c r="S5227" s="150"/>
    </row>
    <row r="5228" spans="1:19">
      <c r="A5228" s="149" t="s">
        <v>7519</v>
      </c>
      <c r="B5228" s="150" t="str">
        <f>IFERROR(VLOOKUP(Proc[[#This Row],[App]],Table2[],3,0),"open")</f>
        <v>open</v>
      </c>
      <c r="C5228" s="149" t="s">
        <v>370</v>
      </c>
      <c r="D5228" t="s">
        <v>7511</v>
      </c>
      <c r="E5228" t="s">
        <v>631</v>
      </c>
      <c r="F5228" s="150" t="s">
        <v>7527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11</v>
      </c>
      <c r="R5228" s="178" t="s">
        <v>7193</v>
      </c>
      <c r="S5228" s="150"/>
    </row>
    <row r="5229" spans="1:19">
      <c r="A5229" s="149" t="s">
        <v>7519</v>
      </c>
      <c r="B5229" s="150" t="str">
        <f>IFERROR(VLOOKUP(Proc[[#This Row],[App]],Table2[],3,0),"open")</f>
        <v>open</v>
      </c>
      <c r="C5229" s="149" t="s">
        <v>370</v>
      </c>
      <c r="D5229" t="s">
        <v>7512</v>
      </c>
      <c r="E5229" t="s">
        <v>631</v>
      </c>
      <c r="F5229" s="150" t="s">
        <v>7527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11</v>
      </c>
      <c r="R5229" s="178" t="s">
        <v>7193</v>
      </c>
      <c r="S5229" s="150"/>
    </row>
    <row r="5230" spans="1:19">
      <c r="A5230" s="149" t="s">
        <v>7519</v>
      </c>
      <c r="B5230" s="150" t="str">
        <f>IFERROR(VLOOKUP(Proc[[#This Row],[App]],Table2[],3,0),"open")</f>
        <v>open</v>
      </c>
      <c r="C5230" s="149" t="s">
        <v>370</v>
      </c>
      <c r="D5230" t="s">
        <v>7513</v>
      </c>
      <c r="E5230" t="s">
        <v>631</v>
      </c>
      <c r="F5230" s="150" t="s">
        <v>7527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11</v>
      </c>
      <c r="R5230" s="178" t="s">
        <v>7193</v>
      </c>
      <c r="S5230" s="150"/>
    </row>
    <row r="5231" spans="1:19">
      <c r="A5231" s="149" t="s">
        <v>7519</v>
      </c>
      <c r="B5231" s="150" t="str">
        <f>IFERROR(VLOOKUP(Proc[[#This Row],[App]],Table2[],3,0),"open")</f>
        <v>open</v>
      </c>
      <c r="C5231" s="149" t="s">
        <v>370</v>
      </c>
      <c r="D5231" t="s">
        <v>7514</v>
      </c>
      <c r="E5231" t="s">
        <v>631</v>
      </c>
      <c r="F5231" s="150" t="s">
        <v>7527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11</v>
      </c>
      <c r="R5231" s="178" t="s">
        <v>7193</v>
      </c>
      <c r="S5231" s="150"/>
    </row>
    <row r="5232" spans="1:19">
      <c r="A5232" s="149" t="s">
        <v>7519</v>
      </c>
      <c r="B5232" s="150" t="str">
        <f>IFERROR(VLOOKUP(Proc[[#This Row],[App]],Table2[],3,0),"open")</f>
        <v>open</v>
      </c>
      <c r="C5232" s="149" t="s">
        <v>370</v>
      </c>
      <c r="D5232" t="s">
        <v>7515</v>
      </c>
      <c r="E5232" t="s">
        <v>631</v>
      </c>
      <c r="F5232" s="150" t="s">
        <v>7526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11</v>
      </c>
      <c r="R5232" s="178" t="s">
        <v>7193</v>
      </c>
      <c r="S5232" s="150"/>
    </row>
    <row r="5233" spans="1:19">
      <c r="A5233" s="149" t="s">
        <v>7519</v>
      </c>
      <c r="B5233" s="150" t="str">
        <f>IFERROR(VLOOKUP(Proc[[#This Row],[App]],Table2[],3,0),"open")</f>
        <v>open</v>
      </c>
      <c r="C5233" s="149" t="s">
        <v>370</v>
      </c>
      <c r="D5233" t="s">
        <v>7516</v>
      </c>
      <c r="E5233" t="s">
        <v>631</v>
      </c>
      <c r="F5233" s="150" t="s">
        <v>7526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11</v>
      </c>
      <c r="R5233" s="178" t="s">
        <v>7193</v>
      </c>
      <c r="S5233" s="150"/>
    </row>
    <row r="5234" spans="1:19">
      <c r="A5234" s="149" t="s">
        <v>7519</v>
      </c>
      <c r="B5234" s="150" t="str">
        <f>IFERROR(VLOOKUP(Proc[[#This Row],[App]],Table2[],3,0),"open")</f>
        <v>open</v>
      </c>
      <c r="C5234" s="149" t="s">
        <v>370</v>
      </c>
      <c r="D5234" t="s">
        <v>7517</v>
      </c>
      <c r="E5234" t="s">
        <v>631</v>
      </c>
      <c r="F5234" s="150" t="s">
        <v>7526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11</v>
      </c>
      <c r="R5234" s="178" t="s">
        <v>7193</v>
      </c>
      <c r="S5234" s="150"/>
    </row>
    <row r="5235" spans="1:19">
      <c r="A5235" s="149" t="s">
        <v>7519</v>
      </c>
      <c r="B5235" s="150" t="str">
        <f>IFERROR(VLOOKUP(Proc[[#This Row],[App]],Table2[],3,0),"open")</f>
        <v>open</v>
      </c>
      <c r="C5235" s="149" t="s">
        <v>370</v>
      </c>
      <c r="D5235" t="s">
        <v>7518</v>
      </c>
      <c r="E5235" t="s">
        <v>631</v>
      </c>
      <c r="F5235" s="150" t="s">
        <v>7526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11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9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9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9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9</v>
      </c>
      <c r="R5239" s="178" t="s">
        <v>7404</v>
      </c>
      <c r="S5239" s="150"/>
    </row>
    <row r="5240" spans="1:19" hidden="1">
      <c r="A5240" t="s">
        <v>7532</v>
      </c>
      <c r="B5240" s="150" t="str">
        <f>IFERROR(VLOOKUP(Proc[[#This Row],[App]],Table2[],3,0),"open")</f>
        <v>open</v>
      </c>
      <c r="C5240" t="s">
        <v>692</v>
      </c>
      <c r="D5240" t="s">
        <v>6783</v>
      </c>
      <c r="E5240" t="s">
        <v>759</v>
      </c>
      <c r="F5240" s="150" t="s">
        <v>7542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9</v>
      </c>
      <c r="R5240" s="178" t="s">
        <v>1459</v>
      </c>
      <c r="S5240" s="150"/>
    </row>
    <row r="5241" spans="1:19" hidden="1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9</v>
      </c>
      <c r="R5241" s="178" t="s">
        <v>1459</v>
      </c>
      <c r="S5241" s="150"/>
    </row>
    <row r="5242" spans="1:19">
      <c r="A5242" s="149" t="s">
        <v>7532</v>
      </c>
      <c r="B5242" s="150" t="str">
        <f>IFERROR(VLOOKUP(Proc[[#This Row],[App]],Table2[],3,0),"open")</f>
        <v>open</v>
      </c>
      <c r="C5242" s="149" t="s">
        <v>370</v>
      </c>
      <c r="D5242" t="s">
        <v>2319</v>
      </c>
      <c r="E5242" t="s">
        <v>430</v>
      </c>
      <c r="F5242" s="150" t="s">
        <v>5569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9</v>
      </c>
      <c r="R5242" s="178" t="s">
        <v>1459</v>
      </c>
      <c r="S5242" s="150"/>
    </row>
    <row r="5243" spans="1:19">
      <c r="A5243" s="149" t="s">
        <v>7532</v>
      </c>
      <c r="B5243" s="150" t="str">
        <f>IFERROR(VLOOKUP(Proc[[#This Row],[App]],Table2[],3,0),"open")</f>
        <v>open</v>
      </c>
      <c r="C5243" s="149" t="s">
        <v>370</v>
      </c>
      <c r="D5243" t="s">
        <v>7534</v>
      </c>
      <c r="E5243" t="s">
        <v>5466</v>
      </c>
      <c r="F5243" s="150" t="s">
        <v>2336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9</v>
      </c>
      <c r="R5243" s="178" t="s">
        <v>1459</v>
      </c>
      <c r="S5243" s="150"/>
    </row>
    <row r="5244" spans="1:19">
      <c r="A5244" s="149" t="s">
        <v>7532</v>
      </c>
      <c r="B5244" s="150" t="str">
        <f>IFERROR(VLOOKUP(Proc[[#This Row],[App]],Table2[],3,0),"open")</f>
        <v>open</v>
      </c>
      <c r="C5244" s="149" t="s">
        <v>370</v>
      </c>
      <c r="D5244" t="s">
        <v>7535</v>
      </c>
      <c r="E5244" t="s">
        <v>2616</v>
      </c>
      <c r="F5244" s="150" t="s">
        <v>2625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9</v>
      </c>
      <c r="R5244" s="178" t="s">
        <v>1459</v>
      </c>
      <c r="S5244" s="150"/>
    </row>
    <row r="5245" spans="1:19" hidden="1">
      <c r="A5245" t="s">
        <v>7545</v>
      </c>
      <c r="B5245" s="150" t="str">
        <f>IFERROR(VLOOKUP(Proc[[#This Row],[App]],Table2[],3,0),"open")</f>
        <v>open</v>
      </c>
      <c r="C5245" s="149" t="s">
        <v>377</v>
      </c>
      <c r="D5245" t="s">
        <v>7546</v>
      </c>
      <c r="E5245" t="s">
        <v>7644</v>
      </c>
      <c r="F5245" s="150" t="e">
        <v>#N/A</v>
      </c>
      <c r="G5245" s="149" t="s">
        <v>400</v>
      </c>
      <c r="H5245" s="150" t="str">
        <f>IF(Proc[[#This Row],[type]]="LFF (MDG-F)",MID(Proc[[#This Row],[Obj]],13,10),"")</f>
        <v/>
      </c>
      <c r="J5245" s="150" t="e">
        <f>Proc[[#This Row],[Requested]]=Proc[[#This Row],[CurrentParent]]</f>
        <v>#N/A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6435</v>
      </c>
      <c r="M5245" s="178">
        <v>46037</v>
      </c>
      <c r="N5245" s="178"/>
      <c r="O5245" s="178"/>
      <c r="P5245" s="178" t="str">
        <f ca="1">IF(Proc[[#This Row],[DaysAgeing]]&gt;5,"yep","on track")</f>
        <v>on track</v>
      </c>
      <c r="Q5245" s="3">
        <f ca="1">IF(Proc[[#This Row],[DateClosed]]="",ABS(NETWORKDAYS(Proc[[#This Row],[DateOpened]],TODAY()))-1,ABS(NETWORKDAYS(Proc[[#This Row],[DateOpened]],Proc[[#This Row],[DateClosed]]))-1)</f>
        <v>2</v>
      </c>
      <c r="R5245" s="178" t="s">
        <v>5709</v>
      </c>
      <c r="S5245" s="150"/>
    </row>
    <row r="5246" spans="1:19" hidden="1">
      <c r="A5246" s="149" t="s">
        <v>7545</v>
      </c>
      <c r="B5246" s="150" t="str">
        <f>IFERROR(VLOOKUP(Proc[[#This Row],[App]],Table2[],3,0),"open")</f>
        <v>open</v>
      </c>
      <c r="C5246" s="149" t="s">
        <v>377</v>
      </c>
      <c r="D5246" t="s">
        <v>7547</v>
      </c>
      <c r="E5246" t="s">
        <v>7644</v>
      </c>
      <c r="F5246" s="150" t="e">
        <v>#N/A</v>
      </c>
      <c r="G5246" s="149" t="s">
        <v>400</v>
      </c>
      <c r="H5246" s="150" t="str">
        <f>IF(Proc[[#This Row],[type]]="LFF (MDG-F)",MID(Proc[[#This Row],[Obj]],13,10),"")</f>
        <v/>
      </c>
      <c r="J5246" s="150" t="e">
        <f>Proc[[#This Row],[Requested]]=Proc[[#This Row],[CurrentParent]]</f>
        <v>#N/A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6435</v>
      </c>
      <c r="M5246" s="178">
        <v>46037</v>
      </c>
      <c r="N5246" s="178"/>
      <c r="O5246" s="178"/>
      <c r="P5246" s="178" t="str">
        <f ca="1">IF(Proc[[#This Row],[DaysAgeing]]&gt;5,"yep","on track")</f>
        <v>on track</v>
      </c>
      <c r="Q5246" s="3">
        <f ca="1">IF(Proc[[#This Row],[DateClosed]]="",ABS(NETWORKDAYS(Proc[[#This Row],[DateOpened]],TODAY()))-1,ABS(NETWORKDAYS(Proc[[#This Row],[DateOpened]],Proc[[#This Row],[DateClosed]]))-1)</f>
        <v>2</v>
      </c>
      <c r="R5246" s="178" t="s">
        <v>5709</v>
      </c>
      <c r="S5246" s="150"/>
    </row>
    <row r="5247" spans="1:19" hidden="1">
      <c r="A5247" s="149" t="s">
        <v>7545</v>
      </c>
      <c r="B5247" s="150" t="str">
        <f>IFERROR(VLOOKUP(Proc[[#This Row],[App]],Table2[],3,0),"open")</f>
        <v>open</v>
      </c>
      <c r="C5247" s="149" t="s">
        <v>377</v>
      </c>
      <c r="D5247" t="s">
        <v>7548</v>
      </c>
      <c r="E5247" t="s">
        <v>7644</v>
      </c>
      <c r="F5247" s="150" t="e">
        <v>#N/A</v>
      </c>
      <c r="G5247" t="s">
        <v>400</v>
      </c>
      <c r="H5247" s="150" t="str">
        <f>IF(Proc[[#This Row],[type]]="LFF (MDG-F)",MID(Proc[[#This Row],[Obj]],13,10),"")</f>
        <v/>
      </c>
      <c r="I5247" t="s">
        <v>7379</v>
      </c>
      <c r="J5247" s="150" t="e">
        <f>Proc[[#This Row],[Requested]]=Proc[[#This Row],[CurrentParent]]</f>
        <v>#N/A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6435</v>
      </c>
      <c r="M5247" s="178">
        <v>46037</v>
      </c>
      <c r="N5247" s="178"/>
      <c r="O5247" s="178"/>
      <c r="P5247" s="178" t="str">
        <f ca="1">IF(Proc[[#This Row],[DaysAgeing]]&gt;5,"yep","on track")</f>
        <v>on track</v>
      </c>
      <c r="Q5247" s="3">
        <f ca="1">IF(Proc[[#This Row],[DateClosed]]="",ABS(NETWORKDAYS(Proc[[#This Row],[DateOpened]],TODAY()))-1,ABS(NETWORKDAYS(Proc[[#This Row],[DateOpened]],Proc[[#This Row],[DateClosed]]))-1)</f>
        <v>2</v>
      </c>
      <c r="R5247" s="178" t="s">
        <v>5709</v>
      </c>
      <c r="S5247" s="150"/>
    </row>
    <row r="5248" spans="1:19" hidden="1">
      <c r="A5248" s="149" t="s">
        <v>7545</v>
      </c>
      <c r="B5248" s="150" t="str">
        <f>IFERROR(VLOOKUP(Proc[[#This Row],[App]],Table2[],3,0),"open")</f>
        <v>open</v>
      </c>
      <c r="C5248" s="149" t="s">
        <v>377</v>
      </c>
      <c r="D5248" t="s">
        <v>7549</v>
      </c>
      <c r="E5248" t="s">
        <v>7644</v>
      </c>
      <c r="F5248" s="150" t="e">
        <v>#N/A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7379</v>
      </c>
      <c r="J5248" s="150" t="e">
        <f>Proc[[#This Row],[Requested]]=Proc[[#This Row],[CurrentParent]]</f>
        <v>#N/A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6435</v>
      </c>
      <c r="M5248" s="178">
        <v>46037</v>
      </c>
      <c r="N5248" s="178"/>
      <c r="O5248" s="178"/>
      <c r="P5248" s="178" t="str">
        <f ca="1">IF(Proc[[#This Row],[DaysAgeing]]&gt;5,"yep","on track")</f>
        <v>on track</v>
      </c>
      <c r="Q5248" s="3">
        <f ca="1">IF(Proc[[#This Row],[DateClosed]]="",ABS(NETWORKDAYS(Proc[[#This Row],[DateOpened]],TODAY()))-1,ABS(NETWORKDAYS(Proc[[#This Row],[DateOpened]],Proc[[#This Row],[DateClosed]]))-1)</f>
        <v>2</v>
      </c>
      <c r="R5248" s="178" t="s">
        <v>5709</v>
      </c>
      <c r="S5248" s="150"/>
    </row>
    <row r="5249" spans="1:19">
      <c r="A5249" s="149" t="s">
        <v>7545</v>
      </c>
      <c r="B5249" s="150" t="str">
        <f>IFERROR(VLOOKUP(Proc[[#This Row],[App]],Table2[],3,0),"open")</f>
        <v>open</v>
      </c>
      <c r="C5249" s="149" t="s">
        <v>370</v>
      </c>
      <c r="D5249" t="s">
        <v>7550</v>
      </c>
      <c r="E5249" t="s">
        <v>7644</v>
      </c>
      <c r="F5249" s="150" t="s">
        <v>7718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7379</v>
      </c>
      <c r="J5249" s="150" t="b">
        <f>Proc[[#This Row],[Requested]]=Proc[[#This Row],[CurrentParent]]</f>
        <v>0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6435</v>
      </c>
      <c r="M5249" s="178">
        <v>46037</v>
      </c>
      <c r="N5249" s="178"/>
      <c r="O5249" s="178"/>
      <c r="P5249" s="178" t="str">
        <f ca="1">IF(Proc[[#This Row],[DaysAgeing]]&gt;5,"yep","on track")</f>
        <v>on track</v>
      </c>
      <c r="Q5249" s="3">
        <f ca="1">IF(Proc[[#This Row],[DateClosed]]="",ABS(NETWORKDAYS(Proc[[#This Row],[DateOpened]],TODAY()))-1,ABS(NETWORKDAYS(Proc[[#This Row],[DateOpened]],Proc[[#This Row],[DateClosed]]))-1)</f>
        <v>2</v>
      </c>
      <c r="R5249" s="178" t="s">
        <v>5709</v>
      </c>
      <c r="S5249" s="150"/>
    </row>
    <row r="5250" spans="1:19">
      <c r="A5250" s="149" t="s">
        <v>7545</v>
      </c>
      <c r="B5250" s="150" t="str">
        <f>IFERROR(VLOOKUP(Proc[[#This Row],[App]],Table2[],3,0),"open")</f>
        <v>open</v>
      </c>
      <c r="C5250" s="149" t="s">
        <v>370</v>
      </c>
      <c r="D5250" t="s">
        <v>7551</v>
      </c>
      <c r="E5250" t="s">
        <v>7645</v>
      </c>
      <c r="F5250" s="150" t="s">
        <v>7719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7379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6435</v>
      </c>
      <c r="M5250" s="178">
        <v>46037</v>
      </c>
      <c r="N5250" s="178"/>
      <c r="O5250" s="178"/>
      <c r="P5250" s="178" t="str">
        <f ca="1">IF(Proc[[#This Row],[DaysAgeing]]&gt;5,"yep","on track")</f>
        <v>on track</v>
      </c>
      <c r="Q5250" s="3">
        <f ca="1">IF(Proc[[#This Row],[DateClosed]]="",ABS(NETWORKDAYS(Proc[[#This Row],[DateOpened]],TODAY()))-1,ABS(NETWORKDAYS(Proc[[#This Row],[DateOpened]],Proc[[#This Row],[DateClosed]]))-1)</f>
        <v>2</v>
      </c>
      <c r="R5250" s="178" t="s">
        <v>5709</v>
      </c>
      <c r="S5250" s="150"/>
    </row>
    <row r="5251" spans="1:19">
      <c r="A5251" s="149" t="s">
        <v>7545</v>
      </c>
      <c r="B5251" s="150" t="str">
        <f>IFERROR(VLOOKUP(Proc[[#This Row],[App]],Table2[],3,0),"open")</f>
        <v>open</v>
      </c>
      <c r="C5251" s="149" t="s">
        <v>370</v>
      </c>
      <c r="D5251" t="s">
        <v>7552</v>
      </c>
      <c r="E5251" t="s">
        <v>7645</v>
      </c>
      <c r="F5251" s="150" t="s">
        <v>7719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7379</v>
      </c>
      <c r="J5251" s="150" t="b">
        <f>Proc[[#This Row],[Requested]]=Proc[[#This Row],[CurrentParent]]</f>
        <v>0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6435</v>
      </c>
      <c r="M5251" s="178">
        <v>46037</v>
      </c>
      <c r="N5251" s="178"/>
      <c r="O5251" s="178"/>
      <c r="P5251" s="178" t="str">
        <f ca="1">IF(Proc[[#This Row],[DaysAgeing]]&gt;5,"yep","on track")</f>
        <v>on track</v>
      </c>
      <c r="Q5251" s="3">
        <f ca="1">IF(Proc[[#This Row],[DateClosed]]="",ABS(NETWORKDAYS(Proc[[#This Row],[DateOpened]],TODAY()))-1,ABS(NETWORKDAYS(Proc[[#This Row],[DateOpened]],Proc[[#This Row],[DateClosed]]))-1)</f>
        <v>2</v>
      </c>
      <c r="R5251" s="178" t="s">
        <v>5709</v>
      </c>
      <c r="S5251" s="150"/>
    </row>
    <row r="5252" spans="1:19">
      <c r="A5252" s="149" t="s">
        <v>7545</v>
      </c>
      <c r="B5252" s="150" t="str">
        <f>IFERROR(VLOOKUP(Proc[[#This Row],[App]],Table2[],3,0),"open")</f>
        <v>open</v>
      </c>
      <c r="C5252" s="149" t="s">
        <v>370</v>
      </c>
      <c r="D5252" t="s">
        <v>7553</v>
      </c>
      <c r="E5252" t="s">
        <v>7645</v>
      </c>
      <c r="F5252" s="150" t="s">
        <v>7720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7379</v>
      </c>
      <c r="J5252" s="150" t="b">
        <f>Proc[[#This Row],[Requested]]=Proc[[#This Row],[CurrentParent]]</f>
        <v>0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6435</v>
      </c>
      <c r="M5252" s="178">
        <v>46037</v>
      </c>
      <c r="N5252" s="178"/>
      <c r="O5252" s="178"/>
      <c r="P5252" s="178" t="str">
        <f ca="1">IF(Proc[[#This Row],[DaysAgeing]]&gt;5,"yep","on track")</f>
        <v>on track</v>
      </c>
      <c r="Q5252" s="3">
        <f ca="1">IF(Proc[[#This Row],[DateClosed]]="",ABS(NETWORKDAYS(Proc[[#This Row],[DateOpened]],TODAY()))-1,ABS(NETWORKDAYS(Proc[[#This Row],[DateOpened]],Proc[[#This Row],[DateClosed]]))-1)</f>
        <v>2</v>
      </c>
      <c r="R5252" s="178" t="s">
        <v>5709</v>
      </c>
      <c r="S5252" s="150"/>
    </row>
    <row r="5253" spans="1:19" hidden="1">
      <c r="A5253" s="149" t="s">
        <v>7545</v>
      </c>
      <c r="B5253" s="150" t="str">
        <f>IFERROR(VLOOKUP(Proc[[#This Row],[App]],Table2[],3,0),"open")</f>
        <v>open</v>
      </c>
      <c r="C5253" s="149" t="s">
        <v>377</v>
      </c>
      <c r="D5253" t="s">
        <v>7554</v>
      </c>
      <c r="E5253" t="s">
        <v>7645</v>
      </c>
      <c r="F5253" s="150" t="e">
        <v>#N/A</v>
      </c>
      <c r="G5253" s="149" t="s">
        <v>400</v>
      </c>
      <c r="H5253" s="150" t="str">
        <f>IF(Proc[[#This Row],[type]]="LFF (MDG-F)",MID(Proc[[#This Row],[Obj]],13,10),"")</f>
        <v/>
      </c>
      <c r="J5253" s="150" t="e">
        <f>Proc[[#This Row],[Requested]]=Proc[[#This Row],[CurrentParent]]</f>
        <v>#N/A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6435</v>
      </c>
      <c r="M5253" s="178">
        <v>46037</v>
      </c>
      <c r="N5253" s="178"/>
      <c r="O5253" s="178"/>
      <c r="P5253" s="178" t="str">
        <f ca="1">IF(Proc[[#This Row],[DaysAgeing]]&gt;5,"yep","on track")</f>
        <v>on track</v>
      </c>
      <c r="Q5253" s="3">
        <f ca="1">IF(Proc[[#This Row],[DateClosed]]="",ABS(NETWORKDAYS(Proc[[#This Row],[DateOpened]],TODAY()))-1,ABS(NETWORKDAYS(Proc[[#This Row],[DateOpened]],Proc[[#This Row],[DateClosed]]))-1)</f>
        <v>2</v>
      </c>
      <c r="R5253" s="178" t="s">
        <v>5709</v>
      </c>
      <c r="S5253" s="150"/>
    </row>
    <row r="5254" spans="1:19" hidden="1">
      <c r="A5254" s="149" t="s">
        <v>7545</v>
      </c>
      <c r="B5254" s="150" t="str">
        <f>IFERROR(VLOOKUP(Proc[[#This Row],[App]],Table2[],3,0),"open")</f>
        <v>open</v>
      </c>
      <c r="C5254" s="149" t="s">
        <v>377</v>
      </c>
      <c r="D5254" t="s">
        <v>7555</v>
      </c>
      <c r="E5254" t="s">
        <v>7645</v>
      </c>
      <c r="F5254" s="150" t="e">
        <v>#N/A</v>
      </c>
      <c r="G5254" s="149" t="s">
        <v>400</v>
      </c>
      <c r="H5254" s="150" t="str">
        <f>IF(Proc[[#This Row],[type]]="LFF (MDG-F)",MID(Proc[[#This Row],[Obj]],13,10),"")</f>
        <v/>
      </c>
      <c r="J5254" s="150" t="e">
        <f>Proc[[#This Row],[Requested]]=Proc[[#This Row],[CurrentParent]]</f>
        <v>#N/A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6435</v>
      </c>
      <c r="M5254" s="178">
        <v>46037</v>
      </c>
      <c r="N5254" s="178"/>
      <c r="O5254" s="178"/>
      <c r="P5254" s="178" t="str">
        <f ca="1">IF(Proc[[#This Row],[DaysAgeing]]&gt;5,"yep","on track")</f>
        <v>on track</v>
      </c>
      <c r="Q5254" s="3">
        <f ca="1">IF(Proc[[#This Row],[DateClosed]]="",ABS(NETWORKDAYS(Proc[[#This Row],[DateOpened]],TODAY()))-1,ABS(NETWORKDAYS(Proc[[#This Row],[DateOpened]],Proc[[#This Row],[DateClosed]]))-1)</f>
        <v>2</v>
      </c>
      <c r="R5254" s="178" t="s">
        <v>5709</v>
      </c>
      <c r="S5254" s="150"/>
    </row>
    <row r="5255" spans="1:19" hidden="1">
      <c r="A5255" s="149" t="s">
        <v>7545</v>
      </c>
      <c r="B5255" s="150" t="str">
        <f>IFERROR(VLOOKUP(Proc[[#This Row],[App]],Table2[],3,0),"open")</f>
        <v>open</v>
      </c>
      <c r="C5255" s="149" t="s">
        <v>377</v>
      </c>
      <c r="D5255" t="s">
        <v>7556</v>
      </c>
      <c r="E5255" t="s">
        <v>7645</v>
      </c>
      <c r="F5255" s="150" t="e">
        <v>#N/A</v>
      </c>
      <c r="G5255" s="149" t="s">
        <v>400</v>
      </c>
      <c r="H5255" s="150" t="str">
        <f>IF(Proc[[#This Row],[type]]="LFF (MDG-F)",MID(Proc[[#This Row],[Obj]],13,10),"")</f>
        <v/>
      </c>
      <c r="J5255" s="150" t="e">
        <f>Proc[[#This Row],[Requested]]=Proc[[#This Row],[CurrentParent]]</f>
        <v>#N/A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6435</v>
      </c>
      <c r="M5255" s="178">
        <v>46037</v>
      </c>
      <c r="N5255" s="178"/>
      <c r="O5255" s="178"/>
      <c r="P5255" s="178" t="str">
        <f ca="1">IF(Proc[[#This Row],[DaysAgeing]]&gt;5,"yep","on track")</f>
        <v>on track</v>
      </c>
      <c r="Q5255" s="3">
        <f ca="1">IF(Proc[[#This Row],[DateClosed]]="",ABS(NETWORKDAYS(Proc[[#This Row],[DateOpened]],TODAY()))-1,ABS(NETWORKDAYS(Proc[[#This Row],[DateOpened]],Proc[[#This Row],[DateClosed]]))-1)</f>
        <v>2</v>
      </c>
      <c r="R5255" s="178" t="s">
        <v>5709</v>
      </c>
      <c r="S5255" s="150"/>
    </row>
    <row r="5256" spans="1:19">
      <c r="A5256" s="149" t="s">
        <v>7545</v>
      </c>
      <c r="B5256" s="150" t="str">
        <f>IFERROR(VLOOKUP(Proc[[#This Row],[App]],Table2[],3,0),"open")</f>
        <v>open</v>
      </c>
      <c r="C5256" s="149" t="s">
        <v>370</v>
      </c>
      <c r="D5256" t="s">
        <v>7557</v>
      </c>
      <c r="E5256" t="s">
        <v>7644</v>
      </c>
      <c r="F5256" s="150" t="s">
        <v>7721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7379</v>
      </c>
      <c r="J5256" s="150" t="b">
        <f>Proc[[#This Row],[Requested]]=Proc[[#This Row],[CurrentParent]]</f>
        <v>0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6435</v>
      </c>
      <c r="M5256" s="178">
        <v>46037</v>
      </c>
      <c r="N5256" s="178"/>
      <c r="O5256" s="178"/>
      <c r="P5256" s="178" t="str">
        <f ca="1">IF(Proc[[#This Row],[DaysAgeing]]&gt;5,"yep","on track")</f>
        <v>on track</v>
      </c>
      <c r="Q5256" s="3">
        <f ca="1">IF(Proc[[#This Row],[DateClosed]]="",ABS(NETWORKDAYS(Proc[[#This Row],[DateOpened]],TODAY()))-1,ABS(NETWORKDAYS(Proc[[#This Row],[DateOpened]],Proc[[#This Row],[DateClosed]]))-1)</f>
        <v>2</v>
      </c>
      <c r="R5256" s="178" t="s">
        <v>5709</v>
      </c>
      <c r="S5256" s="150"/>
    </row>
    <row r="5257" spans="1:19">
      <c r="A5257" s="149" t="s">
        <v>7545</v>
      </c>
      <c r="B5257" s="150" t="str">
        <f>IFERROR(VLOOKUP(Proc[[#This Row],[App]],Table2[],3,0),"open")</f>
        <v>open</v>
      </c>
      <c r="C5257" s="149" t="s">
        <v>370</v>
      </c>
      <c r="D5257" t="s">
        <v>7558</v>
      </c>
      <c r="E5257" t="s">
        <v>7644</v>
      </c>
      <c r="F5257" s="150" t="s">
        <v>7722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7379</v>
      </c>
      <c r="J5257" s="150" t="b">
        <f>Proc[[#This Row],[Requested]]=Proc[[#This Row],[CurrentParent]]</f>
        <v>0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6435</v>
      </c>
      <c r="M5257" s="178">
        <v>46037</v>
      </c>
      <c r="N5257" s="178"/>
      <c r="O5257" s="178"/>
      <c r="P5257" s="178" t="str">
        <f ca="1">IF(Proc[[#This Row],[DaysAgeing]]&gt;5,"yep","on track")</f>
        <v>on track</v>
      </c>
      <c r="Q5257" s="3">
        <f ca="1">IF(Proc[[#This Row],[DateClosed]]="",ABS(NETWORKDAYS(Proc[[#This Row],[DateOpened]],TODAY()))-1,ABS(NETWORKDAYS(Proc[[#This Row],[DateOpened]],Proc[[#This Row],[DateClosed]]))-1)</f>
        <v>2</v>
      </c>
      <c r="R5257" s="178" t="s">
        <v>5709</v>
      </c>
      <c r="S5257" s="150"/>
    </row>
    <row r="5258" spans="1:19">
      <c r="A5258" s="149" t="s">
        <v>7545</v>
      </c>
      <c r="B5258" s="150" t="str">
        <f>IFERROR(VLOOKUP(Proc[[#This Row],[App]],Table2[],3,0),"open")</f>
        <v>open</v>
      </c>
      <c r="C5258" s="149" t="s">
        <v>370</v>
      </c>
      <c r="D5258" t="s">
        <v>7559</v>
      </c>
      <c r="E5258" t="s">
        <v>7646</v>
      </c>
      <c r="F5258" s="150" t="s">
        <v>7721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7379</v>
      </c>
      <c r="J5258" s="150" t="b">
        <f>Proc[[#This Row],[Requested]]=Proc[[#This Row],[CurrentParent]]</f>
        <v>0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6435</v>
      </c>
      <c r="M5258" s="178">
        <v>46037</v>
      </c>
      <c r="N5258" s="178"/>
      <c r="O5258" s="178"/>
      <c r="P5258" s="178" t="str">
        <f ca="1">IF(Proc[[#This Row],[DaysAgeing]]&gt;5,"yep","on track")</f>
        <v>on track</v>
      </c>
      <c r="Q5258" s="3">
        <f ca="1">IF(Proc[[#This Row],[DateClosed]]="",ABS(NETWORKDAYS(Proc[[#This Row],[DateOpened]],TODAY()))-1,ABS(NETWORKDAYS(Proc[[#This Row],[DateOpened]],Proc[[#This Row],[DateClosed]]))-1)</f>
        <v>2</v>
      </c>
      <c r="R5258" s="178" t="s">
        <v>5709</v>
      </c>
      <c r="S5258" s="150"/>
    </row>
    <row r="5259" spans="1:19">
      <c r="A5259" s="149" t="s">
        <v>7545</v>
      </c>
      <c r="B5259" s="150" t="str">
        <f>IFERROR(VLOOKUP(Proc[[#This Row],[App]],Table2[],3,0),"open")</f>
        <v>open</v>
      </c>
      <c r="C5259" s="149" t="s">
        <v>370</v>
      </c>
      <c r="D5259" t="s">
        <v>7560</v>
      </c>
      <c r="E5259" t="s">
        <v>7646</v>
      </c>
      <c r="F5259" s="150" t="s">
        <v>7721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7379</v>
      </c>
      <c r="J5259" s="150" t="b">
        <f>Proc[[#This Row],[Requested]]=Proc[[#This Row],[CurrentParent]]</f>
        <v>0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6435</v>
      </c>
      <c r="M5259" s="178">
        <v>46037</v>
      </c>
      <c r="N5259" s="178"/>
      <c r="O5259" s="178"/>
      <c r="P5259" s="178" t="str">
        <f ca="1">IF(Proc[[#This Row],[DaysAgeing]]&gt;5,"yep","on track")</f>
        <v>on track</v>
      </c>
      <c r="Q5259" s="3">
        <f ca="1">IF(Proc[[#This Row],[DateClosed]]="",ABS(NETWORKDAYS(Proc[[#This Row],[DateOpened]],TODAY()))-1,ABS(NETWORKDAYS(Proc[[#This Row],[DateOpened]],Proc[[#This Row],[DateClosed]]))-1)</f>
        <v>2</v>
      </c>
      <c r="R5259" s="178" t="s">
        <v>5709</v>
      </c>
      <c r="S5259" s="150"/>
    </row>
    <row r="5260" spans="1:19">
      <c r="A5260" s="149" t="s">
        <v>7545</v>
      </c>
      <c r="B5260" s="150" t="str">
        <f>IFERROR(VLOOKUP(Proc[[#This Row],[App]],Table2[],3,0),"open")</f>
        <v>open</v>
      </c>
      <c r="C5260" s="149" t="s">
        <v>370</v>
      </c>
      <c r="D5260" t="s">
        <v>7561</v>
      </c>
      <c r="E5260" t="s">
        <v>7646</v>
      </c>
      <c r="F5260" s="150" t="s">
        <v>7721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7379</v>
      </c>
      <c r="J5260" s="150" t="b">
        <f>Proc[[#This Row],[Requested]]=Proc[[#This Row],[CurrentParent]]</f>
        <v>0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6435</v>
      </c>
      <c r="M5260" s="178">
        <v>46037</v>
      </c>
      <c r="N5260" s="178"/>
      <c r="O5260" s="178"/>
      <c r="P5260" s="178" t="str">
        <f ca="1">IF(Proc[[#This Row],[DaysAgeing]]&gt;5,"yep","on track")</f>
        <v>on track</v>
      </c>
      <c r="Q5260" s="3">
        <f ca="1">IF(Proc[[#This Row],[DateClosed]]="",ABS(NETWORKDAYS(Proc[[#This Row],[DateOpened]],TODAY()))-1,ABS(NETWORKDAYS(Proc[[#This Row],[DateOpened]],Proc[[#This Row],[DateClosed]]))-1)</f>
        <v>2</v>
      </c>
      <c r="R5260" s="178" t="s">
        <v>5709</v>
      </c>
      <c r="S5260" s="150"/>
    </row>
    <row r="5261" spans="1:19">
      <c r="A5261" s="149" t="s">
        <v>7545</v>
      </c>
      <c r="B5261" s="150" t="str">
        <f>IFERROR(VLOOKUP(Proc[[#This Row],[App]],Table2[],3,0),"open")</f>
        <v>open</v>
      </c>
      <c r="C5261" s="149" t="s">
        <v>370</v>
      </c>
      <c r="D5261" t="s">
        <v>7562</v>
      </c>
      <c r="E5261" t="s">
        <v>7646</v>
      </c>
      <c r="F5261" s="150" t="s">
        <v>7721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7379</v>
      </c>
      <c r="J5261" s="150" t="b">
        <f>Proc[[#This Row],[Requested]]=Proc[[#This Row],[CurrentParent]]</f>
        <v>0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6435</v>
      </c>
      <c r="M5261" s="178">
        <v>46037</v>
      </c>
      <c r="N5261" s="178"/>
      <c r="O5261" s="178"/>
      <c r="P5261" s="178" t="str">
        <f ca="1">IF(Proc[[#This Row],[DaysAgeing]]&gt;5,"yep","on track")</f>
        <v>on track</v>
      </c>
      <c r="Q5261" s="3">
        <f ca="1">IF(Proc[[#This Row],[DateClosed]]="",ABS(NETWORKDAYS(Proc[[#This Row],[DateOpened]],TODAY()))-1,ABS(NETWORKDAYS(Proc[[#This Row],[DateOpened]],Proc[[#This Row],[DateClosed]]))-1)</f>
        <v>2</v>
      </c>
      <c r="R5261" s="178" t="s">
        <v>5709</v>
      </c>
      <c r="S5261" s="150"/>
    </row>
    <row r="5262" spans="1:19">
      <c r="A5262" s="149" t="s">
        <v>7545</v>
      </c>
      <c r="B5262" s="150" t="str">
        <f>IFERROR(VLOOKUP(Proc[[#This Row],[App]],Table2[],3,0),"open")</f>
        <v>open</v>
      </c>
      <c r="C5262" s="149" t="s">
        <v>370</v>
      </c>
      <c r="D5262" t="s">
        <v>7563</v>
      </c>
      <c r="E5262" t="s">
        <v>7646</v>
      </c>
      <c r="F5262" s="150" t="s">
        <v>7721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7379</v>
      </c>
      <c r="J5262" s="150" t="b">
        <f>Proc[[#This Row],[Requested]]=Proc[[#This Row],[CurrentParent]]</f>
        <v>0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6435</v>
      </c>
      <c r="M5262" s="178">
        <v>46037</v>
      </c>
      <c r="N5262" s="178"/>
      <c r="O5262" s="178"/>
      <c r="P5262" s="178" t="str">
        <f ca="1">IF(Proc[[#This Row],[DaysAgeing]]&gt;5,"yep","on track")</f>
        <v>on track</v>
      </c>
      <c r="Q5262" s="3">
        <f ca="1">IF(Proc[[#This Row],[DateClosed]]="",ABS(NETWORKDAYS(Proc[[#This Row],[DateOpened]],TODAY()))-1,ABS(NETWORKDAYS(Proc[[#This Row],[DateOpened]],Proc[[#This Row],[DateClosed]]))-1)</f>
        <v>2</v>
      </c>
      <c r="R5262" s="178" t="s">
        <v>5709</v>
      </c>
      <c r="S5262" s="150"/>
    </row>
    <row r="5263" spans="1:19">
      <c r="A5263" s="149" t="s">
        <v>7545</v>
      </c>
      <c r="B5263" s="150" t="str">
        <f>IFERROR(VLOOKUP(Proc[[#This Row],[App]],Table2[],3,0),"open")</f>
        <v>open</v>
      </c>
      <c r="C5263" s="149" t="s">
        <v>370</v>
      </c>
      <c r="D5263" t="s">
        <v>7564</v>
      </c>
      <c r="E5263" t="s">
        <v>7646</v>
      </c>
      <c r="F5263" s="150" t="s">
        <v>7721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7379</v>
      </c>
      <c r="J5263" s="150" t="b">
        <f>Proc[[#This Row],[Requested]]=Proc[[#This Row],[CurrentParent]]</f>
        <v>0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6435</v>
      </c>
      <c r="M5263" s="178">
        <v>46037</v>
      </c>
      <c r="N5263" s="178"/>
      <c r="O5263" s="178"/>
      <c r="P5263" s="178" t="str">
        <f ca="1">IF(Proc[[#This Row],[DaysAgeing]]&gt;5,"yep","on track")</f>
        <v>on track</v>
      </c>
      <c r="Q5263" s="3">
        <f ca="1">IF(Proc[[#This Row],[DateClosed]]="",ABS(NETWORKDAYS(Proc[[#This Row],[DateOpened]],TODAY()))-1,ABS(NETWORKDAYS(Proc[[#This Row],[DateOpened]],Proc[[#This Row],[DateClosed]]))-1)</f>
        <v>2</v>
      </c>
      <c r="R5263" s="178" t="s">
        <v>5709</v>
      </c>
      <c r="S5263" s="150"/>
    </row>
    <row r="5264" spans="1:19">
      <c r="A5264" s="149" t="s">
        <v>7545</v>
      </c>
      <c r="B5264" s="150" t="str">
        <f>IFERROR(VLOOKUP(Proc[[#This Row],[App]],Table2[],3,0),"open")</f>
        <v>open</v>
      </c>
      <c r="C5264" s="149" t="s">
        <v>370</v>
      </c>
      <c r="D5264" t="s">
        <v>7565</v>
      </c>
      <c r="E5264" t="s">
        <v>7646</v>
      </c>
      <c r="F5264" s="150" t="s">
        <v>7721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7379</v>
      </c>
      <c r="J5264" s="150" t="b">
        <f>Proc[[#This Row],[Requested]]=Proc[[#This Row],[CurrentParent]]</f>
        <v>0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6435</v>
      </c>
      <c r="M5264" s="178">
        <v>46037</v>
      </c>
      <c r="N5264" s="178"/>
      <c r="O5264" s="178"/>
      <c r="P5264" s="178" t="str">
        <f ca="1">IF(Proc[[#This Row],[DaysAgeing]]&gt;5,"yep","on track")</f>
        <v>on track</v>
      </c>
      <c r="Q5264" s="3">
        <f ca="1">IF(Proc[[#This Row],[DateClosed]]="",ABS(NETWORKDAYS(Proc[[#This Row],[DateOpened]],TODAY()))-1,ABS(NETWORKDAYS(Proc[[#This Row],[DateOpened]],Proc[[#This Row],[DateClosed]]))-1)</f>
        <v>2</v>
      </c>
      <c r="R5264" s="178" t="s">
        <v>5709</v>
      </c>
      <c r="S5264" s="150"/>
    </row>
    <row r="5265" spans="1:19">
      <c r="A5265" s="149" t="s">
        <v>7545</v>
      </c>
      <c r="B5265" s="150" t="str">
        <f>IFERROR(VLOOKUP(Proc[[#This Row],[App]],Table2[],3,0),"open")</f>
        <v>open</v>
      </c>
      <c r="C5265" s="149" t="s">
        <v>370</v>
      </c>
      <c r="D5265" t="s">
        <v>7566</v>
      </c>
      <c r="E5265" t="s">
        <v>7646</v>
      </c>
      <c r="F5265" s="150" t="s">
        <v>7721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7379</v>
      </c>
      <c r="J5265" s="150" t="b">
        <f>Proc[[#This Row],[Requested]]=Proc[[#This Row],[CurrentParent]]</f>
        <v>0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6435</v>
      </c>
      <c r="M5265" s="178">
        <v>46037</v>
      </c>
      <c r="N5265" s="178"/>
      <c r="O5265" s="178"/>
      <c r="P5265" s="178" t="str">
        <f ca="1">IF(Proc[[#This Row],[DaysAgeing]]&gt;5,"yep","on track")</f>
        <v>on track</v>
      </c>
      <c r="Q5265" s="3">
        <f ca="1">IF(Proc[[#This Row],[DateClosed]]="",ABS(NETWORKDAYS(Proc[[#This Row],[DateOpened]],TODAY()))-1,ABS(NETWORKDAYS(Proc[[#This Row],[DateOpened]],Proc[[#This Row],[DateClosed]]))-1)</f>
        <v>2</v>
      </c>
      <c r="R5265" s="178" t="s">
        <v>5709</v>
      </c>
      <c r="S5265" s="150"/>
    </row>
    <row r="5266" spans="1:19">
      <c r="A5266" s="149" t="s">
        <v>7545</v>
      </c>
      <c r="B5266" s="150" t="str">
        <f>IFERROR(VLOOKUP(Proc[[#This Row],[App]],Table2[],3,0),"open")</f>
        <v>open</v>
      </c>
      <c r="C5266" s="149" t="s">
        <v>370</v>
      </c>
      <c r="D5266" t="s">
        <v>7567</v>
      </c>
      <c r="E5266" t="s">
        <v>7646</v>
      </c>
      <c r="F5266" s="150" t="s">
        <v>7721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7379</v>
      </c>
      <c r="J5266" s="150" t="b">
        <f>Proc[[#This Row],[Requested]]=Proc[[#This Row],[CurrentParent]]</f>
        <v>0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6435</v>
      </c>
      <c r="M5266" s="178">
        <v>46037</v>
      </c>
      <c r="N5266" s="178"/>
      <c r="O5266" s="178"/>
      <c r="P5266" s="178" t="str">
        <f ca="1">IF(Proc[[#This Row],[DaysAgeing]]&gt;5,"yep","on track")</f>
        <v>on track</v>
      </c>
      <c r="Q5266" s="3">
        <f ca="1">IF(Proc[[#This Row],[DateClosed]]="",ABS(NETWORKDAYS(Proc[[#This Row],[DateOpened]],TODAY()))-1,ABS(NETWORKDAYS(Proc[[#This Row],[DateOpened]],Proc[[#This Row],[DateClosed]]))-1)</f>
        <v>2</v>
      </c>
      <c r="R5266" s="178" t="s">
        <v>5709</v>
      </c>
      <c r="S5266" s="150"/>
    </row>
    <row r="5267" spans="1:19">
      <c r="A5267" s="149" t="s">
        <v>7545</v>
      </c>
      <c r="B5267" s="150" t="str">
        <f>IFERROR(VLOOKUP(Proc[[#This Row],[App]],Table2[],3,0),"open")</f>
        <v>open</v>
      </c>
      <c r="C5267" s="149" t="s">
        <v>370</v>
      </c>
      <c r="D5267" t="s">
        <v>7568</v>
      </c>
      <c r="E5267" t="s">
        <v>7646</v>
      </c>
      <c r="F5267" s="150" t="s">
        <v>7721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7379</v>
      </c>
      <c r="J5267" s="150" t="b">
        <f>Proc[[#This Row],[Requested]]=Proc[[#This Row],[CurrentParent]]</f>
        <v>0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6435</v>
      </c>
      <c r="M5267" s="178">
        <v>46037</v>
      </c>
      <c r="N5267" s="178"/>
      <c r="O5267" s="178"/>
      <c r="P5267" s="178" t="str">
        <f ca="1">IF(Proc[[#This Row],[DaysAgeing]]&gt;5,"yep","on track")</f>
        <v>on track</v>
      </c>
      <c r="Q5267" s="3">
        <f ca="1">IF(Proc[[#This Row],[DateClosed]]="",ABS(NETWORKDAYS(Proc[[#This Row],[DateOpened]],TODAY()))-1,ABS(NETWORKDAYS(Proc[[#This Row],[DateOpened]],Proc[[#This Row],[DateClosed]]))-1)</f>
        <v>2</v>
      </c>
      <c r="R5267" s="178" t="s">
        <v>5709</v>
      </c>
      <c r="S5267" s="150"/>
    </row>
    <row r="5268" spans="1:19">
      <c r="A5268" s="149" t="s">
        <v>7545</v>
      </c>
      <c r="B5268" s="150" t="str">
        <f>IFERROR(VLOOKUP(Proc[[#This Row],[App]],Table2[],3,0),"open")</f>
        <v>open</v>
      </c>
      <c r="C5268" s="149" t="s">
        <v>370</v>
      </c>
      <c r="D5268" t="s">
        <v>7569</v>
      </c>
      <c r="E5268" t="s">
        <v>7646</v>
      </c>
      <c r="F5268" s="150" t="s">
        <v>7721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7379</v>
      </c>
      <c r="J5268" s="150" t="b">
        <f>Proc[[#This Row],[Requested]]=Proc[[#This Row],[CurrentParent]]</f>
        <v>0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6435</v>
      </c>
      <c r="M5268" s="178">
        <v>46037</v>
      </c>
      <c r="N5268" s="178"/>
      <c r="O5268" s="178"/>
      <c r="P5268" s="178" t="str">
        <f ca="1">IF(Proc[[#This Row],[DaysAgeing]]&gt;5,"yep","on track")</f>
        <v>on track</v>
      </c>
      <c r="Q5268" s="3">
        <f ca="1">IF(Proc[[#This Row],[DateClosed]]="",ABS(NETWORKDAYS(Proc[[#This Row],[DateOpened]],TODAY()))-1,ABS(NETWORKDAYS(Proc[[#This Row],[DateOpened]],Proc[[#This Row],[DateClosed]]))-1)</f>
        <v>2</v>
      </c>
      <c r="R5268" s="178" t="s">
        <v>5709</v>
      </c>
      <c r="S5268" s="150"/>
    </row>
    <row r="5269" spans="1:19">
      <c r="A5269" s="149" t="s">
        <v>7545</v>
      </c>
      <c r="B5269" s="150" t="str">
        <f>IFERROR(VLOOKUP(Proc[[#This Row],[App]],Table2[],3,0),"open")</f>
        <v>open</v>
      </c>
      <c r="C5269" s="149" t="s">
        <v>370</v>
      </c>
      <c r="D5269" t="s">
        <v>7570</v>
      </c>
      <c r="E5269" t="s">
        <v>7646</v>
      </c>
      <c r="F5269" s="150" t="s">
        <v>7721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7379</v>
      </c>
      <c r="J5269" s="150" t="b">
        <f>Proc[[#This Row],[Requested]]=Proc[[#This Row],[CurrentParent]]</f>
        <v>0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6435</v>
      </c>
      <c r="M5269" s="178">
        <v>46037</v>
      </c>
      <c r="N5269" s="178"/>
      <c r="O5269" s="178"/>
      <c r="P5269" s="178" t="str">
        <f ca="1">IF(Proc[[#This Row],[DaysAgeing]]&gt;5,"yep","on track")</f>
        <v>on track</v>
      </c>
      <c r="Q5269" s="3">
        <f ca="1">IF(Proc[[#This Row],[DateClosed]]="",ABS(NETWORKDAYS(Proc[[#This Row],[DateOpened]],TODAY()))-1,ABS(NETWORKDAYS(Proc[[#This Row],[DateOpened]],Proc[[#This Row],[DateClosed]]))-1)</f>
        <v>2</v>
      </c>
      <c r="R5269" s="178" t="s">
        <v>5709</v>
      </c>
      <c r="S5269" s="150"/>
    </row>
    <row r="5270" spans="1:19">
      <c r="A5270" s="149" t="s">
        <v>7545</v>
      </c>
      <c r="B5270" s="150" t="str">
        <f>IFERROR(VLOOKUP(Proc[[#This Row],[App]],Table2[],3,0),"open")</f>
        <v>open</v>
      </c>
      <c r="C5270" s="149" t="s">
        <v>370</v>
      </c>
      <c r="D5270" t="s">
        <v>7571</v>
      </c>
      <c r="E5270" t="s">
        <v>7646</v>
      </c>
      <c r="F5270" s="150" t="s">
        <v>7721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7379</v>
      </c>
      <c r="J5270" s="150" t="b">
        <f>Proc[[#This Row],[Requested]]=Proc[[#This Row],[CurrentParent]]</f>
        <v>0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6435</v>
      </c>
      <c r="M5270" s="178">
        <v>46037</v>
      </c>
      <c r="N5270" s="178"/>
      <c r="O5270" s="178"/>
      <c r="P5270" s="178" t="str">
        <f ca="1">IF(Proc[[#This Row],[DaysAgeing]]&gt;5,"yep","on track")</f>
        <v>on track</v>
      </c>
      <c r="Q5270" s="3">
        <f ca="1">IF(Proc[[#This Row],[DateClosed]]="",ABS(NETWORKDAYS(Proc[[#This Row],[DateOpened]],TODAY()))-1,ABS(NETWORKDAYS(Proc[[#This Row],[DateOpened]],Proc[[#This Row],[DateClosed]]))-1)</f>
        <v>2</v>
      </c>
      <c r="R5270" s="178" t="s">
        <v>5709</v>
      </c>
      <c r="S5270" s="150"/>
    </row>
    <row r="5271" spans="1:19">
      <c r="A5271" s="149" t="s">
        <v>7545</v>
      </c>
      <c r="B5271" s="150" t="str">
        <f>IFERROR(VLOOKUP(Proc[[#This Row],[App]],Table2[],3,0),"open")</f>
        <v>open</v>
      </c>
      <c r="C5271" s="149" t="s">
        <v>370</v>
      </c>
      <c r="D5271" t="s">
        <v>7572</v>
      </c>
      <c r="E5271" t="s">
        <v>7646</v>
      </c>
      <c r="F5271" s="150" t="s">
        <v>7721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7379</v>
      </c>
      <c r="J5271" s="150" t="b">
        <f>Proc[[#This Row],[Requested]]=Proc[[#This Row],[CurrentParent]]</f>
        <v>0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6435</v>
      </c>
      <c r="M5271" s="178">
        <v>46037</v>
      </c>
      <c r="N5271" s="178"/>
      <c r="O5271" s="178"/>
      <c r="P5271" s="178" t="str">
        <f ca="1">IF(Proc[[#This Row],[DaysAgeing]]&gt;5,"yep","on track")</f>
        <v>on track</v>
      </c>
      <c r="Q5271" s="3">
        <f ca="1">IF(Proc[[#This Row],[DateClosed]]="",ABS(NETWORKDAYS(Proc[[#This Row],[DateOpened]],TODAY()))-1,ABS(NETWORKDAYS(Proc[[#This Row],[DateOpened]],Proc[[#This Row],[DateClosed]]))-1)</f>
        <v>2</v>
      </c>
      <c r="R5271" s="178" t="s">
        <v>5709</v>
      </c>
      <c r="S5271" s="150"/>
    </row>
    <row r="5272" spans="1:19" hidden="1">
      <c r="A5272" s="149" t="s">
        <v>7545</v>
      </c>
      <c r="B5272" s="150" t="str">
        <f>IFERROR(VLOOKUP(Proc[[#This Row],[App]],Table2[],3,0),"open")</f>
        <v>open</v>
      </c>
      <c r="C5272" s="149" t="s">
        <v>377</v>
      </c>
      <c r="D5272" t="s">
        <v>7573</v>
      </c>
      <c r="E5272" t="s">
        <v>7646</v>
      </c>
      <c r="F5272" s="150" t="e">
        <v>#N/A</v>
      </c>
      <c r="G5272" s="149" t="s">
        <v>400</v>
      </c>
      <c r="H5272" s="150" t="str">
        <f>IF(Proc[[#This Row],[type]]="LFF (MDG-F)",MID(Proc[[#This Row],[Obj]],13,10),"")</f>
        <v/>
      </c>
      <c r="J5272" s="150" t="e">
        <f>Proc[[#This Row],[Requested]]=Proc[[#This Row],[CurrentParent]]</f>
        <v>#N/A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6435</v>
      </c>
      <c r="M5272" s="178">
        <v>46037</v>
      </c>
      <c r="N5272" s="178"/>
      <c r="O5272" s="178"/>
      <c r="P5272" s="178" t="str">
        <f ca="1">IF(Proc[[#This Row],[DaysAgeing]]&gt;5,"yep","on track")</f>
        <v>on track</v>
      </c>
      <c r="Q5272" s="3">
        <f ca="1">IF(Proc[[#This Row],[DateClosed]]="",ABS(NETWORKDAYS(Proc[[#This Row],[DateOpened]],TODAY()))-1,ABS(NETWORKDAYS(Proc[[#This Row],[DateOpened]],Proc[[#This Row],[DateClosed]]))-1)</f>
        <v>2</v>
      </c>
      <c r="R5272" s="178" t="s">
        <v>5709</v>
      </c>
      <c r="S5272" s="150"/>
    </row>
    <row r="5273" spans="1:19" hidden="1">
      <c r="A5273" s="149" t="s">
        <v>7545</v>
      </c>
      <c r="B5273" s="150" t="str">
        <f>IFERROR(VLOOKUP(Proc[[#This Row],[App]],Table2[],3,0),"open")</f>
        <v>open</v>
      </c>
      <c r="C5273" s="149" t="s">
        <v>377</v>
      </c>
      <c r="D5273" t="s">
        <v>7574</v>
      </c>
      <c r="E5273" t="s">
        <v>7646</v>
      </c>
      <c r="F5273" s="150" t="e">
        <v>#N/A</v>
      </c>
      <c r="G5273" s="149" t="s">
        <v>400</v>
      </c>
      <c r="H5273" s="150" t="str">
        <f>IF(Proc[[#This Row],[type]]="LFF (MDG-F)",MID(Proc[[#This Row],[Obj]],13,10),"")</f>
        <v/>
      </c>
      <c r="J5273" s="150" t="e">
        <f>Proc[[#This Row],[Requested]]=Proc[[#This Row],[CurrentParent]]</f>
        <v>#N/A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6435</v>
      </c>
      <c r="M5273" s="178">
        <v>46037</v>
      </c>
      <c r="N5273" s="178"/>
      <c r="O5273" s="178"/>
      <c r="P5273" s="178" t="str">
        <f ca="1">IF(Proc[[#This Row],[DaysAgeing]]&gt;5,"yep","on track")</f>
        <v>on track</v>
      </c>
      <c r="Q5273" s="3">
        <f ca="1">IF(Proc[[#This Row],[DateClosed]]="",ABS(NETWORKDAYS(Proc[[#This Row],[DateOpened]],TODAY()))-1,ABS(NETWORKDAYS(Proc[[#This Row],[DateOpened]],Proc[[#This Row],[DateClosed]]))-1)</f>
        <v>2</v>
      </c>
      <c r="R5273" s="178" t="s">
        <v>5709</v>
      </c>
      <c r="S5273" s="150"/>
    </row>
    <row r="5274" spans="1:19" hidden="1">
      <c r="A5274" s="149" t="s">
        <v>7545</v>
      </c>
      <c r="B5274" s="150" t="str">
        <f>IFERROR(VLOOKUP(Proc[[#This Row],[App]],Table2[],3,0),"open")</f>
        <v>open</v>
      </c>
      <c r="C5274" s="149" t="s">
        <v>377</v>
      </c>
      <c r="D5274" t="s">
        <v>7575</v>
      </c>
      <c r="E5274" t="s">
        <v>7646</v>
      </c>
      <c r="F5274" s="150" t="e">
        <v>#N/A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7379</v>
      </c>
      <c r="J5274" s="150" t="e">
        <f>Proc[[#This Row],[Requested]]=Proc[[#This Row],[CurrentParent]]</f>
        <v>#N/A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6435</v>
      </c>
      <c r="M5274" s="178">
        <v>46037</v>
      </c>
      <c r="N5274" s="178"/>
      <c r="O5274" s="178"/>
      <c r="P5274" s="178" t="str">
        <f ca="1">IF(Proc[[#This Row],[DaysAgeing]]&gt;5,"yep","on track")</f>
        <v>on track</v>
      </c>
      <c r="Q5274" s="3">
        <f ca="1">IF(Proc[[#This Row],[DateClosed]]="",ABS(NETWORKDAYS(Proc[[#This Row],[DateOpened]],TODAY()))-1,ABS(NETWORKDAYS(Proc[[#This Row],[DateOpened]],Proc[[#This Row],[DateClosed]]))-1)</f>
        <v>2</v>
      </c>
      <c r="R5274" s="178" t="s">
        <v>5709</v>
      </c>
      <c r="S5274" s="150"/>
    </row>
    <row r="5275" spans="1:19" hidden="1">
      <c r="A5275" s="149" t="s">
        <v>7545</v>
      </c>
      <c r="B5275" s="150" t="str">
        <f>IFERROR(VLOOKUP(Proc[[#This Row],[App]],Table2[],3,0),"open")</f>
        <v>open</v>
      </c>
      <c r="C5275" s="149" t="s">
        <v>377</v>
      </c>
      <c r="D5275" t="s">
        <v>7576</v>
      </c>
      <c r="E5275" t="s">
        <v>7646</v>
      </c>
      <c r="F5275" s="150" t="e">
        <v>#N/A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7379</v>
      </c>
      <c r="J5275" s="150" t="e">
        <f>Proc[[#This Row],[Requested]]=Proc[[#This Row],[CurrentParent]]</f>
        <v>#N/A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6435</v>
      </c>
      <c r="M5275" s="178">
        <v>46037</v>
      </c>
      <c r="N5275" s="178"/>
      <c r="O5275" s="178"/>
      <c r="P5275" s="178" t="str">
        <f ca="1">IF(Proc[[#This Row],[DaysAgeing]]&gt;5,"yep","on track")</f>
        <v>on track</v>
      </c>
      <c r="Q5275" s="3">
        <f ca="1">IF(Proc[[#This Row],[DateClosed]]="",ABS(NETWORKDAYS(Proc[[#This Row],[DateOpened]],TODAY()))-1,ABS(NETWORKDAYS(Proc[[#This Row],[DateOpened]],Proc[[#This Row],[DateClosed]]))-1)</f>
        <v>2</v>
      </c>
      <c r="R5275" s="178" t="s">
        <v>5709</v>
      </c>
      <c r="S5275" s="150"/>
    </row>
    <row r="5276" spans="1:19">
      <c r="A5276" s="149" t="s">
        <v>7545</v>
      </c>
      <c r="B5276" s="150" t="str">
        <f>IFERROR(VLOOKUP(Proc[[#This Row],[App]],Table2[],3,0),"open")</f>
        <v>open</v>
      </c>
      <c r="C5276" s="149" t="s">
        <v>370</v>
      </c>
      <c r="D5276" t="s">
        <v>7577</v>
      </c>
      <c r="E5276" t="s">
        <v>7646</v>
      </c>
      <c r="F5276" s="150" t="s">
        <v>7723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7379</v>
      </c>
      <c r="J5276" s="150" t="b">
        <f>Proc[[#This Row],[Requested]]=Proc[[#This Row],[CurrentParent]]</f>
        <v>0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6435</v>
      </c>
      <c r="M5276" s="178">
        <v>46037</v>
      </c>
      <c r="N5276" s="178"/>
      <c r="O5276" s="178"/>
      <c r="P5276" s="178" t="str">
        <f ca="1">IF(Proc[[#This Row],[DaysAgeing]]&gt;5,"yep","on track")</f>
        <v>on track</v>
      </c>
      <c r="Q5276" s="3">
        <f ca="1">IF(Proc[[#This Row],[DateClosed]]="",ABS(NETWORKDAYS(Proc[[#This Row],[DateOpened]],TODAY()))-1,ABS(NETWORKDAYS(Proc[[#This Row],[DateOpened]],Proc[[#This Row],[DateClosed]]))-1)</f>
        <v>2</v>
      </c>
      <c r="R5276" s="178" t="s">
        <v>5709</v>
      </c>
      <c r="S5276" s="150"/>
    </row>
    <row r="5277" spans="1:19" hidden="1">
      <c r="A5277" s="149" t="s">
        <v>7545</v>
      </c>
      <c r="B5277" s="150" t="str">
        <f>IFERROR(VLOOKUP(Proc[[#This Row],[App]],Table2[],3,0),"open")</f>
        <v>open</v>
      </c>
      <c r="C5277" s="149" t="s">
        <v>377</v>
      </c>
      <c r="D5277" t="s">
        <v>7578</v>
      </c>
      <c r="E5277" t="s">
        <v>7646</v>
      </c>
      <c r="F5277" s="150" t="e">
        <v>#N/A</v>
      </c>
      <c r="G5277" s="149" t="s">
        <v>400</v>
      </c>
      <c r="H5277" s="150" t="str">
        <f>IF(Proc[[#This Row],[type]]="LFF (MDG-F)",MID(Proc[[#This Row],[Obj]],13,10),"")</f>
        <v/>
      </c>
      <c r="J5277" s="150" t="e">
        <f>Proc[[#This Row],[Requested]]=Proc[[#This Row],[CurrentParent]]</f>
        <v>#N/A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6435</v>
      </c>
      <c r="M5277" s="178">
        <v>46037</v>
      </c>
      <c r="N5277" s="178"/>
      <c r="O5277" s="178"/>
      <c r="P5277" s="178" t="str">
        <f ca="1">IF(Proc[[#This Row],[DaysAgeing]]&gt;5,"yep","on track")</f>
        <v>on track</v>
      </c>
      <c r="Q5277" s="3">
        <f ca="1">IF(Proc[[#This Row],[DateClosed]]="",ABS(NETWORKDAYS(Proc[[#This Row],[DateOpened]],TODAY()))-1,ABS(NETWORKDAYS(Proc[[#This Row],[DateOpened]],Proc[[#This Row],[DateClosed]]))-1)</f>
        <v>2</v>
      </c>
      <c r="R5277" s="178" t="s">
        <v>5709</v>
      </c>
      <c r="S5277" s="150"/>
    </row>
    <row r="5278" spans="1:19" hidden="1">
      <c r="A5278" s="149" t="s">
        <v>7545</v>
      </c>
      <c r="B5278" s="150" t="str">
        <f>IFERROR(VLOOKUP(Proc[[#This Row],[App]],Table2[],3,0),"open")</f>
        <v>open</v>
      </c>
      <c r="C5278" s="149" t="s">
        <v>377</v>
      </c>
      <c r="D5278" t="s">
        <v>7579</v>
      </c>
      <c r="E5278" t="s">
        <v>7646</v>
      </c>
      <c r="F5278" s="150" t="e">
        <v>#N/A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7379</v>
      </c>
      <c r="J5278" s="150" t="e">
        <f>Proc[[#This Row],[Requested]]=Proc[[#This Row],[CurrentParent]]</f>
        <v>#N/A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6435</v>
      </c>
      <c r="M5278" s="178">
        <v>46037</v>
      </c>
      <c r="N5278" s="178"/>
      <c r="O5278" s="178"/>
      <c r="P5278" s="178" t="str">
        <f ca="1">IF(Proc[[#This Row],[DaysAgeing]]&gt;5,"yep","on track")</f>
        <v>on track</v>
      </c>
      <c r="Q5278" s="3">
        <f ca="1">IF(Proc[[#This Row],[DateClosed]]="",ABS(NETWORKDAYS(Proc[[#This Row],[DateOpened]],TODAY()))-1,ABS(NETWORKDAYS(Proc[[#This Row],[DateOpened]],Proc[[#This Row],[DateClosed]]))-1)</f>
        <v>2</v>
      </c>
      <c r="R5278" s="178" t="s">
        <v>5709</v>
      </c>
      <c r="S5278" s="150"/>
    </row>
    <row r="5279" spans="1:19" hidden="1">
      <c r="A5279" s="149" t="s">
        <v>7545</v>
      </c>
      <c r="B5279" s="150" t="str">
        <f>IFERROR(VLOOKUP(Proc[[#This Row],[App]],Table2[],3,0),"open")</f>
        <v>open</v>
      </c>
      <c r="C5279" s="149" t="s">
        <v>377</v>
      </c>
      <c r="D5279" t="s">
        <v>7580</v>
      </c>
      <c r="E5279" t="s">
        <v>7646</v>
      </c>
      <c r="F5279" s="150" t="e">
        <v>#N/A</v>
      </c>
      <c r="G5279" s="149" t="s">
        <v>400</v>
      </c>
      <c r="H5279" s="150" t="str">
        <f>IF(Proc[[#This Row],[type]]="LFF (MDG-F)",MID(Proc[[#This Row],[Obj]],13,10),"")</f>
        <v/>
      </c>
      <c r="J5279" s="150" t="e">
        <f>Proc[[#This Row],[Requested]]=Proc[[#This Row],[CurrentParent]]</f>
        <v>#N/A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6435</v>
      </c>
      <c r="M5279" s="178">
        <v>46037</v>
      </c>
      <c r="N5279" s="178"/>
      <c r="O5279" s="178"/>
      <c r="P5279" s="178" t="str">
        <f ca="1">IF(Proc[[#This Row],[DaysAgeing]]&gt;5,"yep","on track")</f>
        <v>on track</v>
      </c>
      <c r="Q5279" s="3">
        <f ca="1">IF(Proc[[#This Row],[DateClosed]]="",ABS(NETWORKDAYS(Proc[[#This Row],[DateOpened]],TODAY()))-1,ABS(NETWORKDAYS(Proc[[#This Row],[DateOpened]],Proc[[#This Row],[DateClosed]]))-1)</f>
        <v>2</v>
      </c>
      <c r="R5279" s="178" t="s">
        <v>5709</v>
      </c>
      <c r="S5279" s="150"/>
    </row>
    <row r="5280" spans="1:19" hidden="1">
      <c r="A5280" s="149" t="s">
        <v>7545</v>
      </c>
      <c r="B5280" s="150" t="str">
        <f>IFERROR(VLOOKUP(Proc[[#This Row],[App]],Table2[],3,0),"open")</f>
        <v>open</v>
      </c>
      <c r="C5280" s="149" t="s">
        <v>377</v>
      </c>
      <c r="D5280" t="s">
        <v>7581</v>
      </c>
      <c r="E5280" t="s">
        <v>7646</v>
      </c>
      <c r="F5280" s="150" t="e">
        <v>#N/A</v>
      </c>
      <c r="G5280" s="149" t="s">
        <v>400</v>
      </c>
      <c r="H5280" s="150" t="str">
        <f>IF(Proc[[#This Row],[type]]="LFF (MDG-F)",MID(Proc[[#This Row],[Obj]],13,10),"")</f>
        <v/>
      </c>
      <c r="J5280" s="150" t="e">
        <f>Proc[[#This Row],[Requested]]=Proc[[#This Row],[CurrentParent]]</f>
        <v>#N/A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6435</v>
      </c>
      <c r="M5280" s="178">
        <v>46037</v>
      </c>
      <c r="N5280" s="178"/>
      <c r="O5280" s="178"/>
      <c r="P5280" s="178" t="str">
        <f ca="1">IF(Proc[[#This Row],[DaysAgeing]]&gt;5,"yep","on track")</f>
        <v>on track</v>
      </c>
      <c r="Q5280" s="3">
        <f ca="1">IF(Proc[[#This Row],[DateClosed]]="",ABS(NETWORKDAYS(Proc[[#This Row],[DateOpened]],TODAY()))-1,ABS(NETWORKDAYS(Proc[[#This Row],[DateOpened]],Proc[[#This Row],[DateClosed]]))-1)</f>
        <v>2</v>
      </c>
      <c r="R5280" s="178" t="s">
        <v>5709</v>
      </c>
      <c r="S5280" s="150"/>
    </row>
    <row r="5281" spans="1:19" hidden="1">
      <c r="A5281" s="149" t="s">
        <v>7545</v>
      </c>
      <c r="B5281" s="150" t="str">
        <f>IFERROR(VLOOKUP(Proc[[#This Row],[App]],Table2[],3,0),"open")</f>
        <v>open</v>
      </c>
      <c r="C5281" s="149" t="s">
        <v>377</v>
      </c>
      <c r="D5281" t="s">
        <v>7582</v>
      </c>
      <c r="E5281" t="s">
        <v>7646</v>
      </c>
      <c r="F5281" s="150" t="e">
        <v>#N/A</v>
      </c>
      <c r="G5281" s="149" t="s">
        <v>400</v>
      </c>
      <c r="H5281" s="150" t="str">
        <f>IF(Proc[[#This Row],[type]]="LFF (MDG-F)",MID(Proc[[#This Row],[Obj]],13,10),"")</f>
        <v/>
      </c>
      <c r="J5281" s="150" t="e">
        <f>Proc[[#This Row],[Requested]]=Proc[[#This Row],[CurrentParent]]</f>
        <v>#N/A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6435</v>
      </c>
      <c r="M5281" s="178">
        <v>46037</v>
      </c>
      <c r="N5281" s="178"/>
      <c r="O5281" s="178"/>
      <c r="P5281" s="178" t="str">
        <f ca="1">IF(Proc[[#This Row],[DaysAgeing]]&gt;5,"yep","on track")</f>
        <v>on track</v>
      </c>
      <c r="Q5281" s="3">
        <f ca="1">IF(Proc[[#This Row],[DateClosed]]="",ABS(NETWORKDAYS(Proc[[#This Row],[DateOpened]],TODAY()))-1,ABS(NETWORKDAYS(Proc[[#This Row],[DateOpened]],Proc[[#This Row],[DateClosed]]))-1)</f>
        <v>2</v>
      </c>
      <c r="R5281" s="178" t="s">
        <v>5709</v>
      </c>
      <c r="S5281" s="150"/>
    </row>
    <row r="5282" spans="1:19" hidden="1">
      <c r="A5282" s="149" t="s">
        <v>7545</v>
      </c>
      <c r="B5282" s="150" t="str">
        <f>IFERROR(VLOOKUP(Proc[[#This Row],[App]],Table2[],3,0),"open")</f>
        <v>open</v>
      </c>
      <c r="C5282" s="149" t="s">
        <v>377</v>
      </c>
      <c r="D5282" t="s">
        <v>7583</v>
      </c>
      <c r="E5282" t="s">
        <v>7646</v>
      </c>
      <c r="F5282" s="150" t="e">
        <v>#N/A</v>
      </c>
      <c r="G5282" s="149" t="s">
        <v>400</v>
      </c>
      <c r="H5282" s="150" t="str">
        <f>IF(Proc[[#This Row],[type]]="LFF (MDG-F)",MID(Proc[[#This Row],[Obj]],13,10),"")</f>
        <v/>
      </c>
      <c r="J5282" s="150" t="e">
        <f>Proc[[#This Row],[Requested]]=Proc[[#This Row],[CurrentParent]]</f>
        <v>#N/A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6435</v>
      </c>
      <c r="M5282" s="178">
        <v>46037</v>
      </c>
      <c r="N5282" s="178"/>
      <c r="O5282" s="178"/>
      <c r="P5282" s="178" t="str">
        <f ca="1">IF(Proc[[#This Row],[DaysAgeing]]&gt;5,"yep","on track")</f>
        <v>on track</v>
      </c>
      <c r="Q5282" s="3">
        <f ca="1">IF(Proc[[#This Row],[DateClosed]]="",ABS(NETWORKDAYS(Proc[[#This Row],[DateOpened]],TODAY()))-1,ABS(NETWORKDAYS(Proc[[#This Row],[DateOpened]],Proc[[#This Row],[DateClosed]]))-1)</f>
        <v>2</v>
      </c>
      <c r="R5282" s="178" t="s">
        <v>5709</v>
      </c>
      <c r="S5282" s="150"/>
    </row>
    <row r="5283" spans="1:19" hidden="1">
      <c r="A5283" s="149" t="s">
        <v>7545</v>
      </c>
      <c r="B5283" s="150" t="str">
        <f>IFERROR(VLOOKUP(Proc[[#This Row],[App]],Table2[],3,0),"open")</f>
        <v>open</v>
      </c>
      <c r="C5283" s="149" t="s">
        <v>377</v>
      </c>
      <c r="D5283" t="s">
        <v>7584</v>
      </c>
      <c r="E5283" t="s">
        <v>7646</v>
      </c>
      <c r="F5283" s="150" t="e">
        <v>#N/A</v>
      </c>
      <c r="G5283" s="149" t="s">
        <v>400</v>
      </c>
      <c r="H5283" s="150" t="str">
        <f>IF(Proc[[#This Row],[type]]="LFF (MDG-F)",MID(Proc[[#This Row],[Obj]],13,10),"")</f>
        <v/>
      </c>
      <c r="J5283" s="150" t="e">
        <f>Proc[[#This Row],[Requested]]=Proc[[#This Row],[CurrentParent]]</f>
        <v>#N/A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6435</v>
      </c>
      <c r="M5283" s="178">
        <v>46037</v>
      </c>
      <c r="N5283" s="178"/>
      <c r="O5283" s="178"/>
      <c r="P5283" s="178" t="str">
        <f ca="1">IF(Proc[[#This Row],[DaysAgeing]]&gt;5,"yep","on track")</f>
        <v>on track</v>
      </c>
      <c r="Q5283" s="3">
        <f ca="1">IF(Proc[[#This Row],[DateClosed]]="",ABS(NETWORKDAYS(Proc[[#This Row],[DateOpened]],TODAY()))-1,ABS(NETWORKDAYS(Proc[[#This Row],[DateOpened]],Proc[[#This Row],[DateClosed]]))-1)</f>
        <v>2</v>
      </c>
      <c r="R5283" s="178" t="s">
        <v>5709</v>
      </c>
      <c r="S5283" s="150"/>
    </row>
    <row r="5284" spans="1:19" hidden="1">
      <c r="A5284" s="149" t="s">
        <v>7545</v>
      </c>
      <c r="B5284" s="150" t="str">
        <f>IFERROR(VLOOKUP(Proc[[#This Row],[App]],Table2[],3,0),"open")</f>
        <v>open</v>
      </c>
      <c r="C5284" s="149" t="s">
        <v>377</v>
      </c>
      <c r="D5284" t="s">
        <v>7585</v>
      </c>
      <c r="E5284" t="s">
        <v>7646</v>
      </c>
      <c r="F5284" s="150" t="e">
        <v>#N/A</v>
      </c>
      <c r="G5284" s="149" t="s">
        <v>400</v>
      </c>
      <c r="H5284" s="150" t="str">
        <f>IF(Proc[[#This Row],[type]]="LFF (MDG-F)",MID(Proc[[#This Row],[Obj]],13,10),"")</f>
        <v/>
      </c>
      <c r="J5284" s="150" t="e">
        <f>Proc[[#This Row],[Requested]]=Proc[[#This Row],[CurrentParent]]</f>
        <v>#N/A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6435</v>
      </c>
      <c r="M5284" s="178">
        <v>46037</v>
      </c>
      <c r="N5284" s="178"/>
      <c r="O5284" s="178"/>
      <c r="P5284" s="178" t="str">
        <f ca="1">IF(Proc[[#This Row],[DaysAgeing]]&gt;5,"yep","on track")</f>
        <v>on track</v>
      </c>
      <c r="Q5284" s="3">
        <f ca="1">IF(Proc[[#This Row],[DateClosed]]="",ABS(NETWORKDAYS(Proc[[#This Row],[DateOpened]],TODAY()))-1,ABS(NETWORKDAYS(Proc[[#This Row],[DateOpened]],Proc[[#This Row],[DateClosed]]))-1)</f>
        <v>2</v>
      </c>
      <c r="R5284" s="178" t="s">
        <v>5709</v>
      </c>
      <c r="S5284" s="150"/>
    </row>
    <row r="5285" spans="1:19" hidden="1">
      <c r="A5285" s="149" t="s">
        <v>7545</v>
      </c>
      <c r="B5285" s="150" t="str">
        <f>IFERROR(VLOOKUP(Proc[[#This Row],[App]],Table2[],3,0),"open")</f>
        <v>open</v>
      </c>
      <c r="C5285" s="149" t="s">
        <v>377</v>
      </c>
      <c r="D5285" t="s">
        <v>7586</v>
      </c>
      <c r="E5285" t="s">
        <v>7646</v>
      </c>
      <c r="F5285" s="150" t="e">
        <v>#N/A</v>
      </c>
      <c r="G5285" s="149" t="s">
        <v>400</v>
      </c>
      <c r="H5285" s="150" t="str">
        <f>IF(Proc[[#This Row],[type]]="LFF (MDG-F)",MID(Proc[[#This Row],[Obj]],13,10),"")</f>
        <v/>
      </c>
      <c r="J5285" s="150" t="e">
        <f>Proc[[#This Row],[Requested]]=Proc[[#This Row],[CurrentParent]]</f>
        <v>#N/A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6435</v>
      </c>
      <c r="M5285" s="178">
        <v>46037</v>
      </c>
      <c r="N5285" s="178"/>
      <c r="O5285" s="178"/>
      <c r="P5285" s="178" t="str">
        <f ca="1">IF(Proc[[#This Row],[DaysAgeing]]&gt;5,"yep","on track")</f>
        <v>on track</v>
      </c>
      <c r="Q5285" s="3">
        <f ca="1">IF(Proc[[#This Row],[DateClosed]]="",ABS(NETWORKDAYS(Proc[[#This Row],[DateOpened]],TODAY()))-1,ABS(NETWORKDAYS(Proc[[#This Row],[DateOpened]],Proc[[#This Row],[DateClosed]]))-1)</f>
        <v>2</v>
      </c>
      <c r="R5285" s="178" t="s">
        <v>5709</v>
      </c>
      <c r="S5285" s="150"/>
    </row>
    <row r="5286" spans="1:19" hidden="1">
      <c r="A5286" s="149" t="s">
        <v>7545</v>
      </c>
      <c r="B5286" s="150" t="str">
        <f>IFERROR(VLOOKUP(Proc[[#This Row],[App]],Table2[],3,0),"open")</f>
        <v>open</v>
      </c>
      <c r="C5286" s="149" t="s">
        <v>377</v>
      </c>
      <c r="D5286" t="s">
        <v>7587</v>
      </c>
      <c r="E5286" t="s">
        <v>7646</v>
      </c>
      <c r="F5286" s="150" t="e">
        <v>#N/A</v>
      </c>
      <c r="G5286" s="149" t="s">
        <v>400</v>
      </c>
      <c r="H5286" s="150" t="str">
        <f>IF(Proc[[#This Row],[type]]="LFF (MDG-F)",MID(Proc[[#This Row],[Obj]],13,10),"")</f>
        <v/>
      </c>
      <c r="J5286" s="150" t="e">
        <f>Proc[[#This Row],[Requested]]=Proc[[#This Row],[CurrentParent]]</f>
        <v>#N/A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6435</v>
      </c>
      <c r="M5286" s="178">
        <v>46037</v>
      </c>
      <c r="N5286" s="178"/>
      <c r="O5286" s="178"/>
      <c r="P5286" s="178" t="str">
        <f ca="1">IF(Proc[[#This Row],[DaysAgeing]]&gt;5,"yep","on track")</f>
        <v>on track</v>
      </c>
      <c r="Q5286" s="3">
        <f ca="1">IF(Proc[[#This Row],[DateClosed]]="",ABS(NETWORKDAYS(Proc[[#This Row],[DateOpened]],TODAY()))-1,ABS(NETWORKDAYS(Proc[[#This Row],[DateOpened]],Proc[[#This Row],[DateClosed]]))-1)</f>
        <v>2</v>
      </c>
      <c r="R5286" s="178" t="s">
        <v>5709</v>
      </c>
      <c r="S5286" s="150"/>
    </row>
    <row r="5287" spans="1:19" hidden="1">
      <c r="A5287" s="149" t="s">
        <v>7545</v>
      </c>
      <c r="B5287" s="150" t="str">
        <f>IFERROR(VLOOKUP(Proc[[#This Row],[App]],Table2[],3,0),"open")</f>
        <v>open</v>
      </c>
      <c r="C5287" s="149" t="s">
        <v>377</v>
      </c>
      <c r="D5287" t="s">
        <v>7588</v>
      </c>
      <c r="E5287" t="s">
        <v>7646</v>
      </c>
      <c r="F5287" s="150" t="e">
        <v>#N/A</v>
      </c>
      <c r="G5287" s="149" t="s">
        <v>400</v>
      </c>
      <c r="H5287" s="150" t="str">
        <f>IF(Proc[[#This Row],[type]]="LFF (MDG-F)",MID(Proc[[#This Row],[Obj]],13,10),"")</f>
        <v/>
      </c>
      <c r="J5287" s="150" t="e">
        <f>Proc[[#This Row],[Requested]]=Proc[[#This Row],[CurrentParent]]</f>
        <v>#N/A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6435</v>
      </c>
      <c r="M5287" s="178">
        <v>46037</v>
      </c>
      <c r="N5287" s="178"/>
      <c r="O5287" s="178"/>
      <c r="P5287" s="178" t="str">
        <f ca="1">IF(Proc[[#This Row],[DaysAgeing]]&gt;5,"yep","on track")</f>
        <v>on track</v>
      </c>
      <c r="Q5287" s="3">
        <f ca="1">IF(Proc[[#This Row],[DateClosed]]="",ABS(NETWORKDAYS(Proc[[#This Row],[DateOpened]],TODAY()))-1,ABS(NETWORKDAYS(Proc[[#This Row],[DateOpened]],Proc[[#This Row],[DateClosed]]))-1)</f>
        <v>2</v>
      </c>
      <c r="R5287" s="178" t="s">
        <v>5709</v>
      </c>
      <c r="S5287" s="150"/>
    </row>
    <row r="5288" spans="1:19" hidden="1">
      <c r="A5288" s="149" t="s">
        <v>7545</v>
      </c>
      <c r="B5288" s="150" t="str">
        <f>IFERROR(VLOOKUP(Proc[[#This Row],[App]],Table2[],3,0),"open")</f>
        <v>open</v>
      </c>
      <c r="C5288" s="149" t="s">
        <v>377</v>
      </c>
      <c r="D5288" t="s">
        <v>7589</v>
      </c>
      <c r="E5288" t="s">
        <v>7646</v>
      </c>
      <c r="F5288" s="150" t="e">
        <v>#N/A</v>
      </c>
      <c r="G5288" s="149" t="s">
        <v>400</v>
      </c>
      <c r="H5288" s="150" t="str">
        <f>IF(Proc[[#This Row],[type]]="LFF (MDG-F)",MID(Proc[[#This Row],[Obj]],13,10),"")</f>
        <v/>
      </c>
      <c r="J5288" s="150" t="e">
        <f>Proc[[#This Row],[Requested]]=Proc[[#This Row],[CurrentParent]]</f>
        <v>#N/A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6435</v>
      </c>
      <c r="M5288" s="178">
        <v>46037</v>
      </c>
      <c r="N5288" s="178"/>
      <c r="O5288" s="178"/>
      <c r="P5288" s="178" t="str">
        <f ca="1">IF(Proc[[#This Row],[DaysAgeing]]&gt;5,"yep","on track")</f>
        <v>on track</v>
      </c>
      <c r="Q5288" s="3">
        <f ca="1">IF(Proc[[#This Row],[DateClosed]]="",ABS(NETWORKDAYS(Proc[[#This Row],[DateOpened]],TODAY()))-1,ABS(NETWORKDAYS(Proc[[#This Row],[DateOpened]],Proc[[#This Row],[DateClosed]]))-1)</f>
        <v>2</v>
      </c>
      <c r="R5288" s="178" t="s">
        <v>5709</v>
      </c>
      <c r="S5288" s="150"/>
    </row>
    <row r="5289" spans="1:19" hidden="1">
      <c r="A5289" s="149" t="s">
        <v>7545</v>
      </c>
      <c r="B5289" s="150" t="str">
        <f>IFERROR(VLOOKUP(Proc[[#This Row],[App]],Table2[],3,0),"open")</f>
        <v>open</v>
      </c>
      <c r="C5289" s="149" t="s">
        <v>377</v>
      </c>
      <c r="D5289" t="s">
        <v>7590</v>
      </c>
      <c r="E5289" t="s">
        <v>7646</v>
      </c>
      <c r="F5289" s="150" t="e">
        <v>#N/A</v>
      </c>
      <c r="G5289" s="149" t="s">
        <v>400</v>
      </c>
      <c r="H5289" s="150" t="str">
        <f>IF(Proc[[#This Row],[type]]="LFF (MDG-F)",MID(Proc[[#This Row],[Obj]],13,10),"")</f>
        <v/>
      </c>
      <c r="J5289" s="150" t="e">
        <f>Proc[[#This Row],[Requested]]=Proc[[#This Row],[CurrentParent]]</f>
        <v>#N/A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6435</v>
      </c>
      <c r="M5289" s="178">
        <v>46037</v>
      </c>
      <c r="N5289" s="178"/>
      <c r="O5289" s="178"/>
      <c r="P5289" s="178" t="str">
        <f ca="1">IF(Proc[[#This Row],[DaysAgeing]]&gt;5,"yep","on track")</f>
        <v>on track</v>
      </c>
      <c r="Q5289" s="3">
        <f ca="1">IF(Proc[[#This Row],[DateClosed]]="",ABS(NETWORKDAYS(Proc[[#This Row],[DateOpened]],TODAY()))-1,ABS(NETWORKDAYS(Proc[[#This Row],[DateOpened]],Proc[[#This Row],[DateClosed]]))-1)</f>
        <v>2</v>
      </c>
      <c r="R5289" s="178" t="s">
        <v>5709</v>
      </c>
      <c r="S5289" s="150"/>
    </row>
    <row r="5290" spans="1:19" hidden="1">
      <c r="A5290" s="149" t="s">
        <v>7545</v>
      </c>
      <c r="B5290" s="150" t="str">
        <f>IFERROR(VLOOKUP(Proc[[#This Row],[App]],Table2[],3,0),"open")</f>
        <v>open</v>
      </c>
      <c r="C5290" s="149" t="s">
        <v>377</v>
      </c>
      <c r="D5290" t="s">
        <v>7591</v>
      </c>
      <c r="E5290" t="s">
        <v>7646</v>
      </c>
      <c r="F5290" s="150" t="e">
        <v>#N/A</v>
      </c>
      <c r="G5290" s="149" t="s">
        <v>400</v>
      </c>
      <c r="H5290" s="150" t="str">
        <f>IF(Proc[[#This Row],[type]]="LFF (MDG-F)",MID(Proc[[#This Row],[Obj]],13,10),"")</f>
        <v/>
      </c>
      <c r="J5290" s="150" t="e">
        <f>Proc[[#This Row],[Requested]]=Proc[[#This Row],[CurrentParent]]</f>
        <v>#N/A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6435</v>
      </c>
      <c r="M5290" s="178">
        <v>46037</v>
      </c>
      <c r="N5290" s="178"/>
      <c r="O5290" s="178"/>
      <c r="P5290" s="178" t="str">
        <f ca="1">IF(Proc[[#This Row],[DaysAgeing]]&gt;5,"yep","on track")</f>
        <v>on track</v>
      </c>
      <c r="Q5290" s="3">
        <f ca="1">IF(Proc[[#This Row],[DateClosed]]="",ABS(NETWORKDAYS(Proc[[#This Row],[DateOpened]],TODAY()))-1,ABS(NETWORKDAYS(Proc[[#This Row],[DateOpened]],Proc[[#This Row],[DateClosed]]))-1)</f>
        <v>2</v>
      </c>
      <c r="R5290" s="178" t="s">
        <v>5709</v>
      </c>
      <c r="S5290" s="150"/>
    </row>
    <row r="5291" spans="1:19">
      <c r="A5291" s="149" t="s">
        <v>7545</v>
      </c>
      <c r="B5291" s="150" t="str">
        <f>IFERROR(VLOOKUP(Proc[[#This Row],[App]],Table2[],3,0),"open")</f>
        <v>open</v>
      </c>
      <c r="C5291" s="149" t="s">
        <v>370</v>
      </c>
      <c r="D5291" t="s">
        <v>7592</v>
      </c>
      <c r="E5291" t="s">
        <v>7646</v>
      </c>
      <c r="F5291" s="150" t="s">
        <v>7724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7379</v>
      </c>
      <c r="J5291" s="150" t="b">
        <f>Proc[[#This Row],[Requested]]=Proc[[#This Row],[CurrentParent]]</f>
        <v>0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6435</v>
      </c>
      <c r="M5291" s="178">
        <v>46037</v>
      </c>
      <c r="N5291" s="178"/>
      <c r="O5291" s="178"/>
      <c r="P5291" s="178" t="str">
        <f ca="1">IF(Proc[[#This Row],[DaysAgeing]]&gt;5,"yep","on track")</f>
        <v>on track</v>
      </c>
      <c r="Q5291" s="3">
        <f ca="1">IF(Proc[[#This Row],[DateClosed]]="",ABS(NETWORKDAYS(Proc[[#This Row],[DateOpened]],TODAY()))-1,ABS(NETWORKDAYS(Proc[[#This Row],[DateOpened]],Proc[[#This Row],[DateClosed]]))-1)</f>
        <v>2</v>
      </c>
      <c r="R5291" s="178" t="s">
        <v>5709</v>
      </c>
      <c r="S5291" s="150"/>
    </row>
    <row r="5292" spans="1:19">
      <c r="A5292" s="149" t="s">
        <v>7545</v>
      </c>
      <c r="B5292" s="150" t="str">
        <f>IFERROR(VLOOKUP(Proc[[#This Row],[App]],Table2[],3,0),"open")</f>
        <v>open</v>
      </c>
      <c r="C5292" s="149" t="s">
        <v>370</v>
      </c>
      <c r="D5292" t="s">
        <v>7593</v>
      </c>
      <c r="E5292" t="s">
        <v>7646</v>
      </c>
      <c r="F5292" s="150" t="s">
        <v>7725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7379</v>
      </c>
      <c r="J5292" s="150" t="b">
        <f>Proc[[#This Row],[Requested]]=Proc[[#This Row],[CurrentParent]]</f>
        <v>0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6435</v>
      </c>
      <c r="M5292" s="178">
        <v>46037</v>
      </c>
      <c r="N5292" s="178"/>
      <c r="O5292" s="178"/>
      <c r="P5292" s="178" t="str">
        <f ca="1">IF(Proc[[#This Row],[DaysAgeing]]&gt;5,"yep","on track")</f>
        <v>on track</v>
      </c>
      <c r="Q5292" s="3">
        <f ca="1">IF(Proc[[#This Row],[DateClosed]]="",ABS(NETWORKDAYS(Proc[[#This Row],[DateOpened]],TODAY()))-1,ABS(NETWORKDAYS(Proc[[#This Row],[DateOpened]],Proc[[#This Row],[DateClosed]]))-1)</f>
        <v>2</v>
      </c>
      <c r="R5292" s="178" t="s">
        <v>5709</v>
      </c>
      <c r="S5292" s="150"/>
    </row>
    <row r="5293" spans="1:19">
      <c r="A5293" s="149" t="s">
        <v>7545</v>
      </c>
      <c r="B5293" s="150" t="str">
        <f>IFERROR(VLOOKUP(Proc[[#This Row],[App]],Table2[],3,0),"open")</f>
        <v>open</v>
      </c>
      <c r="C5293" s="149" t="s">
        <v>370</v>
      </c>
      <c r="D5293" t="s">
        <v>7594</v>
      </c>
      <c r="E5293" t="s">
        <v>7646</v>
      </c>
      <c r="F5293" s="150" t="s">
        <v>7726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7379</v>
      </c>
      <c r="J5293" s="150" t="b">
        <f>Proc[[#This Row],[Requested]]=Proc[[#This Row],[CurrentParent]]</f>
        <v>0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6435</v>
      </c>
      <c r="M5293" s="178">
        <v>46037</v>
      </c>
      <c r="N5293" s="178"/>
      <c r="O5293" s="178"/>
      <c r="P5293" s="178" t="str">
        <f ca="1">IF(Proc[[#This Row],[DaysAgeing]]&gt;5,"yep","on track")</f>
        <v>on track</v>
      </c>
      <c r="Q5293" s="3">
        <f ca="1">IF(Proc[[#This Row],[DateClosed]]="",ABS(NETWORKDAYS(Proc[[#This Row],[DateOpened]],TODAY()))-1,ABS(NETWORKDAYS(Proc[[#This Row],[DateOpened]],Proc[[#This Row],[DateClosed]]))-1)</f>
        <v>2</v>
      </c>
      <c r="R5293" s="178" t="s">
        <v>5709</v>
      </c>
      <c r="S5293" s="150"/>
    </row>
    <row r="5294" spans="1:19">
      <c r="A5294" s="149" t="s">
        <v>7545</v>
      </c>
      <c r="B5294" s="150" t="str">
        <f>IFERROR(VLOOKUP(Proc[[#This Row],[App]],Table2[],3,0),"open")</f>
        <v>open</v>
      </c>
      <c r="C5294" s="149" t="s">
        <v>370</v>
      </c>
      <c r="D5294" t="s">
        <v>7595</v>
      </c>
      <c r="E5294" t="s">
        <v>7646</v>
      </c>
      <c r="F5294" s="150" t="s">
        <v>7727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7379</v>
      </c>
      <c r="J5294" s="150" t="b">
        <f>Proc[[#This Row],[Requested]]=Proc[[#This Row],[CurrentParent]]</f>
        <v>0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6435</v>
      </c>
      <c r="M5294" s="178">
        <v>46037</v>
      </c>
      <c r="N5294" s="178"/>
      <c r="O5294" s="178"/>
      <c r="P5294" s="178" t="str">
        <f ca="1">IF(Proc[[#This Row],[DaysAgeing]]&gt;5,"yep","on track")</f>
        <v>on track</v>
      </c>
      <c r="Q5294" s="3">
        <f ca="1">IF(Proc[[#This Row],[DateClosed]]="",ABS(NETWORKDAYS(Proc[[#This Row],[DateOpened]],TODAY()))-1,ABS(NETWORKDAYS(Proc[[#This Row],[DateOpened]],Proc[[#This Row],[DateClosed]]))-1)</f>
        <v>2</v>
      </c>
      <c r="R5294" s="178" t="s">
        <v>5709</v>
      </c>
      <c r="S5294" s="150"/>
    </row>
    <row r="5295" spans="1:19">
      <c r="A5295" s="149" t="s">
        <v>7545</v>
      </c>
      <c r="B5295" s="150" t="str">
        <f>IFERROR(VLOOKUP(Proc[[#This Row],[App]],Table2[],3,0),"open")</f>
        <v>open</v>
      </c>
      <c r="C5295" s="149" t="s">
        <v>370</v>
      </c>
      <c r="D5295" t="s">
        <v>7596</v>
      </c>
      <c r="E5295" t="s">
        <v>7646</v>
      </c>
      <c r="F5295" s="150" t="s">
        <v>7727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7379</v>
      </c>
      <c r="J5295" s="150" t="b">
        <f>Proc[[#This Row],[Requested]]=Proc[[#This Row],[CurrentParent]]</f>
        <v>0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6435</v>
      </c>
      <c r="M5295" s="178">
        <v>46037</v>
      </c>
      <c r="N5295" s="178"/>
      <c r="O5295" s="178"/>
      <c r="P5295" s="178" t="str">
        <f ca="1">IF(Proc[[#This Row],[DaysAgeing]]&gt;5,"yep","on track")</f>
        <v>on track</v>
      </c>
      <c r="Q5295" s="3">
        <f ca="1">IF(Proc[[#This Row],[DateClosed]]="",ABS(NETWORKDAYS(Proc[[#This Row],[DateOpened]],TODAY()))-1,ABS(NETWORKDAYS(Proc[[#This Row],[DateOpened]],Proc[[#This Row],[DateClosed]]))-1)</f>
        <v>2</v>
      </c>
      <c r="R5295" s="178" t="s">
        <v>5709</v>
      </c>
      <c r="S5295" s="150"/>
    </row>
    <row r="5296" spans="1:19">
      <c r="A5296" s="149" t="s">
        <v>7545</v>
      </c>
      <c r="B5296" s="150" t="str">
        <f>IFERROR(VLOOKUP(Proc[[#This Row],[App]],Table2[],3,0),"open")</f>
        <v>open</v>
      </c>
      <c r="C5296" s="149" t="s">
        <v>370</v>
      </c>
      <c r="D5296" t="s">
        <v>7597</v>
      </c>
      <c r="E5296" t="s">
        <v>7646</v>
      </c>
      <c r="F5296" s="150" t="s">
        <v>7727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7379</v>
      </c>
      <c r="J5296" s="150" t="b">
        <f>Proc[[#This Row],[Requested]]=Proc[[#This Row],[CurrentParent]]</f>
        <v>0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6435</v>
      </c>
      <c r="M5296" s="178">
        <v>46037</v>
      </c>
      <c r="N5296" s="178"/>
      <c r="O5296" s="178"/>
      <c r="P5296" s="178" t="str">
        <f ca="1">IF(Proc[[#This Row],[DaysAgeing]]&gt;5,"yep","on track")</f>
        <v>on track</v>
      </c>
      <c r="Q5296" s="3">
        <f ca="1">IF(Proc[[#This Row],[DateClosed]]="",ABS(NETWORKDAYS(Proc[[#This Row],[DateOpened]],TODAY()))-1,ABS(NETWORKDAYS(Proc[[#This Row],[DateOpened]],Proc[[#This Row],[DateClosed]]))-1)</f>
        <v>2</v>
      </c>
      <c r="R5296" s="178" t="s">
        <v>5709</v>
      </c>
      <c r="S5296" s="150"/>
    </row>
    <row r="5297" spans="1:19" hidden="1">
      <c r="A5297" s="149" t="s">
        <v>7545</v>
      </c>
      <c r="B5297" s="150" t="str">
        <f>IFERROR(VLOOKUP(Proc[[#This Row],[App]],Table2[],3,0),"open")</f>
        <v>open</v>
      </c>
      <c r="C5297" s="149" t="s">
        <v>377</v>
      </c>
      <c r="D5297" t="s">
        <v>7598</v>
      </c>
      <c r="E5297" t="s">
        <v>7646</v>
      </c>
      <c r="F5297" s="150" t="e">
        <v>#N/A</v>
      </c>
      <c r="G5297" s="149" t="s">
        <v>400</v>
      </c>
      <c r="H5297" s="150" t="str">
        <f>IF(Proc[[#This Row],[type]]="LFF (MDG-F)",MID(Proc[[#This Row],[Obj]],13,10),"")</f>
        <v/>
      </c>
      <c r="J5297" s="150" t="e">
        <f>Proc[[#This Row],[Requested]]=Proc[[#This Row],[CurrentParent]]</f>
        <v>#N/A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6435</v>
      </c>
      <c r="M5297" s="178">
        <v>46037</v>
      </c>
      <c r="N5297" s="178"/>
      <c r="O5297" s="178"/>
      <c r="P5297" s="178" t="str">
        <f ca="1">IF(Proc[[#This Row],[DaysAgeing]]&gt;5,"yep","on track")</f>
        <v>on track</v>
      </c>
      <c r="Q5297" s="3">
        <f ca="1">IF(Proc[[#This Row],[DateClosed]]="",ABS(NETWORKDAYS(Proc[[#This Row],[DateOpened]],TODAY()))-1,ABS(NETWORKDAYS(Proc[[#This Row],[DateOpened]],Proc[[#This Row],[DateClosed]]))-1)</f>
        <v>2</v>
      </c>
      <c r="R5297" s="178" t="s">
        <v>5709</v>
      </c>
      <c r="S5297" s="150"/>
    </row>
    <row r="5298" spans="1:19" hidden="1">
      <c r="A5298" s="149" t="s">
        <v>7545</v>
      </c>
      <c r="B5298" s="150" t="str">
        <f>IFERROR(VLOOKUP(Proc[[#This Row],[App]],Table2[],3,0),"open")</f>
        <v>open</v>
      </c>
      <c r="C5298" s="149" t="s">
        <v>377</v>
      </c>
      <c r="D5298" t="s">
        <v>7599</v>
      </c>
      <c r="E5298" t="s">
        <v>7646</v>
      </c>
      <c r="F5298" s="150" t="e">
        <v>#N/A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7379</v>
      </c>
      <c r="J5298" s="150" t="e">
        <f>Proc[[#This Row],[Requested]]=Proc[[#This Row],[CurrentParent]]</f>
        <v>#N/A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6435</v>
      </c>
      <c r="M5298" s="178">
        <v>46037</v>
      </c>
      <c r="N5298" s="178"/>
      <c r="O5298" s="178"/>
      <c r="P5298" s="178" t="str">
        <f ca="1">IF(Proc[[#This Row],[DaysAgeing]]&gt;5,"yep","on track")</f>
        <v>on track</v>
      </c>
      <c r="Q5298" s="3">
        <f ca="1">IF(Proc[[#This Row],[DateClosed]]="",ABS(NETWORKDAYS(Proc[[#This Row],[DateOpened]],TODAY()))-1,ABS(NETWORKDAYS(Proc[[#This Row],[DateOpened]],Proc[[#This Row],[DateClosed]]))-1)</f>
        <v>2</v>
      </c>
      <c r="R5298" s="178" t="s">
        <v>5709</v>
      </c>
      <c r="S5298" s="150"/>
    </row>
    <row r="5299" spans="1:19" hidden="1">
      <c r="A5299" s="149" t="s">
        <v>7545</v>
      </c>
      <c r="B5299" s="150" t="str">
        <f>IFERROR(VLOOKUP(Proc[[#This Row],[App]],Table2[],3,0),"open")</f>
        <v>open</v>
      </c>
      <c r="C5299" s="149" t="s">
        <v>377</v>
      </c>
      <c r="D5299" t="s">
        <v>7600</v>
      </c>
      <c r="E5299" t="s">
        <v>7646</v>
      </c>
      <c r="F5299" s="150" t="e">
        <v>#N/A</v>
      </c>
      <c r="G5299" s="149" t="s">
        <v>400</v>
      </c>
      <c r="H5299" s="150" t="str">
        <f>IF(Proc[[#This Row],[type]]="LFF (MDG-F)",MID(Proc[[#This Row],[Obj]],13,10),"")</f>
        <v/>
      </c>
      <c r="J5299" s="150" t="e">
        <f>Proc[[#This Row],[Requested]]=Proc[[#This Row],[CurrentParent]]</f>
        <v>#N/A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6435</v>
      </c>
      <c r="M5299" s="178">
        <v>46037</v>
      </c>
      <c r="N5299" s="178"/>
      <c r="O5299" s="178"/>
      <c r="P5299" s="178" t="str">
        <f ca="1">IF(Proc[[#This Row],[DaysAgeing]]&gt;5,"yep","on track")</f>
        <v>on track</v>
      </c>
      <c r="Q5299" s="3">
        <f ca="1">IF(Proc[[#This Row],[DateClosed]]="",ABS(NETWORKDAYS(Proc[[#This Row],[DateOpened]],TODAY()))-1,ABS(NETWORKDAYS(Proc[[#This Row],[DateOpened]],Proc[[#This Row],[DateClosed]]))-1)</f>
        <v>2</v>
      </c>
      <c r="R5299" s="178" t="s">
        <v>5709</v>
      </c>
      <c r="S5299" s="150"/>
    </row>
    <row r="5300" spans="1:19" hidden="1">
      <c r="A5300" s="149" t="s">
        <v>7545</v>
      </c>
      <c r="B5300" s="150" t="str">
        <f>IFERROR(VLOOKUP(Proc[[#This Row],[App]],Table2[],3,0),"open")</f>
        <v>open</v>
      </c>
      <c r="C5300" s="149" t="s">
        <v>377</v>
      </c>
      <c r="D5300" t="s">
        <v>7601</v>
      </c>
      <c r="E5300" t="s">
        <v>7646</v>
      </c>
      <c r="F5300" s="150" t="e">
        <v>#N/A</v>
      </c>
      <c r="G5300" s="149" t="s">
        <v>400</v>
      </c>
      <c r="H5300" s="150" t="str">
        <f>IF(Proc[[#This Row],[type]]="LFF (MDG-F)",MID(Proc[[#This Row],[Obj]],13,10),"")</f>
        <v/>
      </c>
      <c r="J5300" s="150" t="e">
        <f>Proc[[#This Row],[Requested]]=Proc[[#This Row],[CurrentParent]]</f>
        <v>#N/A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6435</v>
      </c>
      <c r="M5300" s="178">
        <v>46037</v>
      </c>
      <c r="N5300" s="178"/>
      <c r="O5300" s="178"/>
      <c r="P5300" s="178" t="str">
        <f ca="1">IF(Proc[[#This Row],[DaysAgeing]]&gt;5,"yep","on track")</f>
        <v>on track</v>
      </c>
      <c r="Q5300" s="3">
        <f ca="1">IF(Proc[[#This Row],[DateClosed]]="",ABS(NETWORKDAYS(Proc[[#This Row],[DateOpened]],TODAY()))-1,ABS(NETWORKDAYS(Proc[[#This Row],[DateOpened]],Proc[[#This Row],[DateClosed]]))-1)</f>
        <v>2</v>
      </c>
      <c r="R5300" s="178" t="s">
        <v>5709</v>
      </c>
      <c r="S5300" s="150"/>
    </row>
    <row r="5301" spans="1:19" hidden="1">
      <c r="A5301" s="149" t="s">
        <v>7545</v>
      </c>
      <c r="B5301" s="150" t="str">
        <f>IFERROR(VLOOKUP(Proc[[#This Row],[App]],Table2[],3,0),"open")</f>
        <v>open</v>
      </c>
      <c r="C5301" s="149" t="s">
        <v>377</v>
      </c>
      <c r="D5301" t="s">
        <v>7602</v>
      </c>
      <c r="E5301" t="s">
        <v>7646</v>
      </c>
      <c r="F5301" s="150" t="e">
        <v>#N/A</v>
      </c>
      <c r="G5301" s="149" t="s">
        <v>400</v>
      </c>
      <c r="H5301" s="150" t="str">
        <f>IF(Proc[[#This Row],[type]]="LFF (MDG-F)",MID(Proc[[#This Row],[Obj]],13,10),"")</f>
        <v/>
      </c>
      <c r="J5301" s="150" t="e">
        <f>Proc[[#This Row],[Requested]]=Proc[[#This Row],[CurrentParent]]</f>
        <v>#N/A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6435</v>
      </c>
      <c r="M5301" s="178">
        <v>46037</v>
      </c>
      <c r="N5301" s="178"/>
      <c r="O5301" s="178"/>
      <c r="P5301" s="178" t="str">
        <f ca="1">IF(Proc[[#This Row],[DaysAgeing]]&gt;5,"yep","on track")</f>
        <v>on track</v>
      </c>
      <c r="Q5301" s="3">
        <f ca="1">IF(Proc[[#This Row],[DateClosed]]="",ABS(NETWORKDAYS(Proc[[#This Row],[DateOpened]],TODAY()))-1,ABS(NETWORKDAYS(Proc[[#This Row],[DateOpened]],Proc[[#This Row],[DateClosed]]))-1)</f>
        <v>2</v>
      </c>
      <c r="R5301" s="178" t="s">
        <v>5709</v>
      </c>
      <c r="S5301" s="150"/>
    </row>
    <row r="5302" spans="1:19">
      <c r="A5302" s="149" t="s">
        <v>7545</v>
      </c>
      <c r="B5302" s="150" t="str">
        <f>IFERROR(VLOOKUP(Proc[[#This Row],[App]],Table2[],3,0),"open")</f>
        <v>open</v>
      </c>
      <c r="C5302" s="149" t="s">
        <v>370</v>
      </c>
      <c r="D5302" t="s">
        <v>7603</v>
      </c>
      <c r="E5302" t="s">
        <v>7646</v>
      </c>
      <c r="F5302" s="150" t="s">
        <v>7722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7379</v>
      </c>
      <c r="J5302" s="150" t="b">
        <f>Proc[[#This Row],[Requested]]=Proc[[#This Row],[CurrentParent]]</f>
        <v>0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6435</v>
      </c>
      <c r="M5302" s="178">
        <v>46037</v>
      </c>
      <c r="N5302" s="178"/>
      <c r="O5302" s="178"/>
      <c r="P5302" s="178" t="str">
        <f ca="1">IF(Proc[[#This Row],[DaysAgeing]]&gt;5,"yep","on track")</f>
        <v>on track</v>
      </c>
      <c r="Q5302" s="3">
        <f ca="1">IF(Proc[[#This Row],[DateClosed]]="",ABS(NETWORKDAYS(Proc[[#This Row],[DateOpened]],TODAY()))-1,ABS(NETWORKDAYS(Proc[[#This Row],[DateOpened]],Proc[[#This Row],[DateClosed]]))-1)</f>
        <v>2</v>
      </c>
      <c r="R5302" s="178" t="s">
        <v>5709</v>
      </c>
      <c r="S5302" s="150"/>
    </row>
    <row r="5303" spans="1:19">
      <c r="A5303" s="149" t="s">
        <v>7545</v>
      </c>
      <c r="B5303" s="150" t="str">
        <f>IFERROR(VLOOKUP(Proc[[#This Row],[App]],Table2[],3,0),"open")</f>
        <v>open</v>
      </c>
      <c r="C5303" s="149" t="s">
        <v>370</v>
      </c>
      <c r="D5303" t="s">
        <v>7604</v>
      </c>
      <c r="E5303" t="s">
        <v>7646</v>
      </c>
      <c r="F5303" s="150" t="s">
        <v>7722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7379</v>
      </c>
      <c r="J5303" s="150" t="b">
        <f>Proc[[#This Row],[Requested]]=Proc[[#This Row],[CurrentParent]]</f>
        <v>0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6435</v>
      </c>
      <c r="M5303" s="178">
        <v>46037</v>
      </c>
      <c r="N5303" s="178"/>
      <c r="O5303" s="178"/>
      <c r="P5303" s="178" t="str">
        <f ca="1">IF(Proc[[#This Row],[DaysAgeing]]&gt;5,"yep","on track")</f>
        <v>on track</v>
      </c>
      <c r="Q5303" s="3">
        <f ca="1">IF(Proc[[#This Row],[DateClosed]]="",ABS(NETWORKDAYS(Proc[[#This Row],[DateOpened]],TODAY()))-1,ABS(NETWORKDAYS(Proc[[#This Row],[DateOpened]],Proc[[#This Row],[DateClosed]]))-1)</f>
        <v>2</v>
      </c>
      <c r="R5303" s="178" t="s">
        <v>5709</v>
      </c>
      <c r="S5303" s="150"/>
    </row>
    <row r="5304" spans="1:19">
      <c r="A5304" s="149" t="s">
        <v>7545</v>
      </c>
      <c r="B5304" s="150" t="str">
        <f>IFERROR(VLOOKUP(Proc[[#This Row],[App]],Table2[],3,0),"open")</f>
        <v>open</v>
      </c>
      <c r="C5304" s="149" t="s">
        <v>370</v>
      </c>
      <c r="D5304" t="s">
        <v>7605</v>
      </c>
      <c r="E5304" t="s">
        <v>7646</v>
      </c>
      <c r="F5304" s="150" t="s">
        <v>7728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7379</v>
      </c>
      <c r="J5304" s="150" t="b">
        <f>Proc[[#This Row],[Requested]]=Proc[[#This Row],[CurrentParent]]</f>
        <v>0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6435</v>
      </c>
      <c r="M5304" s="178">
        <v>46037</v>
      </c>
      <c r="N5304" s="178"/>
      <c r="O5304" s="178"/>
      <c r="P5304" s="178" t="str">
        <f ca="1">IF(Proc[[#This Row],[DaysAgeing]]&gt;5,"yep","on track")</f>
        <v>on track</v>
      </c>
      <c r="Q5304" s="3">
        <f ca="1">IF(Proc[[#This Row],[DateClosed]]="",ABS(NETWORKDAYS(Proc[[#This Row],[DateOpened]],TODAY()))-1,ABS(NETWORKDAYS(Proc[[#This Row],[DateOpened]],Proc[[#This Row],[DateClosed]]))-1)</f>
        <v>2</v>
      </c>
      <c r="R5304" s="178" t="s">
        <v>5709</v>
      </c>
      <c r="S5304" s="150"/>
    </row>
    <row r="5305" spans="1:19">
      <c r="A5305" s="149" t="s">
        <v>7545</v>
      </c>
      <c r="B5305" s="150" t="str">
        <f>IFERROR(VLOOKUP(Proc[[#This Row],[App]],Table2[],3,0),"open")</f>
        <v>open</v>
      </c>
      <c r="C5305" s="149" t="s">
        <v>370</v>
      </c>
      <c r="D5305" t="s">
        <v>7606</v>
      </c>
      <c r="E5305" t="s">
        <v>7646</v>
      </c>
      <c r="F5305" s="150" t="s">
        <v>7729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7379</v>
      </c>
      <c r="J5305" s="150" t="b">
        <f>Proc[[#This Row],[Requested]]=Proc[[#This Row],[CurrentParent]]</f>
        <v>0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6435</v>
      </c>
      <c r="M5305" s="178">
        <v>46037</v>
      </c>
      <c r="N5305" s="178"/>
      <c r="O5305" s="178"/>
      <c r="P5305" s="178" t="str">
        <f ca="1">IF(Proc[[#This Row],[DaysAgeing]]&gt;5,"yep","on track")</f>
        <v>on track</v>
      </c>
      <c r="Q5305" s="3">
        <f ca="1">IF(Proc[[#This Row],[DateClosed]]="",ABS(NETWORKDAYS(Proc[[#This Row],[DateOpened]],TODAY()))-1,ABS(NETWORKDAYS(Proc[[#This Row],[DateOpened]],Proc[[#This Row],[DateClosed]]))-1)</f>
        <v>2</v>
      </c>
      <c r="R5305" s="178" t="s">
        <v>5709</v>
      </c>
      <c r="S5305" s="150"/>
    </row>
    <row r="5306" spans="1:19">
      <c r="A5306" s="149" t="s">
        <v>7545</v>
      </c>
      <c r="B5306" s="150" t="str">
        <f>IFERROR(VLOOKUP(Proc[[#This Row],[App]],Table2[],3,0),"open")</f>
        <v>open</v>
      </c>
      <c r="C5306" s="149" t="s">
        <v>370</v>
      </c>
      <c r="D5306" t="s">
        <v>7607</v>
      </c>
      <c r="E5306" t="s">
        <v>7646</v>
      </c>
      <c r="F5306" s="150" t="s">
        <v>7729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7379</v>
      </c>
      <c r="J5306" s="150" t="b">
        <f>Proc[[#This Row],[Requested]]=Proc[[#This Row],[CurrentParent]]</f>
        <v>0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6435</v>
      </c>
      <c r="M5306" s="178">
        <v>46037</v>
      </c>
      <c r="N5306" s="178"/>
      <c r="O5306" s="178"/>
      <c r="P5306" s="178" t="str">
        <f ca="1">IF(Proc[[#This Row],[DaysAgeing]]&gt;5,"yep","on track")</f>
        <v>on track</v>
      </c>
      <c r="Q5306" s="3">
        <f ca="1">IF(Proc[[#This Row],[DateClosed]]="",ABS(NETWORKDAYS(Proc[[#This Row],[DateOpened]],TODAY()))-1,ABS(NETWORKDAYS(Proc[[#This Row],[DateOpened]],Proc[[#This Row],[DateClosed]]))-1)</f>
        <v>2</v>
      </c>
      <c r="R5306" s="178" t="s">
        <v>5709</v>
      </c>
      <c r="S5306" s="150"/>
    </row>
    <row r="5307" spans="1:19" hidden="1">
      <c r="A5307" s="149" t="s">
        <v>7545</v>
      </c>
      <c r="B5307" s="150" t="str">
        <f>IFERROR(VLOOKUP(Proc[[#This Row],[App]],Table2[],3,0),"open")</f>
        <v>open</v>
      </c>
      <c r="C5307" s="149" t="s">
        <v>377</v>
      </c>
      <c r="D5307" t="s">
        <v>7608</v>
      </c>
      <c r="E5307" t="s">
        <v>7646</v>
      </c>
      <c r="F5307" s="150" t="e">
        <v>#N/A</v>
      </c>
      <c r="G5307" s="149" t="s">
        <v>400</v>
      </c>
      <c r="H5307" s="150" t="str">
        <f>IF(Proc[[#This Row],[type]]="LFF (MDG-F)",MID(Proc[[#This Row],[Obj]],13,10),"")</f>
        <v/>
      </c>
      <c r="J5307" s="150" t="e">
        <f>Proc[[#This Row],[Requested]]=Proc[[#This Row],[CurrentParent]]</f>
        <v>#N/A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6435</v>
      </c>
      <c r="M5307" s="178">
        <v>46037</v>
      </c>
      <c r="N5307" s="178"/>
      <c r="O5307" s="178"/>
      <c r="P5307" s="178" t="str">
        <f ca="1">IF(Proc[[#This Row],[DaysAgeing]]&gt;5,"yep","on track")</f>
        <v>on track</v>
      </c>
      <c r="Q5307" s="3">
        <f ca="1">IF(Proc[[#This Row],[DateClosed]]="",ABS(NETWORKDAYS(Proc[[#This Row],[DateOpened]],TODAY()))-1,ABS(NETWORKDAYS(Proc[[#This Row],[DateOpened]],Proc[[#This Row],[DateClosed]]))-1)</f>
        <v>2</v>
      </c>
      <c r="R5307" s="178" t="s">
        <v>5709</v>
      </c>
      <c r="S5307" s="150"/>
    </row>
    <row r="5308" spans="1:19" hidden="1">
      <c r="A5308" s="149" t="s">
        <v>7545</v>
      </c>
      <c r="B5308" s="150" t="str">
        <f>IFERROR(VLOOKUP(Proc[[#This Row],[App]],Table2[],3,0),"open")</f>
        <v>open</v>
      </c>
      <c r="C5308" s="149" t="s">
        <v>377</v>
      </c>
      <c r="D5308" t="s">
        <v>7609</v>
      </c>
      <c r="E5308" t="s">
        <v>7646</v>
      </c>
      <c r="F5308" s="150" t="e">
        <v>#N/A</v>
      </c>
      <c r="G5308" s="149" t="s">
        <v>400</v>
      </c>
      <c r="H5308" s="150" t="str">
        <f>IF(Proc[[#This Row],[type]]="LFF (MDG-F)",MID(Proc[[#This Row],[Obj]],13,10),"")</f>
        <v/>
      </c>
      <c r="J5308" s="150" t="e">
        <f>Proc[[#This Row],[Requested]]=Proc[[#This Row],[CurrentParent]]</f>
        <v>#N/A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6435</v>
      </c>
      <c r="M5308" s="178">
        <v>46037</v>
      </c>
      <c r="N5308" s="178"/>
      <c r="O5308" s="178"/>
      <c r="P5308" s="178" t="str">
        <f ca="1">IF(Proc[[#This Row],[DaysAgeing]]&gt;5,"yep","on track")</f>
        <v>on track</v>
      </c>
      <c r="Q5308" s="3">
        <f ca="1">IF(Proc[[#This Row],[DateClosed]]="",ABS(NETWORKDAYS(Proc[[#This Row],[DateOpened]],TODAY()))-1,ABS(NETWORKDAYS(Proc[[#This Row],[DateOpened]],Proc[[#This Row],[DateClosed]]))-1)</f>
        <v>2</v>
      </c>
      <c r="R5308" s="178" t="s">
        <v>5709</v>
      </c>
      <c r="S5308" s="150"/>
    </row>
    <row r="5309" spans="1:19">
      <c r="A5309" s="149" t="s">
        <v>7545</v>
      </c>
      <c r="B5309" s="150" t="str">
        <f>IFERROR(VLOOKUP(Proc[[#This Row],[App]],Table2[],3,0),"open")</f>
        <v>open</v>
      </c>
      <c r="C5309" s="149" t="s">
        <v>370</v>
      </c>
      <c r="D5309" t="s">
        <v>7610</v>
      </c>
      <c r="E5309" t="s">
        <v>7647</v>
      </c>
      <c r="F5309" s="150" t="s">
        <v>7730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7379</v>
      </c>
      <c r="J5309" s="150" t="b">
        <f>Proc[[#This Row],[Requested]]=Proc[[#This Row],[CurrentParent]]</f>
        <v>0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6435</v>
      </c>
      <c r="M5309" s="178">
        <v>46037</v>
      </c>
      <c r="N5309" s="178"/>
      <c r="O5309" s="178"/>
      <c r="P5309" s="178" t="str">
        <f ca="1">IF(Proc[[#This Row],[DaysAgeing]]&gt;5,"yep","on track")</f>
        <v>on track</v>
      </c>
      <c r="Q5309" s="3">
        <f ca="1">IF(Proc[[#This Row],[DateClosed]]="",ABS(NETWORKDAYS(Proc[[#This Row],[DateOpened]],TODAY()))-1,ABS(NETWORKDAYS(Proc[[#This Row],[DateOpened]],Proc[[#This Row],[DateClosed]]))-1)</f>
        <v>2</v>
      </c>
      <c r="R5309" s="178" t="s">
        <v>5709</v>
      </c>
      <c r="S5309" s="150"/>
    </row>
    <row r="5310" spans="1:19">
      <c r="A5310" s="149" t="s">
        <v>7545</v>
      </c>
      <c r="B5310" s="150" t="str">
        <f>IFERROR(VLOOKUP(Proc[[#This Row],[App]],Table2[],3,0),"open")</f>
        <v>open</v>
      </c>
      <c r="C5310" s="149" t="s">
        <v>370</v>
      </c>
      <c r="D5310" t="s">
        <v>7611</v>
      </c>
      <c r="E5310" t="s">
        <v>7647</v>
      </c>
      <c r="F5310" s="150" t="s">
        <v>7731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7379</v>
      </c>
      <c r="J5310" s="150" t="b">
        <f>Proc[[#This Row],[Requested]]=Proc[[#This Row],[CurrentParent]]</f>
        <v>0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6435</v>
      </c>
      <c r="M5310" s="178">
        <v>46037</v>
      </c>
      <c r="N5310" s="178"/>
      <c r="O5310" s="178"/>
      <c r="P5310" s="178" t="str">
        <f ca="1">IF(Proc[[#This Row],[DaysAgeing]]&gt;5,"yep","on track")</f>
        <v>on track</v>
      </c>
      <c r="Q5310" s="3">
        <f ca="1">IF(Proc[[#This Row],[DateClosed]]="",ABS(NETWORKDAYS(Proc[[#This Row],[DateOpened]],TODAY()))-1,ABS(NETWORKDAYS(Proc[[#This Row],[DateOpened]],Proc[[#This Row],[DateClosed]]))-1)</f>
        <v>2</v>
      </c>
      <c r="R5310" s="178" t="s">
        <v>5709</v>
      </c>
      <c r="S5310" s="150"/>
    </row>
    <row r="5311" spans="1:19">
      <c r="A5311" s="149" t="s">
        <v>7545</v>
      </c>
      <c r="B5311" s="150" t="str">
        <f>IFERROR(VLOOKUP(Proc[[#This Row],[App]],Table2[],3,0),"open")</f>
        <v>open</v>
      </c>
      <c r="C5311" s="149" t="s">
        <v>370</v>
      </c>
      <c r="D5311" t="s">
        <v>7612</v>
      </c>
      <c r="E5311" t="s">
        <v>7647</v>
      </c>
      <c r="F5311" s="150" t="s">
        <v>7731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7379</v>
      </c>
      <c r="J5311" s="150" t="b">
        <f>Proc[[#This Row],[Requested]]=Proc[[#This Row],[CurrentParent]]</f>
        <v>0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6435</v>
      </c>
      <c r="M5311" s="178">
        <v>46037</v>
      </c>
      <c r="N5311" s="178"/>
      <c r="O5311" s="178"/>
      <c r="P5311" s="178" t="str">
        <f ca="1">IF(Proc[[#This Row],[DaysAgeing]]&gt;5,"yep","on track")</f>
        <v>on track</v>
      </c>
      <c r="Q5311" s="3">
        <f ca="1">IF(Proc[[#This Row],[DateClosed]]="",ABS(NETWORKDAYS(Proc[[#This Row],[DateOpened]],TODAY()))-1,ABS(NETWORKDAYS(Proc[[#This Row],[DateOpened]],Proc[[#This Row],[DateClosed]]))-1)</f>
        <v>2</v>
      </c>
      <c r="R5311" s="178" t="s">
        <v>5709</v>
      </c>
      <c r="S5311" s="150"/>
    </row>
    <row r="5312" spans="1:19">
      <c r="A5312" s="149" t="s">
        <v>7545</v>
      </c>
      <c r="B5312" s="150" t="str">
        <f>IFERROR(VLOOKUP(Proc[[#This Row],[App]],Table2[],3,0),"open")</f>
        <v>open</v>
      </c>
      <c r="C5312" s="149" t="s">
        <v>370</v>
      </c>
      <c r="D5312" t="s">
        <v>7613</v>
      </c>
      <c r="E5312" t="s">
        <v>7647</v>
      </c>
      <c r="F5312" s="150" t="s">
        <v>7731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7379</v>
      </c>
      <c r="J5312" s="150" t="b">
        <f>Proc[[#This Row],[Requested]]=Proc[[#This Row],[CurrentParent]]</f>
        <v>0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6435</v>
      </c>
      <c r="M5312" s="178">
        <v>46037</v>
      </c>
      <c r="N5312" s="178"/>
      <c r="O5312" s="178"/>
      <c r="P5312" s="178" t="str">
        <f ca="1">IF(Proc[[#This Row],[DaysAgeing]]&gt;5,"yep","on track")</f>
        <v>on track</v>
      </c>
      <c r="Q5312" s="3">
        <f ca="1">IF(Proc[[#This Row],[DateClosed]]="",ABS(NETWORKDAYS(Proc[[#This Row],[DateOpened]],TODAY()))-1,ABS(NETWORKDAYS(Proc[[#This Row],[DateOpened]],Proc[[#This Row],[DateClosed]]))-1)</f>
        <v>2</v>
      </c>
      <c r="R5312" s="178" t="s">
        <v>5709</v>
      </c>
      <c r="S5312" s="150"/>
    </row>
    <row r="5313" spans="1:19">
      <c r="A5313" s="149" t="s">
        <v>7545</v>
      </c>
      <c r="B5313" s="150" t="str">
        <f>IFERROR(VLOOKUP(Proc[[#This Row],[App]],Table2[],3,0),"open")</f>
        <v>open</v>
      </c>
      <c r="C5313" s="149" t="s">
        <v>370</v>
      </c>
      <c r="D5313" t="s">
        <v>1994</v>
      </c>
      <c r="E5313" t="s">
        <v>7648</v>
      </c>
      <c r="F5313" s="150" t="s">
        <v>7644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7379</v>
      </c>
      <c r="J5313" s="150" t="b">
        <f>Proc[[#This Row],[Requested]]=Proc[[#This Row],[CurrentParent]]</f>
        <v>0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6435</v>
      </c>
      <c r="M5313" s="178">
        <v>46037</v>
      </c>
      <c r="N5313" s="178"/>
      <c r="O5313" s="178"/>
      <c r="P5313" s="178" t="str">
        <f ca="1">IF(Proc[[#This Row],[DaysAgeing]]&gt;5,"yep","on track")</f>
        <v>on track</v>
      </c>
      <c r="Q5313" s="3">
        <f ca="1">IF(Proc[[#This Row],[DateClosed]]="",ABS(NETWORKDAYS(Proc[[#This Row],[DateOpened]],TODAY()))-1,ABS(NETWORKDAYS(Proc[[#This Row],[DateOpened]],Proc[[#This Row],[DateClosed]]))-1)</f>
        <v>2</v>
      </c>
      <c r="R5313" s="178" t="s">
        <v>5709</v>
      </c>
      <c r="S5313" s="150"/>
    </row>
    <row r="5314" spans="1:19">
      <c r="A5314" s="149" t="s">
        <v>7545</v>
      </c>
      <c r="B5314" s="150" t="str">
        <f>IFERROR(VLOOKUP(Proc[[#This Row],[App]],Table2[],3,0),"open")</f>
        <v>open</v>
      </c>
      <c r="C5314" s="149" t="s">
        <v>370</v>
      </c>
      <c r="D5314" t="s">
        <v>1995</v>
      </c>
      <c r="E5314" t="s">
        <v>7648</v>
      </c>
      <c r="F5314" s="150" t="s">
        <v>7644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7379</v>
      </c>
      <c r="J5314" s="150" t="b">
        <f>Proc[[#This Row],[Requested]]=Proc[[#This Row],[CurrentParent]]</f>
        <v>0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6435</v>
      </c>
      <c r="M5314" s="178">
        <v>46037</v>
      </c>
      <c r="N5314" s="178"/>
      <c r="O5314" s="178"/>
      <c r="P5314" s="178" t="str">
        <f ca="1">IF(Proc[[#This Row],[DaysAgeing]]&gt;5,"yep","on track")</f>
        <v>on track</v>
      </c>
      <c r="Q5314" s="3">
        <f ca="1">IF(Proc[[#This Row],[DateClosed]]="",ABS(NETWORKDAYS(Proc[[#This Row],[DateOpened]],TODAY()))-1,ABS(NETWORKDAYS(Proc[[#This Row],[DateOpened]],Proc[[#This Row],[DateClosed]]))-1)</f>
        <v>2</v>
      </c>
      <c r="R5314" s="178" t="s">
        <v>5709</v>
      </c>
      <c r="S5314" s="150"/>
    </row>
    <row r="5315" spans="1:19">
      <c r="A5315" s="149" t="s">
        <v>7545</v>
      </c>
      <c r="B5315" s="150" t="str">
        <f>IFERROR(VLOOKUP(Proc[[#This Row],[App]],Table2[],3,0),"open")</f>
        <v>open</v>
      </c>
      <c r="C5315" s="149" t="s">
        <v>370</v>
      </c>
      <c r="D5315" t="s">
        <v>7614</v>
      </c>
      <c r="E5315" t="s">
        <v>7641</v>
      </c>
      <c r="F5315" s="150" t="s">
        <v>6264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7379</v>
      </c>
      <c r="J5315" s="150" t="b">
        <f>Proc[[#This Row],[Requested]]=Proc[[#This Row],[CurrentParent]]</f>
        <v>0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6435</v>
      </c>
      <c r="M5315" s="178">
        <v>46037</v>
      </c>
      <c r="N5315" s="178"/>
      <c r="O5315" s="178"/>
      <c r="P5315" s="178" t="str">
        <f ca="1">IF(Proc[[#This Row],[DaysAgeing]]&gt;5,"yep","on track")</f>
        <v>on track</v>
      </c>
      <c r="Q5315" s="3">
        <f ca="1">IF(Proc[[#This Row],[DateClosed]]="",ABS(NETWORKDAYS(Proc[[#This Row],[DateOpened]],TODAY()))-1,ABS(NETWORKDAYS(Proc[[#This Row],[DateOpened]],Proc[[#This Row],[DateClosed]]))-1)</f>
        <v>2</v>
      </c>
      <c r="R5315" s="178" t="s">
        <v>5709</v>
      </c>
      <c r="S5315" s="150"/>
    </row>
    <row r="5316" spans="1:19">
      <c r="A5316" s="149" t="s">
        <v>7545</v>
      </c>
      <c r="B5316" s="150" t="str">
        <f>IFERROR(VLOOKUP(Proc[[#This Row],[App]],Table2[],3,0),"open")</f>
        <v>open</v>
      </c>
      <c r="C5316" s="149" t="s">
        <v>370</v>
      </c>
      <c r="D5316" t="s">
        <v>7615</v>
      </c>
      <c r="E5316" t="s">
        <v>7649</v>
      </c>
      <c r="F5316" s="150" t="s">
        <v>7732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7379</v>
      </c>
      <c r="J5316" s="150" t="b">
        <f>Proc[[#This Row],[Requested]]=Proc[[#This Row],[CurrentParent]]</f>
        <v>0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6435</v>
      </c>
      <c r="M5316" s="178">
        <v>46037</v>
      </c>
      <c r="N5316" s="178"/>
      <c r="O5316" s="178"/>
      <c r="P5316" s="178" t="str">
        <f ca="1">IF(Proc[[#This Row],[DaysAgeing]]&gt;5,"yep","on track")</f>
        <v>on track</v>
      </c>
      <c r="Q5316" s="3">
        <f ca="1">IF(Proc[[#This Row],[DateClosed]]="",ABS(NETWORKDAYS(Proc[[#This Row],[DateOpened]],TODAY()))-1,ABS(NETWORKDAYS(Proc[[#This Row],[DateOpened]],Proc[[#This Row],[DateClosed]]))-1)</f>
        <v>2</v>
      </c>
      <c r="R5316" s="178" t="s">
        <v>5709</v>
      </c>
      <c r="S5316" s="150"/>
    </row>
    <row r="5317" spans="1:19">
      <c r="A5317" s="149" t="s">
        <v>7545</v>
      </c>
      <c r="B5317" s="150" t="str">
        <f>IFERROR(VLOOKUP(Proc[[#This Row],[App]],Table2[],3,0),"open")</f>
        <v>open</v>
      </c>
      <c r="C5317" s="149" t="s">
        <v>370</v>
      </c>
      <c r="D5317" t="s">
        <v>7616</v>
      </c>
      <c r="E5317" t="s">
        <v>7649</v>
      </c>
      <c r="F5317" s="150" t="s">
        <v>7732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7379</v>
      </c>
      <c r="J5317" s="150" t="b">
        <f>Proc[[#This Row],[Requested]]=Proc[[#This Row],[CurrentParent]]</f>
        <v>0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6435</v>
      </c>
      <c r="M5317" s="178">
        <v>46037</v>
      </c>
      <c r="N5317" s="178"/>
      <c r="O5317" s="178"/>
      <c r="P5317" s="178" t="str">
        <f ca="1">IF(Proc[[#This Row],[DaysAgeing]]&gt;5,"yep","on track")</f>
        <v>on track</v>
      </c>
      <c r="Q5317" s="3">
        <f ca="1">IF(Proc[[#This Row],[DateClosed]]="",ABS(NETWORKDAYS(Proc[[#This Row],[DateOpened]],TODAY()))-1,ABS(NETWORKDAYS(Proc[[#This Row],[DateOpened]],Proc[[#This Row],[DateClosed]]))-1)</f>
        <v>2</v>
      </c>
      <c r="R5317" s="178" t="s">
        <v>5709</v>
      </c>
      <c r="S5317" s="150"/>
    </row>
    <row r="5318" spans="1:19">
      <c r="A5318" s="149" t="s">
        <v>7545</v>
      </c>
      <c r="B5318" s="150" t="str">
        <f>IFERROR(VLOOKUP(Proc[[#This Row],[App]],Table2[],3,0),"open")</f>
        <v>open</v>
      </c>
      <c r="C5318" s="149" t="s">
        <v>370</v>
      </c>
      <c r="D5318" t="s">
        <v>7617</v>
      </c>
      <c r="E5318" t="s">
        <v>7642</v>
      </c>
      <c r="F5318" s="150" t="s">
        <v>7733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7379</v>
      </c>
      <c r="J5318" s="150" t="b">
        <f>Proc[[#This Row],[Requested]]=Proc[[#This Row],[CurrentParent]]</f>
        <v>0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6435</v>
      </c>
      <c r="M5318" s="178">
        <v>46037</v>
      </c>
      <c r="N5318" s="178"/>
      <c r="O5318" s="178"/>
      <c r="P5318" s="178" t="str">
        <f ca="1">IF(Proc[[#This Row],[DaysAgeing]]&gt;5,"yep","on track")</f>
        <v>on track</v>
      </c>
      <c r="Q5318" s="3">
        <f ca="1">IF(Proc[[#This Row],[DateClosed]]="",ABS(NETWORKDAYS(Proc[[#This Row],[DateOpened]],TODAY()))-1,ABS(NETWORKDAYS(Proc[[#This Row],[DateOpened]],Proc[[#This Row],[DateClosed]]))-1)</f>
        <v>2</v>
      </c>
      <c r="R5318" s="178" t="s">
        <v>5709</v>
      </c>
      <c r="S5318" s="150"/>
    </row>
    <row r="5319" spans="1:19">
      <c r="A5319" s="149" t="s">
        <v>7545</v>
      </c>
      <c r="B5319" s="150" t="str">
        <f>IFERROR(VLOOKUP(Proc[[#This Row],[App]],Table2[],3,0),"open")</f>
        <v>open</v>
      </c>
      <c r="C5319" s="149" t="s">
        <v>370</v>
      </c>
      <c r="D5319" t="s">
        <v>7618</v>
      </c>
      <c r="E5319" t="s">
        <v>7650</v>
      </c>
      <c r="F5319" s="150" t="s">
        <v>7734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7379</v>
      </c>
      <c r="J5319" s="150" t="b">
        <f>Proc[[#This Row],[Requested]]=Proc[[#This Row],[CurrentParent]]</f>
        <v>0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6435</v>
      </c>
      <c r="M5319" s="178">
        <v>46037</v>
      </c>
      <c r="N5319" s="178"/>
      <c r="O5319" s="178"/>
      <c r="P5319" s="178" t="str">
        <f ca="1">IF(Proc[[#This Row],[DaysAgeing]]&gt;5,"yep","on track")</f>
        <v>on track</v>
      </c>
      <c r="Q5319" s="3">
        <f ca="1">IF(Proc[[#This Row],[DateClosed]]="",ABS(NETWORKDAYS(Proc[[#This Row],[DateOpened]],TODAY()))-1,ABS(NETWORKDAYS(Proc[[#This Row],[DateOpened]],Proc[[#This Row],[DateClosed]]))-1)</f>
        <v>2</v>
      </c>
      <c r="R5319" s="178" t="s">
        <v>5709</v>
      </c>
      <c r="S5319" s="150"/>
    </row>
    <row r="5320" spans="1:19">
      <c r="A5320" s="149" t="s">
        <v>7545</v>
      </c>
      <c r="B5320" s="150" t="str">
        <f>IFERROR(VLOOKUP(Proc[[#This Row],[App]],Table2[],3,0),"open")</f>
        <v>open</v>
      </c>
      <c r="C5320" s="149" t="s">
        <v>370</v>
      </c>
      <c r="D5320" t="s">
        <v>7619</v>
      </c>
      <c r="E5320" t="s">
        <v>7650</v>
      </c>
      <c r="F5320" s="150" t="s">
        <v>7734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7379</v>
      </c>
      <c r="J5320" s="150" t="b">
        <f>Proc[[#This Row],[Requested]]=Proc[[#This Row],[CurrentParent]]</f>
        <v>0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6435</v>
      </c>
      <c r="M5320" s="178">
        <v>46037</v>
      </c>
      <c r="N5320" s="178"/>
      <c r="O5320" s="178"/>
      <c r="P5320" s="178" t="str">
        <f ca="1">IF(Proc[[#This Row],[DaysAgeing]]&gt;5,"yep","on track")</f>
        <v>on track</v>
      </c>
      <c r="Q5320" s="3">
        <f ca="1">IF(Proc[[#This Row],[DateClosed]]="",ABS(NETWORKDAYS(Proc[[#This Row],[DateOpened]],TODAY()))-1,ABS(NETWORKDAYS(Proc[[#This Row],[DateOpened]],Proc[[#This Row],[DateClosed]]))-1)</f>
        <v>2</v>
      </c>
      <c r="R5320" s="178" t="s">
        <v>5709</v>
      </c>
      <c r="S5320" s="150"/>
    </row>
    <row r="5321" spans="1:19">
      <c r="A5321" s="149" t="s">
        <v>7545</v>
      </c>
      <c r="B5321" s="150" t="str">
        <f>IFERROR(VLOOKUP(Proc[[#This Row],[App]],Table2[],3,0),"open")</f>
        <v>open</v>
      </c>
      <c r="C5321" s="149" t="s">
        <v>370</v>
      </c>
      <c r="D5321" t="s">
        <v>7620</v>
      </c>
      <c r="E5321" t="s">
        <v>7650</v>
      </c>
      <c r="F5321" s="150" t="s">
        <v>7734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7379</v>
      </c>
      <c r="J5321" s="150" t="b">
        <f>Proc[[#This Row],[Requested]]=Proc[[#This Row],[CurrentParent]]</f>
        <v>0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6435</v>
      </c>
      <c r="M5321" s="178">
        <v>46037</v>
      </c>
      <c r="N5321" s="178"/>
      <c r="O5321" s="178"/>
      <c r="P5321" s="178" t="str">
        <f ca="1">IF(Proc[[#This Row],[DaysAgeing]]&gt;5,"yep","on track")</f>
        <v>on track</v>
      </c>
      <c r="Q5321" s="3">
        <f ca="1">IF(Proc[[#This Row],[DateClosed]]="",ABS(NETWORKDAYS(Proc[[#This Row],[DateOpened]],TODAY()))-1,ABS(NETWORKDAYS(Proc[[#This Row],[DateOpened]],Proc[[#This Row],[DateClosed]]))-1)</f>
        <v>2</v>
      </c>
      <c r="R5321" s="178" t="s">
        <v>5709</v>
      </c>
      <c r="S5321" s="150"/>
    </row>
    <row r="5322" spans="1:19">
      <c r="A5322" s="149" t="s">
        <v>7545</v>
      </c>
      <c r="B5322" s="150" t="str">
        <f>IFERROR(VLOOKUP(Proc[[#This Row],[App]],Table2[],3,0),"open")</f>
        <v>open</v>
      </c>
      <c r="C5322" s="149" t="s">
        <v>370</v>
      </c>
      <c r="D5322" t="s">
        <v>7621</v>
      </c>
      <c r="E5322" t="s">
        <v>7650</v>
      </c>
      <c r="F5322" s="150" t="s">
        <v>7734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7379</v>
      </c>
      <c r="J5322" s="150" t="b">
        <f>Proc[[#This Row],[Requested]]=Proc[[#This Row],[CurrentParent]]</f>
        <v>0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6435</v>
      </c>
      <c r="M5322" s="178">
        <v>46037</v>
      </c>
      <c r="N5322" s="178"/>
      <c r="O5322" s="178"/>
      <c r="P5322" s="178" t="str">
        <f ca="1">IF(Proc[[#This Row],[DaysAgeing]]&gt;5,"yep","on track")</f>
        <v>on track</v>
      </c>
      <c r="Q5322" s="3">
        <f ca="1">IF(Proc[[#This Row],[DateClosed]]="",ABS(NETWORKDAYS(Proc[[#This Row],[DateOpened]],TODAY()))-1,ABS(NETWORKDAYS(Proc[[#This Row],[DateOpened]],Proc[[#This Row],[DateClosed]]))-1)</f>
        <v>2</v>
      </c>
      <c r="R5322" s="178" t="s">
        <v>5709</v>
      </c>
      <c r="S5322" s="150"/>
    </row>
    <row r="5323" spans="1:19" hidden="1">
      <c r="A5323" s="149" t="s">
        <v>7545</v>
      </c>
      <c r="B5323" s="150" t="str">
        <f>IFERROR(VLOOKUP(Proc[[#This Row],[App]],Table2[],3,0),"open")</f>
        <v>open</v>
      </c>
      <c r="C5323" s="149" t="s">
        <v>377</v>
      </c>
      <c r="D5323" t="s">
        <v>7622</v>
      </c>
      <c r="E5323" t="s">
        <v>7650</v>
      </c>
      <c r="F5323" s="150" t="e">
        <v>#N/A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7379</v>
      </c>
      <c r="J5323" s="150" t="e">
        <f>Proc[[#This Row],[Requested]]=Proc[[#This Row],[CurrentParent]]</f>
        <v>#N/A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6435</v>
      </c>
      <c r="M5323" s="178">
        <v>46037</v>
      </c>
      <c r="N5323" s="178"/>
      <c r="O5323" s="178"/>
      <c r="P5323" s="178" t="str">
        <f ca="1">IF(Proc[[#This Row],[DaysAgeing]]&gt;5,"yep","on track")</f>
        <v>on track</v>
      </c>
      <c r="Q5323" s="3">
        <f ca="1">IF(Proc[[#This Row],[DateClosed]]="",ABS(NETWORKDAYS(Proc[[#This Row],[DateOpened]],TODAY()))-1,ABS(NETWORKDAYS(Proc[[#This Row],[DateOpened]],Proc[[#This Row],[DateClosed]]))-1)</f>
        <v>2</v>
      </c>
      <c r="R5323" s="178" t="s">
        <v>5709</v>
      </c>
      <c r="S5323" s="150"/>
    </row>
    <row r="5324" spans="1:19">
      <c r="A5324" s="149" t="s">
        <v>7545</v>
      </c>
      <c r="B5324" s="150" t="str">
        <f>IFERROR(VLOOKUP(Proc[[#This Row],[App]],Table2[],3,0),"open")</f>
        <v>open</v>
      </c>
      <c r="C5324" s="149" t="s">
        <v>370</v>
      </c>
      <c r="D5324" t="s">
        <v>7623</v>
      </c>
      <c r="E5324" t="s">
        <v>7651</v>
      </c>
      <c r="F5324" s="150" t="s">
        <v>7735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7379</v>
      </c>
      <c r="J5324" s="150" t="b">
        <f>Proc[[#This Row],[Requested]]=Proc[[#This Row],[CurrentParent]]</f>
        <v>0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6435</v>
      </c>
      <c r="M5324" s="178">
        <v>46037</v>
      </c>
      <c r="N5324" s="178"/>
      <c r="O5324" s="178"/>
      <c r="P5324" s="178" t="str">
        <f ca="1">IF(Proc[[#This Row],[DaysAgeing]]&gt;5,"yep","on track")</f>
        <v>on track</v>
      </c>
      <c r="Q5324" s="3">
        <f ca="1">IF(Proc[[#This Row],[DateClosed]]="",ABS(NETWORKDAYS(Proc[[#This Row],[DateOpened]],TODAY()))-1,ABS(NETWORKDAYS(Proc[[#This Row],[DateOpened]],Proc[[#This Row],[DateClosed]]))-1)</f>
        <v>2</v>
      </c>
      <c r="R5324" s="178" t="s">
        <v>5709</v>
      </c>
      <c r="S5324" s="150"/>
    </row>
    <row r="5325" spans="1:19">
      <c r="A5325" s="149" t="s">
        <v>7545</v>
      </c>
      <c r="B5325" s="150" t="str">
        <f>IFERROR(VLOOKUP(Proc[[#This Row],[App]],Table2[],3,0),"open")</f>
        <v>open</v>
      </c>
      <c r="C5325" s="149" t="s">
        <v>370</v>
      </c>
      <c r="D5325" t="s">
        <v>7624</v>
      </c>
      <c r="E5325" t="s">
        <v>7651</v>
      </c>
      <c r="F5325" s="150" t="s">
        <v>7735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7379</v>
      </c>
      <c r="J5325" s="150" t="b">
        <f>Proc[[#This Row],[Requested]]=Proc[[#This Row],[CurrentParent]]</f>
        <v>0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6435</v>
      </c>
      <c r="M5325" s="178">
        <v>46037</v>
      </c>
      <c r="N5325" s="178"/>
      <c r="O5325" s="178"/>
      <c r="P5325" s="178" t="str">
        <f ca="1">IF(Proc[[#This Row],[DaysAgeing]]&gt;5,"yep","on track")</f>
        <v>on track</v>
      </c>
      <c r="Q5325" s="3">
        <f ca="1">IF(Proc[[#This Row],[DateClosed]]="",ABS(NETWORKDAYS(Proc[[#This Row],[DateOpened]],TODAY()))-1,ABS(NETWORKDAYS(Proc[[#This Row],[DateOpened]],Proc[[#This Row],[DateClosed]]))-1)</f>
        <v>2</v>
      </c>
      <c r="R5325" s="178" t="s">
        <v>5709</v>
      </c>
      <c r="S5325" s="150"/>
    </row>
    <row r="5326" spans="1:19">
      <c r="A5326" s="149" t="s">
        <v>7545</v>
      </c>
      <c r="B5326" s="150" t="str">
        <f>IFERROR(VLOOKUP(Proc[[#This Row],[App]],Table2[],3,0),"open")</f>
        <v>open</v>
      </c>
      <c r="C5326" s="149" t="s">
        <v>370</v>
      </c>
      <c r="D5326" t="s">
        <v>7625</v>
      </c>
      <c r="E5326" t="s">
        <v>7652</v>
      </c>
      <c r="F5326" s="150" t="s">
        <v>7736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7379</v>
      </c>
      <c r="J5326" s="150" t="b">
        <f>Proc[[#This Row],[Requested]]=Proc[[#This Row],[CurrentParent]]</f>
        <v>0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6435</v>
      </c>
      <c r="M5326" s="178">
        <v>46037</v>
      </c>
      <c r="N5326" s="178"/>
      <c r="O5326" s="178"/>
      <c r="P5326" s="178" t="str">
        <f ca="1">IF(Proc[[#This Row],[DaysAgeing]]&gt;5,"yep","on track")</f>
        <v>on track</v>
      </c>
      <c r="Q5326" s="3">
        <f ca="1">IF(Proc[[#This Row],[DateClosed]]="",ABS(NETWORKDAYS(Proc[[#This Row],[DateOpened]],TODAY()))-1,ABS(NETWORKDAYS(Proc[[#This Row],[DateOpened]],Proc[[#This Row],[DateClosed]]))-1)</f>
        <v>2</v>
      </c>
      <c r="R5326" s="178" t="s">
        <v>5709</v>
      </c>
      <c r="S5326" s="150"/>
    </row>
    <row r="5327" spans="1:19">
      <c r="A5327" s="149" t="s">
        <v>7545</v>
      </c>
      <c r="B5327" s="150" t="str">
        <f>IFERROR(VLOOKUP(Proc[[#This Row],[App]],Table2[],3,0),"open")</f>
        <v>open</v>
      </c>
      <c r="C5327" s="149" t="s">
        <v>370</v>
      </c>
      <c r="D5327" t="s">
        <v>7626</v>
      </c>
      <c r="E5327" t="s">
        <v>7653</v>
      </c>
      <c r="F5327" s="150" t="s">
        <v>7740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7379</v>
      </c>
      <c r="J5327" s="150" t="b">
        <f>Proc[[#This Row],[Requested]]=Proc[[#This Row],[CurrentParent]]</f>
        <v>0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6435</v>
      </c>
      <c r="M5327" s="178">
        <v>46037</v>
      </c>
      <c r="N5327" s="178"/>
      <c r="O5327" s="178"/>
      <c r="P5327" s="178" t="str">
        <f ca="1">IF(Proc[[#This Row],[DaysAgeing]]&gt;5,"yep","on track")</f>
        <v>on track</v>
      </c>
      <c r="Q5327" s="3">
        <f ca="1">IF(Proc[[#This Row],[DateClosed]]="",ABS(NETWORKDAYS(Proc[[#This Row],[DateOpened]],TODAY()))-1,ABS(NETWORKDAYS(Proc[[#This Row],[DateOpened]],Proc[[#This Row],[DateClosed]]))-1)</f>
        <v>2</v>
      </c>
      <c r="R5327" s="178" t="s">
        <v>5709</v>
      </c>
      <c r="S5327" s="150"/>
    </row>
    <row r="5328" spans="1:19">
      <c r="A5328" s="149" t="s">
        <v>7545</v>
      </c>
      <c r="B5328" s="150" t="str">
        <f>IFERROR(VLOOKUP(Proc[[#This Row],[App]],Table2[],3,0),"open")</f>
        <v>open</v>
      </c>
      <c r="C5328" s="149" t="s">
        <v>370</v>
      </c>
      <c r="D5328" t="s">
        <v>7627</v>
      </c>
      <c r="E5328" t="s">
        <v>7653</v>
      </c>
      <c r="F5328" s="150" t="s">
        <v>7740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7379</v>
      </c>
      <c r="J5328" s="150" t="b">
        <f>Proc[[#This Row],[Requested]]=Proc[[#This Row],[CurrentParent]]</f>
        <v>0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6435</v>
      </c>
      <c r="M5328" s="178">
        <v>46037</v>
      </c>
      <c r="N5328" s="178"/>
      <c r="O5328" s="178"/>
      <c r="P5328" s="178" t="str">
        <f ca="1">IF(Proc[[#This Row],[DaysAgeing]]&gt;5,"yep","on track")</f>
        <v>on track</v>
      </c>
      <c r="Q5328" s="3">
        <f ca="1">IF(Proc[[#This Row],[DateClosed]]="",ABS(NETWORKDAYS(Proc[[#This Row],[DateOpened]],TODAY()))-1,ABS(NETWORKDAYS(Proc[[#This Row],[DateOpened]],Proc[[#This Row],[DateClosed]]))-1)</f>
        <v>2</v>
      </c>
      <c r="R5328" s="178" t="s">
        <v>5709</v>
      </c>
      <c r="S5328" s="150"/>
    </row>
    <row r="5329" spans="1:19">
      <c r="A5329" s="149" t="s">
        <v>7545</v>
      </c>
      <c r="B5329" s="150" t="str">
        <f>IFERROR(VLOOKUP(Proc[[#This Row],[App]],Table2[],3,0),"open")</f>
        <v>open</v>
      </c>
      <c r="C5329" s="149" t="s">
        <v>370</v>
      </c>
      <c r="D5329" t="s">
        <v>7628</v>
      </c>
      <c r="E5329" t="s">
        <v>7653</v>
      </c>
      <c r="F5329" s="150" t="s">
        <v>7740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7379</v>
      </c>
      <c r="J5329" s="150" t="b">
        <f>Proc[[#This Row],[Requested]]=Proc[[#This Row],[CurrentParent]]</f>
        <v>0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6435</v>
      </c>
      <c r="M5329" s="178">
        <v>46037</v>
      </c>
      <c r="N5329" s="178"/>
      <c r="O5329" s="178"/>
      <c r="P5329" s="178" t="str">
        <f ca="1">IF(Proc[[#This Row],[DaysAgeing]]&gt;5,"yep","on track")</f>
        <v>on track</v>
      </c>
      <c r="Q5329" s="3">
        <f ca="1">IF(Proc[[#This Row],[DateClosed]]="",ABS(NETWORKDAYS(Proc[[#This Row],[DateOpened]],TODAY()))-1,ABS(NETWORKDAYS(Proc[[#This Row],[DateOpened]],Proc[[#This Row],[DateClosed]]))-1)</f>
        <v>2</v>
      </c>
      <c r="R5329" s="178" t="s">
        <v>5709</v>
      </c>
      <c r="S5329" s="150"/>
    </row>
    <row r="5330" spans="1:19">
      <c r="A5330" s="149" t="s">
        <v>7545</v>
      </c>
      <c r="B5330" s="150" t="str">
        <f>IFERROR(VLOOKUP(Proc[[#This Row],[App]],Table2[],3,0),"open")</f>
        <v>open</v>
      </c>
      <c r="C5330" s="149" t="s">
        <v>370</v>
      </c>
      <c r="D5330" t="s">
        <v>7629</v>
      </c>
      <c r="E5330" t="s">
        <v>7643</v>
      </c>
      <c r="F5330" s="150" t="s">
        <v>7741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7379</v>
      </c>
      <c r="J5330" s="150" t="b">
        <f>Proc[[#This Row],[Requested]]=Proc[[#This Row],[CurrentParent]]</f>
        <v>0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6435</v>
      </c>
      <c r="M5330" s="178">
        <v>46037</v>
      </c>
      <c r="N5330" s="178"/>
      <c r="O5330" s="178"/>
      <c r="P5330" s="178" t="str">
        <f ca="1">IF(Proc[[#This Row],[DaysAgeing]]&gt;5,"yep","on track")</f>
        <v>on track</v>
      </c>
      <c r="Q5330" s="3">
        <f ca="1">IF(Proc[[#This Row],[DateClosed]]="",ABS(NETWORKDAYS(Proc[[#This Row],[DateOpened]],TODAY()))-1,ABS(NETWORKDAYS(Proc[[#This Row],[DateOpened]],Proc[[#This Row],[DateClosed]]))-1)</f>
        <v>2</v>
      </c>
      <c r="R5330" s="178" t="s">
        <v>5709</v>
      </c>
      <c r="S5330" s="150"/>
    </row>
    <row r="5331" spans="1:19" hidden="1">
      <c r="A5331" t="s">
        <v>7654</v>
      </c>
      <c r="B5331" s="150" t="str">
        <f>IFERROR(VLOOKUP(Proc[[#This Row],[App]],Table2[],3,0),"open")</f>
        <v>ok</v>
      </c>
      <c r="C5331" s="180" t="s">
        <v>369</v>
      </c>
      <c r="D5331" t="s">
        <v>7655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7656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6435</v>
      </c>
      <c r="M5331" s="178">
        <v>46037</v>
      </c>
      <c r="N5331" s="178"/>
      <c r="O5331" s="178"/>
      <c r="P5331" s="178" t="str">
        <f ca="1">IF(Proc[[#This Row],[DaysAgeing]]&gt;5,"yep","on track")</f>
        <v>on track</v>
      </c>
      <c r="Q5331" s="3">
        <f ca="1">IF(Proc[[#This Row],[DateClosed]]="",ABS(NETWORKDAYS(Proc[[#This Row],[DateOpened]],TODAY()))-1,ABS(NETWORKDAYS(Proc[[#This Row],[DateOpened]],Proc[[#This Row],[DateClosed]]))-1)</f>
        <v>2</v>
      </c>
      <c r="R5331" s="178" t="s">
        <v>489</v>
      </c>
      <c r="S5331" s="150"/>
    </row>
    <row r="5332" spans="1:19">
      <c r="A5332" t="s">
        <v>7712</v>
      </c>
      <c r="B5332" s="150" t="str">
        <f>IFERROR(VLOOKUP(Proc[[#This Row],[App]],Table2[],3,0),"open")</f>
        <v>open</v>
      </c>
      <c r="C5332" s="149" t="s">
        <v>370</v>
      </c>
      <c r="D5332" t="s">
        <v>7713</v>
      </c>
      <c r="E5332" t="s">
        <v>2625</v>
      </c>
      <c r="F5332" s="150" t="s">
        <v>7737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7656</v>
      </c>
      <c r="J5332" s="150" t="b">
        <f>Proc[[#This Row],[Requested]]=Proc[[#This Row],[CurrentParent]]</f>
        <v>0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6435</v>
      </c>
      <c r="M5332" s="178">
        <v>46037</v>
      </c>
      <c r="N5332" s="178"/>
      <c r="O5332" s="178"/>
      <c r="P5332" s="178" t="str">
        <f ca="1">IF(Proc[[#This Row],[DaysAgeing]]&gt;5,"yep","on track")</f>
        <v>on track</v>
      </c>
      <c r="Q5332" s="3">
        <f ca="1">IF(Proc[[#This Row],[DateClosed]]="",ABS(NETWORKDAYS(Proc[[#This Row],[DateOpened]],TODAY()))-1,ABS(NETWORKDAYS(Proc[[#This Row],[DateOpened]],Proc[[#This Row],[DateClosed]]))-1)</f>
        <v>2</v>
      </c>
      <c r="R5332" s="178" t="s">
        <v>1459</v>
      </c>
      <c r="S5332" s="150"/>
    </row>
    <row r="5333" spans="1:19" hidden="1">
      <c r="A5333" t="s">
        <v>7714</v>
      </c>
      <c r="B5333" s="150" t="str">
        <f>IFERROR(VLOOKUP(Proc[[#This Row],[App]],Table2[],3,0),"open")</f>
        <v>ok</v>
      </c>
      <c r="C5333" s="180" t="s">
        <v>369</v>
      </c>
      <c r="D5333" t="s">
        <v>7715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6435</v>
      </c>
      <c r="M5333" s="178">
        <v>46041</v>
      </c>
      <c r="N5333" s="178"/>
      <c r="O5333" s="178"/>
      <c r="P5333" s="178" t="str">
        <f ca="1">IF(Proc[[#This Row],[DaysAgeing]]&gt;5,"yep","on track")</f>
        <v>on track</v>
      </c>
      <c r="Q5333" s="3">
        <f ca="1">IF(Proc[[#This Row],[DateClosed]]="",ABS(NETWORKDAYS(Proc[[#This Row],[DateOpened]],TODAY()))-1,ABS(NETWORKDAYS(Proc[[#This Row],[DateOpened]],Proc[[#This Row],[DateClosed]]))-1)</f>
        <v>0</v>
      </c>
      <c r="R5333" s="178" t="s">
        <v>489</v>
      </c>
      <c r="S5333" s="150"/>
    </row>
    <row r="5334" spans="1:19">
      <c r="A5334" t="s">
        <v>7717</v>
      </c>
      <c r="B5334" s="150" t="str">
        <f>IFERROR(VLOOKUP(Proc[[#This Row],[App]],Table2[],3,0),"open")</f>
        <v>open</v>
      </c>
      <c r="C5334" s="180" t="s">
        <v>370</v>
      </c>
      <c r="D5334" t="s">
        <v>7716</v>
      </c>
      <c r="E5334" t="s">
        <v>524</v>
      </c>
      <c r="F5334" s="150" t="s">
        <v>7738</v>
      </c>
      <c r="G5334" t="s">
        <v>400</v>
      </c>
      <c r="H5334" s="150" t="str">
        <f>IF(Proc[[#This Row],[type]]="LFF (MDG-F)",MID(Proc[[#This Row],[Obj]],13,10),"")</f>
        <v/>
      </c>
      <c r="I5334" t="s">
        <v>7739</v>
      </c>
      <c r="J5334" s="150" t="b">
        <f>Proc[[#This Row],[Requested]]=Proc[[#This Row],[CurrentParent]]</f>
        <v>0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6435</v>
      </c>
      <c r="M5334" s="178">
        <v>46041</v>
      </c>
      <c r="N5334" s="178"/>
      <c r="O5334" s="178"/>
      <c r="P5334" s="178" t="str">
        <f ca="1">IF(Proc[[#This Row],[DaysAgeing]]&gt;5,"yep","on track")</f>
        <v>on track</v>
      </c>
      <c r="Q5334" s="3">
        <f ca="1">IF(Proc[[#This Row],[DateClosed]]="",ABS(NETWORKDAYS(Proc[[#This Row],[DateOpened]],TODAY()))-1,ABS(NETWORKDAYS(Proc[[#This Row],[DateOpened]],Proc[[#This Row],[DateClosed]]))-1)</f>
        <v>0</v>
      </c>
      <c r="R5334" s="178" t="s">
        <v>489</v>
      </c>
      <c r="S5334" s="150"/>
    </row>
  </sheetData>
  <phoneticPr fontId="0" type="noConversion"/>
  <conditionalFormatting sqref="D642">
    <cfRule type="duplicateValues" dxfId="6" priority="3"/>
  </conditionalFormatting>
  <conditionalFormatting sqref="D1017:D1042">
    <cfRule type="duplicateValues" dxfId="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G2:G5334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E64A9-5C6B-43F7-A1C0-FBCD0F950260}">
  <dimension ref="A1:B75"/>
  <sheetViews>
    <sheetView workbookViewId="0"/>
  </sheetViews>
  <sheetFormatPr defaultRowHeight="15"/>
  <sheetData>
    <row r="1" spans="1:2">
      <c r="A1" t="s">
        <v>7543</v>
      </c>
      <c r="B1" t="s">
        <v>7399</v>
      </c>
    </row>
    <row r="2" spans="1:2">
      <c r="A2" t="s">
        <v>7478</v>
      </c>
      <c r="B2" t="s">
        <v>7350</v>
      </c>
    </row>
    <row r="3" spans="1:2">
      <c r="A3" t="s">
        <v>7483</v>
      </c>
      <c r="B3" t="s">
        <v>7539</v>
      </c>
    </row>
    <row r="4" spans="1:2">
      <c r="A4" t="s">
        <v>7484</v>
      </c>
      <c r="B4" t="s">
        <v>7523</v>
      </c>
    </row>
    <row r="5" spans="1:2">
      <c r="A5" t="s">
        <v>7506</v>
      </c>
      <c r="B5" t="s">
        <v>7540</v>
      </c>
    </row>
    <row r="6" spans="1:2">
      <c r="A6" t="s">
        <v>7508</v>
      </c>
      <c r="B6" t="s">
        <v>7525</v>
      </c>
    </row>
    <row r="7" spans="1:2">
      <c r="A7" t="s">
        <v>7509</v>
      </c>
      <c r="B7" t="s">
        <v>7525</v>
      </c>
    </row>
    <row r="8" spans="1:2">
      <c r="A8" t="s">
        <v>7510</v>
      </c>
      <c r="B8" t="s">
        <v>7524</v>
      </c>
    </row>
    <row r="9" spans="1:2">
      <c r="A9" t="s">
        <v>7511</v>
      </c>
      <c r="B9" t="s">
        <v>7527</v>
      </c>
    </row>
    <row r="10" spans="1:2">
      <c r="A10" t="s">
        <v>7512</v>
      </c>
      <c r="B10" t="s">
        <v>7527</v>
      </c>
    </row>
    <row r="11" spans="1:2">
      <c r="A11" t="s">
        <v>7513</v>
      </c>
      <c r="B11" t="s">
        <v>7527</v>
      </c>
    </row>
    <row r="12" spans="1:2">
      <c r="A12" t="s">
        <v>7514</v>
      </c>
      <c r="B12" t="s">
        <v>7527</v>
      </c>
    </row>
    <row r="13" spans="1:2">
      <c r="A13" t="s">
        <v>7515</v>
      </c>
      <c r="B13" t="s">
        <v>7526</v>
      </c>
    </row>
    <row r="14" spans="1:2">
      <c r="A14" t="s">
        <v>7516</v>
      </c>
      <c r="B14" t="s">
        <v>7526</v>
      </c>
    </row>
    <row r="15" spans="1:2">
      <c r="A15" t="s">
        <v>7517</v>
      </c>
      <c r="B15" t="s">
        <v>7526</v>
      </c>
    </row>
    <row r="16" spans="1:2">
      <c r="A16" t="s">
        <v>7518</v>
      </c>
      <c r="B16" t="s">
        <v>7526</v>
      </c>
    </row>
    <row r="17" spans="1:2">
      <c r="A17" t="s">
        <v>6783</v>
      </c>
      <c r="B17" t="s">
        <v>7542</v>
      </c>
    </row>
    <row r="18" spans="1:2">
      <c r="A18" t="s">
        <v>2319</v>
      </c>
      <c r="B18" t="s">
        <v>5569</v>
      </c>
    </row>
    <row r="19" spans="1:2">
      <c r="A19" t="s">
        <v>7534</v>
      </c>
      <c r="B19" t="s">
        <v>2336</v>
      </c>
    </row>
    <row r="20" spans="1:2">
      <c r="A20" t="s">
        <v>7535</v>
      </c>
      <c r="B20" t="s">
        <v>2625</v>
      </c>
    </row>
    <row r="21" spans="1:2">
      <c r="A21" t="s">
        <v>7550</v>
      </c>
      <c r="B21" t="s">
        <v>7718</v>
      </c>
    </row>
    <row r="22" spans="1:2">
      <c r="A22" t="s">
        <v>7551</v>
      </c>
      <c r="B22" t="s">
        <v>7719</v>
      </c>
    </row>
    <row r="23" spans="1:2">
      <c r="A23" t="s">
        <v>7552</v>
      </c>
      <c r="B23" t="s">
        <v>7719</v>
      </c>
    </row>
    <row r="24" spans="1:2">
      <c r="A24" t="s">
        <v>7553</v>
      </c>
      <c r="B24" t="s">
        <v>7720</v>
      </c>
    </row>
    <row r="25" spans="1:2">
      <c r="A25" t="s">
        <v>7557</v>
      </c>
      <c r="B25" t="s">
        <v>7721</v>
      </c>
    </row>
    <row r="26" spans="1:2">
      <c r="A26" t="s">
        <v>7558</v>
      </c>
      <c r="B26" t="s">
        <v>7722</v>
      </c>
    </row>
    <row r="27" spans="1:2">
      <c r="A27" t="s">
        <v>7559</v>
      </c>
      <c r="B27" t="s">
        <v>7721</v>
      </c>
    </row>
    <row r="28" spans="1:2">
      <c r="A28" t="s">
        <v>7560</v>
      </c>
      <c r="B28" t="s">
        <v>7721</v>
      </c>
    </row>
    <row r="29" spans="1:2">
      <c r="A29" t="s">
        <v>7561</v>
      </c>
      <c r="B29" t="s">
        <v>7721</v>
      </c>
    </row>
    <row r="30" spans="1:2">
      <c r="A30" t="s">
        <v>7562</v>
      </c>
      <c r="B30" t="s">
        <v>7721</v>
      </c>
    </row>
    <row r="31" spans="1:2">
      <c r="A31" t="s">
        <v>7563</v>
      </c>
      <c r="B31" t="s">
        <v>7721</v>
      </c>
    </row>
    <row r="32" spans="1:2">
      <c r="A32" t="s">
        <v>7564</v>
      </c>
      <c r="B32" t="s">
        <v>7721</v>
      </c>
    </row>
    <row r="33" spans="1:2">
      <c r="A33" t="s">
        <v>7565</v>
      </c>
      <c r="B33" t="s">
        <v>7721</v>
      </c>
    </row>
    <row r="34" spans="1:2">
      <c r="A34" t="s">
        <v>7566</v>
      </c>
      <c r="B34" t="s">
        <v>7721</v>
      </c>
    </row>
    <row r="35" spans="1:2">
      <c r="A35" t="s">
        <v>7567</v>
      </c>
      <c r="B35" t="s">
        <v>7721</v>
      </c>
    </row>
    <row r="36" spans="1:2">
      <c r="A36" t="s">
        <v>7568</v>
      </c>
      <c r="B36" t="s">
        <v>7721</v>
      </c>
    </row>
    <row r="37" spans="1:2">
      <c r="A37" t="s">
        <v>7569</v>
      </c>
      <c r="B37" t="s">
        <v>7721</v>
      </c>
    </row>
    <row r="38" spans="1:2">
      <c r="A38" t="s">
        <v>7570</v>
      </c>
      <c r="B38" t="s">
        <v>7721</v>
      </c>
    </row>
    <row r="39" spans="1:2">
      <c r="A39" t="s">
        <v>7571</v>
      </c>
      <c r="B39" t="s">
        <v>7721</v>
      </c>
    </row>
    <row r="40" spans="1:2">
      <c r="A40" t="s">
        <v>7572</v>
      </c>
      <c r="B40" t="s">
        <v>7721</v>
      </c>
    </row>
    <row r="41" spans="1:2">
      <c r="A41" t="s">
        <v>7577</v>
      </c>
      <c r="B41" t="s">
        <v>7723</v>
      </c>
    </row>
    <row r="42" spans="1:2">
      <c r="A42" t="s">
        <v>7592</v>
      </c>
      <c r="B42" t="s">
        <v>7724</v>
      </c>
    </row>
    <row r="43" spans="1:2">
      <c r="A43" t="s">
        <v>7593</v>
      </c>
      <c r="B43" t="s">
        <v>7725</v>
      </c>
    </row>
    <row r="44" spans="1:2">
      <c r="A44" t="s">
        <v>7594</v>
      </c>
      <c r="B44" t="s">
        <v>7726</v>
      </c>
    </row>
    <row r="45" spans="1:2">
      <c r="A45" t="s">
        <v>7595</v>
      </c>
      <c r="B45" t="s">
        <v>7727</v>
      </c>
    </row>
    <row r="46" spans="1:2">
      <c r="A46" t="s">
        <v>7596</v>
      </c>
      <c r="B46" t="s">
        <v>7727</v>
      </c>
    </row>
    <row r="47" spans="1:2">
      <c r="A47" t="s">
        <v>7597</v>
      </c>
      <c r="B47" t="s">
        <v>7727</v>
      </c>
    </row>
    <row r="48" spans="1:2">
      <c r="A48" t="s">
        <v>7603</v>
      </c>
      <c r="B48" t="s">
        <v>7722</v>
      </c>
    </row>
    <row r="49" spans="1:2">
      <c r="A49" t="s">
        <v>7604</v>
      </c>
      <c r="B49" t="s">
        <v>7722</v>
      </c>
    </row>
    <row r="50" spans="1:2">
      <c r="A50" t="s">
        <v>7605</v>
      </c>
      <c r="B50" t="s">
        <v>7728</v>
      </c>
    </row>
    <row r="51" spans="1:2">
      <c r="A51" t="s">
        <v>7606</v>
      </c>
      <c r="B51" t="s">
        <v>7729</v>
      </c>
    </row>
    <row r="52" spans="1:2">
      <c r="A52" t="s">
        <v>7607</v>
      </c>
      <c r="B52" t="s">
        <v>7729</v>
      </c>
    </row>
    <row r="53" spans="1:2">
      <c r="A53" t="s">
        <v>7610</v>
      </c>
      <c r="B53" t="s">
        <v>7730</v>
      </c>
    </row>
    <row r="54" spans="1:2">
      <c r="A54" t="s">
        <v>7611</v>
      </c>
      <c r="B54" t="s">
        <v>7731</v>
      </c>
    </row>
    <row r="55" spans="1:2">
      <c r="A55" t="s">
        <v>7612</v>
      </c>
      <c r="B55" t="s">
        <v>7731</v>
      </c>
    </row>
    <row r="56" spans="1:2">
      <c r="A56" t="s">
        <v>7613</v>
      </c>
      <c r="B56" t="s">
        <v>7731</v>
      </c>
    </row>
    <row r="57" spans="1:2">
      <c r="A57" t="s">
        <v>1994</v>
      </c>
      <c r="B57" t="s">
        <v>7644</v>
      </c>
    </row>
    <row r="58" spans="1:2">
      <c r="A58" t="s">
        <v>1995</v>
      </c>
      <c r="B58" t="s">
        <v>7644</v>
      </c>
    </row>
    <row r="59" spans="1:2">
      <c r="A59" t="s">
        <v>7614</v>
      </c>
      <c r="B59" t="s">
        <v>6264</v>
      </c>
    </row>
    <row r="60" spans="1:2">
      <c r="A60" t="s">
        <v>7615</v>
      </c>
      <c r="B60" t="s">
        <v>7732</v>
      </c>
    </row>
    <row r="61" spans="1:2">
      <c r="A61" t="s">
        <v>7616</v>
      </c>
      <c r="B61" t="s">
        <v>7732</v>
      </c>
    </row>
    <row r="62" spans="1:2">
      <c r="A62" t="s">
        <v>7617</v>
      </c>
      <c r="B62" t="s">
        <v>7733</v>
      </c>
    </row>
    <row r="63" spans="1:2">
      <c r="A63" t="s">
        <v>7618</v>
      </c>
      <c r="B63" t="s">
        <v>7734</v>
      </c>
    </row>
    <row r="64" spans="1:2">
      <c r="A64" t="s">
        <v>7619</v>
      </c>
      <c r="B64" t="s">
        <v>7734</v>
      </c>
    </row>
    <row r="65" spans="1:2">
      <c r="A65" t="s">
        <v>7620</v>
      </c>
      <c r="B65" t="s">
        <v>7734</v>
      </c>
    </row>
    <row r="66" spans="1:2">
      <c r="A66" t="s">
        <v>7621</v>
      </c>
      <c r="B66" t="s">
        <v>7734</v>
      </c>
    </row>
    <row r="67" spans="1:2">
      <c r="A67" t="s">
        <v>7623</v>
      </c>
      <c r="B67" t="s">
        <v>7735</v>
      </c>
    </row>
    <row r="68" spans="1:2">
      <c r="A68" t="s">
        <v>7624</v>
      </c>
      <c r="B68" t="s">
        <v>7735</v>
      </c>
    </row>
    <row r="69" spans="1:2">
      <c r="A69" t="s">
        <v>7625</v>
      </c>
      <c r="B69" t="s">
        <v>7736</v>
      </c>
    </row>
    <row r="70" spans="1:2">
      <c r="A70" t="s">
        <v>7626</v>
      </c>
      <c r="B70" t="s">
        <v>7740</v>
      </c>
    </row>
    <row r="71" spans="1:2">
      <c r="A71" t="s">
        <v>7627</v>
      </c>
      <c r="B71" t="s">
        <v>7740</v>
      </c>
    </row>
    <row r="72" spans="1:2">
      <c r="A72" t="s">
        <v>7628</v>
      </c>
      <c r="B72" t="s">
        <v>7740</v>
      </c>
    </row>
    <row r="73" spans="1:2">
      <c r="A73" t="s">
        <v>7629</v>
      </c>
      <c r="B73" t="s">
        <v>7741</v>
      </c>
    </row>
    <row r="74" spans="1:2">
      <c r="A74" t="s">
        <v>7713</v>
      </c>
      <c r="B74" t="s">
        <v>7737</v>
      </c>
    </row>
    <row r="75" spans="1:2">
      <c r="A75" t="s">
        <v>7716</v>
      </c>
      <c r="B75" t="s">
        <v>7738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9701-5FB3-4633-BBE7-8AAE670F0759}">
  <dimension ref="A1:C54"/>
  <sheetViews>
    <sheetView workbookViewId="0">
      <selection activeCell="L28" sqref="L28"/>
    </sheetView>
  </sheetViews>
  <sheetFormatPr defaultRowHeight="15"/>
  <sheetData>
    <row r="1" spans="1:3">
      <c r="A1">
        <v>1000</v>
      </c>
      <c r="B1" t="s">
        <v>7710</v>
      </c>
    </row>
    <row r="2" spans="1:3">
      <c r="A2" t="s">
        <v>7644</v>
      </c>
      <c r="C2" t="s">
        <v>7657</v>
      </c>
    </row>
    <row r="3" spans="1:3">
      <c r="A3" t="s">
        <v>7645</v>
      </c>
      <c r="C3" t="s">
        <v>7658</v>
      </c>
    </row>
    <row r="4" spans="1:3">
      <c r="A4" t="s">
        <v>7645</v>
      </c>
      <c r="C4" t="s">
        <v>7659</v>
      </c>
    </row>
    <row r="5" spans="1:3">
      <c r="A5" t="s">
        <v>7645</v>
      </c>
      <c r="C5" t="s">
        <v>7660</v>
      </c>
    </row>
    <row r="6" spans="1:3">
      <c r="A6" t="s">
        <v>7644</v>
      </c>
      <c r="C6" t="s">
        <v>7661</v>
      </c>
    </row>
    <row r="7" spans="1:3">
      <c r="A7" t="s">
        <v>7644</v>
      </c>
      <c r="C7" t="s">
        <v>7662</v>
      </c>
    </row>
    <row r="8" spans="1:3">
      <c r="A8" t="s">
        <v>7646</v>
      </c>
      <c r="C8" t="s">
        <v>7663</v>
      </c>
    </row>
    <row r="9" spans="1:3">
      <c r="A9" t="s">
        <v>7646</v>
      </c>
      <c r="C9" t="s">
        <v>7664</v>
      </c>
    </row>
    <row r="10" spans="1:3">
      <c r="A10" t="s">
        <v>7646</v>
      </c>
      <c r="C10" t="s">
        <v>7665</v>
      </c>
    </row>
    <row r="11" spans="1:3">
      <c r="A11" t="s">
        <v>7646</v>
      </c>
      <c r="C11" t="s">
        <v>7666</v>
      </c>
    </row>
    <row r="12" spans="1:3">
      <c r="A12" t="s">
        <v>7646</v>
      </c>
      <c r="C12" t="s">
        <v>7667</v>
      </c>
    </row>
    <row r="13" spans="1:3">
      <c r="A13" t="s">
        <v>7646</v>
      </c>
      <c r="C13" t="s">
        <v>7668</v>
      </c>
    </row>
    <row r="14" spans="1:3">
      <c r="A14" t="s">
        <v>7646</v>
      </c>
      <c r="C14" t="s">
        <v>7669</v>
      </c>
    </row>
    <row r="15" spans="1:3">
      <c r="A15" t="s">
        <v>7646</v>
      </c>
      <c r="C15" t="s">
        <v>7670</v>
      </c>
    </row>
    <row r="16" spans="1:3">
      <c r="A16" t="s">
        <v>7646</v>
      </c>
      <c r="C16" t="s">
        <v>7671</v>
      </c>
    </row>
    <row r="17" spans="1:3">
      <c r="A17" t="s">
        <v>7646</v>
      </c>
      <c r="C17" t="s">
        <v>7672</v>
      </c>
    </row>
    <row r="18" spans="1:3">
      <c r="A18" t="s">
        <v>7646</v>
      </c>
      <c r="C18" t="s">
        <v>7673</v>
      </c>
    </row>
    <row r="19" spans="1:3">
      <c r="A19" t="s">
        <v>7646</v>
      </c>
      <c r="C19" t="s">
        <v>7674</v>
      </c>
    </row>
    <row r="20" spans="1:3">
      <c r="A20" t="s">
        <v>7646</v>
      </c>
      <c r="C20" t="s">
        <v>7675</v>
      </c>
    </row>
    <row r="21" spans="1:3">
      <c r="A21" t="s">
        <v>7646</v>
      </c>
      <c r="C21" t="s">
        <v>7676</v>
      </c>
    </row>
    <row r="22" spans="1:3">
      <c r="A22" t="s">
        <v>7646</v>
      </c>
      <c r="C22" t="s">
        <v>7677</v>
      </c>
    </row>
    <row r="23" spans="1:3">
      <c r="A23" t="s">
        <v>7646</v>
      </c>
      <c r="C23" t="s">
        <v>7678</v>
      </c>
    </row>
    <row r="24" spans="1:3">
      <c r="A24" t="s">
        <v>7646</v>
      </c>
      <c r="C24" t="s">
        <v>7679</v>
      </c>
    </row>
    <row r="25" spans="1:3">
      <c r="A25" t="s">
        <v>7646</v>
      </c>
      <c r="C25" t="s">
        <v>7680</v>
      </c>
    </row>
    <row r="26" spans="1:3">
      <c r="A26" t="s">
        <v>7646</v>
      </c>
      <c r="C26" t="s">
        <v>7681</v>
      </c>
    </row>
    <row r="27" spans="1:3">
      <c r="A27" t="s">
        <v>7646</v>
      </c>
      <c r="C27" t="s">
        <v>7682</v>
      </c>
    </row>
    <row r="28" spans="1:3">
      <c r="A28" t="s">
        <v>7646</v>
      </c>
      <c r="C28" t="s">
        <v>7683</v>
      </c>
    </row>
    <row r="29" spans="1:3">
      <c r="A29" t="s">
        <v>7646</v>
      </c>
      <c r="C29" t="s">
        <v>7684</v>
      </c>
    </row>
    <row r="30" spans="1:3">
      <c r="A30" t="s">
        <v>7646</v>
      </c>
      <c r="C30" t="s">
        <v>7685</v>
      </c>
    </row>
    <row r="31" spans="1:3">
      <c r="A31" t="s">
        <v>7646</v>
      </c>
      <c r="C31" t="s">
        <v>7686</v>
      </c>
    </row>
    <row r="32" spans="1:3">
      <c r="A32" t="s">
        <v>7646</v>
      </c>
      <c r="C32" t="s">
        <v>7687</v>
      </c>
    </row>
    <row r="33" spans="1:3">
      <c r="A33" t="s">
        <v>7646</v>
      </c>
      <c r="C33" t="s">
        <v>7688</v>
      </c>
    </row>
    <row r="34" spans="1:3">
      <c r="A34" t="s">
        <v>7647</v>
      </c>
      <c r="C34" t="s">
        <v>7689</v>
      </c>
    </row>
    <row r="35" spans="1:3">
      <c r="A35" t="s">
        <v>7647</v>
      </c>
      <c r="C35" t="s">
        <v>7690</v>
      </c>
    </row>
    <row r="36" spans="1:3">
      <c r="A36" t="s">
        <v>7647</v>
      </c>
      <c r="C36" t="s">
        <v>7691</v>
      </c>
    </row>
    <row r="37" spans="1:3">
      <c r="A37" t="s">
        <v>7647</v>
      </c>
      <c r="C37" t="s">
        <v>7692</v>
      </c>
    </row>
    <row r="38" spans="1:3">
      <c r="A38" t="s">
        <v>7648</v>
      </c>
      <c r="C38" t="s">
        <v>7693</v>
      </c>
    </row>
    <row r="39" spans="1:3">
      <c r="A39" t="s">
        <v>7648</v>
      </c>
      <c r="C39" t="s">
        <v>7694</v>
      </c>
    </row>
    <row r="40" spans="1:3">
      <c r="A40" t="s">
        <v>7641</v>
      </c>
      <c r="C40" t="s">
        <v>7695</v>
      </c>
    </row>
    <row r="41" spans="1:3">
      <c r="A41" t="s">
        <v>7649</v>
      </c>
      <c r="C41" t="s">
        <v>7696</v>
      </c>
    </row>
    <row r="42" spans="1:3">
      <c r="A42" t="s">
        <v>7649</v>
      </c>
      <c r="C42" t="s">
        <v>7697</v>
      </c>
    </row>
    <row r="43" spans="1:3">
      <c r="A43" t="s">
        <v>7642</v>
      </c>
      <c r="C43" t="s">
        <v>7698</v>
      </c>
    </row>
    <row r="44" spans="1:3">
      <c r="A44" t="s">
        <v>7650</v>
      </c>
      <c r="C44" t="s">
        <v>7699</v>
      </c>
    </row>
    <row r="45" spans="1:3">
      <c r="A45" t="s">
        <v>7650</v>
      </c>
      <c r="C45" t="s">
        <v>7700</v>
      </c>
    </row>
    <row r="46" spans="1:3">
      <c r="A46" t="s">
        <v>7650</v>
      </c>
      <c r="C46" t="s">
        <v>7701</v>
      </c>
    </row>
    <row r="47" spans="1:3">
      <c r="A47" t="s">
        <v>7650</v>
      </c>
      <c r="C47" t="s">
        <v>7702</v>
      </c>
    </row>
    <row r="48" spans="1:3">
      <c r="A48" t="s">
        <v>7651</v>
      </c>
      <c r="C48" t="s">
        <v>7703</v>
      </c>
    </row>
    <row r="49" spans="1:3">
      <c r="A49" t="s">
        <v>7651</v>
      </c>
      <c r="C49" t="s">
        <v>7704</v>
      </c>
    </row>
    <row r="50" spans="1:3">
      <c r="A50" t="s">
        <v>7652</v>
      </c>
      <c r="C50" t="s">
        <v>7705</v>
      </c>
    </row>
    <row r="51" spans="1:3">
      <c r="A51" t="s">
        <v>7653</v>
      </c>
      <c r="C51" t="s">
        <v>7706</v>
      </c>
    </row>
    <row r="52" spans="1:3">
      <c r="A52" t="s">
        <v>7653</v>
      </c>
      <c r="C52" t="s">
        <v>7707</v>
      </c>
    </row>
    <row r="53" spans="1:3">
      <c r="A53" t="s">
        <v>7653</v>
      </c>
      <c r="C53" t="s">
        <v>7708</v>
      </c>
    </row>
    <row r="54" spans="1:3">
      <c r="A54" t="s">
        <v>7643</v>
      </c>
      <c r="C54" t="s">
        <v>7709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0958B-75FD-4CD4-9D0B-372F2547F0CF}">
  <dimension ref="A1:C87"/>
  <sheetViews>
    <sheetView topLeftCell="A56" workbookViewId="0">
      <selection activeCell="C2" sqref="C2:C87"/>
    </sheetView>
  </sheetViews>
  <sheetFormatPr defaultRowHeight="15"/>
  <cols>
    <col min="1" max="1" width="41.42578125" bestFit="1" customWidth="1"/>
  </cols>
  <sheetData>
    <row r="1" spans="1:3" s="149" customFormat="1">
      <c r="A1" s="149" t="s">
        <v>7640</v>
      </c>
    </row>
    <row r="2" spans="1:3">
      <c r="A2" t="s">
        <v>7630</v>
      </c>
      <c r="C2" t="str">
        <f>LEFT(A2,10)</f>
        <v>P000000578</v>
      </c>
    </row>
    <row r="3" spans="1:3">
      <c r="A3" t="s">
        <v>7630</v>
      </c>
      <c r="C3" s="149" t="str">
        <f t="shared" ref="C3:C66" si="0">LEFT(A3,10)</f>
        <v>P000000578</v>
      </c>
    </row>
    <row r="4" spans="1:3">
      <c r="A4" t="s">
        <v>7630</v>
      </c>
      <c r="C4" s="149" t="str">
        <f t="shared" si="0"/>
        <v>P000000578</v>
      </c>
    </row>
    <row r="5" spans="1:3">
      <c r="A5" t="s">
        <v>7630</v>
      </c>
      <c r="C5" s="149" t="str">
        <f t="shared" si="0"/>
        <v>P000000578</v>
      </c>
    </row>
    <row r="6" spans="1:3">
      <c r="A6" t="s">
        <v>7630</v>
      </c>
      <c r="C6" s="149" t="str">
        <f t="shared" si="0"/>
        <v>P000000578</v>
      </c>
    </row>
    <row r="7" spans="1:3">
      <c r="A7" t="s">
        <v>7631</v>
      </c>
      <c r="C7" s="149" t="str">
        <f t="shared" si="0"/>
        <v>P000000087</v>
      </c>
    </row>
    <row r="8" spans="1:3">
      <c r="A8" t="s">
        <v>7631</v>
      </c>
      <c r="C8" s="149" t="str">
        <f t="shared" si="0"/>
        <v>P000000087</v>
      </c>
    </row>
    <row r="9" spans="1:3">
      <c r="A9" t="s">
        <v>7631</v>
      </c>
      <c r="C9" s="149" t="str">
        <f t="shared" si="0"/>
        <v>P000000087</v>
      </c>
    </row>
    <row r="10" spans="1:3">
      <c r="A10" t="s">
        <v>7631</v>
      </c>
      <c r="C10" s="149" t="str">
        <f t="shared" si="0"/>
        <v>P000000087</v>
      </c>
    </row>
    <row r="11" spans="1:3">
      <c r="A11" t="s">
        <v>7631</v>
      </c>
      <c r="C11" s="149" t="str">
        <f t="shared" si="0"/>
        <v>P000000087</v>
      </c>
    </row>
    <row r="12" spans="1:3">
      <c r="A12" t="s">
        <v>7631</v>
      </c>
      <c r="C12" s="149" t="str">
        <f t="shared" si="0"/>
        <v>P000000087</v>
      </c>
    </row>
    <row r="13" spans="1:3">
      <c r="A13" t="s">
        <v>7630</v>
      </c>
      <c r="C13" s="149" t="str">
        <f t="shared" si="0"/>
        <v>P000000578</v>
      </c>
    </row>
    <row r="14" spans="1:3">
      <c r="A14" t="s">
        <v>7630</v>
      </c>
      <c r="C14" s="149" t="str">
        <f t="shared" si="0"/>
        <v>P000000578</v>
      </c>
    </row>
    <row r="15" spans="1:3">
      <c r="A15" t="s">
        <v>7632</v>
      </c>
      <c r="C15" s="149" t="str">
        <f t="shared" si="0"/>
        <v>P000000219</v>
      </c>
    </row>
    <row r="16" spans="1:3">
      <c r="A16" t="s">
        <v>7632</v>
      </c>
      <c r="C16" s="149" t="str">
        <f t="shared" si="0"/>
        <v>P000000219</v>
      </c>
    </row>
    <row r="17" spans="1:3">
      <c r="A17" t="s">
        <v>7632</v>
      </c>
      <c r="C17" s="149" t="str">
        <f t="shared" si="0"/>
        <v>P000000219</v>
      </c>
    </row>
    <row r="18" spans="1:3">
      <c r="A18" t="s">
        <v>7632</v>
      </c>
      <c r="C18" s="149" t="str">
        <f t="shared" si="0"/>
        <v>P000000219</v>
      </c>
    </row>
    <row r="19" spans="1:3">
      <c r="A19" t="s">
        <v>7632</v>
      </c>
      <c r="C19" s="149" t="str">
        <f t="shared" si="0"/>
        <v>P000000219</v>
      </c>
    </row>
    <row r="20" spans="1:3">
      <c r="A20" t="s">
        <v>7632</v>
      </c>
      <c r="C20" s="149" t="str">
        <f t="shared" si="0"/>
        <v>P000000219</v>
      </c>
    </row>
    <row r="21" spans="1:3">
      <c r="A21" t="s">
        <v>7632</v>
      </c>
      <c r="C21" s="149" t="str">
        <f t="shared" si="0"/>
        <v>P000000219</v>
      </c>
    </row>
    <row r="22" spans="1:3">
      <c r="A22" t="s">
        <v>7632</v>
      </c>
      <c r="C22" s="149" t="str">
        <f t="shared" si="0"/>
        <v>P000000219</v>
      </c>
    </row>
    <row r="23" spans="1:3">
      <c r="A23" t="s">
        <v>7632</v>
      </c>
      <c r="C23" s="149" t="str">
        <f t="shared" si="0"/>
        <v>P000000219</v>
      </c>
    </row>
    <row r="24" spans="1:3">
      <c r="A24" t="s">
        <v>7632</v>
      </c>
      <c r="C24" s="149" t="str">
        <f t="shared" si="0"/>
        <v>P000000219</v>
      </c>
    </row>
    <row r="25" spans="1:3">
      <c r="A25" t="s">
        <v>7632</v>
      </c>
      <c r="C25" s="149" t="str">
        <f t="shared" si="0"/>
        <v>P000000219</v>
      </c>
    </row>
    <row r="26" spans="1:3">
      <c r="A26" t="s">
        <v>7632</v>
      </c>
      <c r="C26" s="149" t="str">
        <f t="shared" si="0"/>
        <v>P000000219</v>
      </c>
    </row>
    <row r="27" spans="1:3">
      <c r="A27" t="s">
        <v>7632</v>
      </c>
      <c r="C27" s="149" t="str">
        <f t="shared" si="0"/>
        <v>P000000219</v>
      </c>
    </row>
    <row r="28" spans="1:3">
      <c r="A28" t="s">
        <v>7632</v>
      </c>
      <c r="C28" s="149" t="str">
        <f t="shared" si="0"/>
        <v>P000000219</v>
      </c>
    </row>
    <row r="29" spans="1:3">
      <c r="A29" t="s">
        <v>7632</v>
      </c>
      <c r="C29" s="149" t="str">
        <f t="shared" si="0"/>
        <v>P000000219</v>
      </c>
    </row>
    <row r="30" spans="1:3">
      <c r="A30" t="s">
        <v>7632</v>
      </c>
      <c r="C30" s="149" t="str">
        <f t="shared" si="0"/>
        <v>P000000219</v>
      </c>
    </row>
    <row r="31" spans="1:3">
      <c r="A31" t="s">
        <v>7632</v>
      </c>
      <c r="C31" s="149" t="str">
        <f t="shared" si="0"/>
        <v>P000000219</v>
      </c>
    </row>
    <row r="32" spans="1:3">
      <c r="A32" t="s">
        <v>7632</v>
      </c>
      <c r="C32" s="149" t="str">
        <f t="shared" si="0"/>
        <v>P000000219</v>
      </c>
    </row>
    <row r="33" spans="1:3">
      <c r="A33" t="s">
        <v>7632</v>
      </c>
      <c r="C33" s="149" t="str">
        <f t="shared" si="0"/>
        <v>P000000219</v>
      </c>
    </row>
    <row r="34" spans="1:3">
      <c r="A34" t="s">
        <v>7632</v>
      </c>
      <c r="C34" s="149" t="str">
        <f t="shared" si="0"/>
        <v>P000000219</v>
      </c>
    </row>
    <row r="35" spans="1:3">
      <c r="A35" t="s">
        <v>7632</v>
      </c>
      <c r="C35" s="149" t="str">
        <f t="shared" si="0"/>
        <v>P000000219</v>
      </c>
    </row>
    <row r="36" spans="1:3">
      <c r="A36" t="s">
        <v>7632</v>
      </c>
      <c r="C36" s="149" t="str">
        <f t="shared" si="0"/>
        <v>P000000219</v>
      </c>
    </row>
    <row r="37" spans="1:3">
      <c r="A37" t="s">
        <v>7632</v>
      </c>
      <c r="C37" s="149" t="str">
        <f t="shared" si="0"/>
        <v>P000000219</v>
      </c>
    </row>
    <row r="38" spans="1:3">
      <c r="A38" t="s">
        <v>7632</v>
      </c>
      <c r="C38" s="149" t="str">
        <f t="shared" si="0"/>
        <v>P000000219</v>
      </c>
    </row>
    <row r="39" spans="1:3">
      <c r="A39" t="s">
        <v>7632</v>
      </c>
      <c r="C39" s="149" t="str">
        <f t="shared" si="0"/>
        <v>P000000219</v>
      </c>
    </row>
    <row r="40" spans="1:3">
      <c r="A40" t="s">
        <v>7632</v>
      </c>
      <c r="C40" s="149" t="str">
        <f t="shared" si="0"/>
        <v>P000000219</v>
      </c>
    </row>
    <row r="41" spans="1:3">
      <c r="A41" t="s">
        <v>7632</v>
      </c>
      <c r="C41" s="149" t="str">
        <f t="shared" si="0"/>
        <v>P000000219</v>
      </c>
    </row>
    <row r="42" spans="1:3">
      <c r="A42" t="s">
        <v>7632</v>
      </c>
      <c r="C42" s="149" t="str">
        <f t="shared" si="0"/>
        <v>P000000219</v>
      </c>
    </row>
    <row r="43" spans="1:3">
      <c r="A43" t="s">
        <v>7632</v>
      </c>
      <c r="C43" s="149" t="str">
        <f t="shared" si="0"/>
        <v>P000000219</v>
      </c>
    </row>
    <row r="44" spans="1:3">
      <c r="A44" t="s">
        <v>7632</v>
      </c>
      <c r="C44" s="149" t="str">
        <f t="shared" si="0"/>
        <v>P000000219</v>
      </c>
    </row>
    <row r="45" spans="1:3">
      <c r="A45" t="s">
        <v>7632</v>
      </c>
      <c r="C45" s="149" t="str">
        <f t="shared" si="0"/>
        <v>P000000219</v>
      </c>
    </row>
    <row r="46" spans="1:3">
      <c r="A46" t="s">
        <v>7632</v>
      </c>
      <c r="C46" s="149" t="str">
        <f t="shared" si="0"/>
        <v>P000000219</v>
      </c>
    </row>
    <row r="47" spans="1:3">
      <c r="A47" t="s">
        <v>7632</v>
      </c>
      <c r="C47" s="149" t="str">
        <f t="shared" si="0"/>
        <v>P000000219</v>
      </c>
    </row>
    <row r="48" spans="1:3">
      <c r="A48" t="s">
        <v>7632</v>
      </c>
      <c r="C48" s="149" t="str">
        <f t="shared" si="0"/>
        <v>P000000219</v>
      </c>
    </row>
    <row r="49" spans="1:3">
      <c r="A49" t="s">
        <v>7632</v>
      </c>
      <c r="C49" s="149" t="str">
        <f t="shared" si="0"/>
        <v>P000000219</v>
      </c>
    </row>
    <row r="50" spans="1:3">
      <c r="A50" t="s">
        <v>7632</v>
      </c>
      <c r="C50" s="149" t="str">
        <f t="shared" si="0"/>
        <v>P000000219</v>
      </c>
    </row>
    <row r="51" spans="1:3">
      <c r="A51" t="s">
        <v>7632</v>
      </c>
      <c r="C51" s="149" t="str">
        <f t="shared" si="0"/>
        <v>P000000219</v>
      </c>
    </row>
    <row r="52" spans="1:3">
      <c r="A52" t="s">
        <v>7632</v>
      </c>
      <c r="C52" s="149" t="str">
        <f t="shared" si="0"/>
        <v>P000000219</v>
      </c>
    </row>
    <row r="53" spans="1:3">
      <c r="A53" t="s">
        <v>7632</v>
      </c>
      <c r="C53" s="149" t="str">
        <f t="shared" si="0"/>
        <v>P000000219</v>
      </c>
    </row>
    <row r="54" spans="1:3">
      <c r="A54" t="s">
        <v>7632</v>
      </c>
      <c r="C54" s="149" t="str">
        <f t="shared" si="0"/>
        <v>P000000219</v>
      </c>
    </row>
    <row r="55" spans="1:3">
      <c r="A55" t="s">
        <v>7632</v>
      </c>
      <c r="C55" s="149" t="str">
        <f t="shared" si="0"/>
        <v>P000000219</v>
      </c>
    </row>
    <row r="56" spans="1:3">
      <c r="A56" t="s">
        <v>7632</v>
      </c>
      <c r="C56" s="149" t="str">
        <f t="shared" si="0"/>
        <v>P000000219</v>
      </c>
    </row>
    <row r="57" spans="1:3">
      <c r="A57" t="s">
        <v>7632</v>
      </c>
      <c r="C57" s="149" t="str">
        <f t="shared" si="0"/>
        <v>P000000219</v>
      </c>
    </row>
    <row r="58" spans="1:3">
      <c r="A58" t="s">
        <v>7632</v>
      </c>
      <c r="C58" s="149" t="str">
        <f t="shared" si="0"/>
        <v>P000000219</v>
      </c>
    </row>
    <row r="59" spans="1:3">
      <c r="A59" t="s">
        <v>7632</v>
      </c>
      <c r="C59" s="149" t="str">
        <f t="shared" si="0"/>
        <v>P000000219</v>
      </c>
    </row>
    <row r="60" spans="1:3">
      <c r="A60" t="s">
        <v>7632</v>
      </c>
      <c r="C60" s="149" t="str">
        <f t="shared" si="0"/>
        <v>P000000219</v>
      </c>
    </row>
    <row r="61" spans="1:3">
      <c r="A61" t="s">
        <v>7632</v>
      </c>
      <c r="C61" s="149" t="str">
        <f t="shared" si="0"/>
        <v>P000000219</v>
      </c>
    </row>
    <row r="62" spans="1:3">
      <c r="A62" t="s">
        <v>7632</v>
      </c>
      <c r="C62" s="149" t="str">
        <f t="shared" si="0"/>
        <v>P000000219</v>
      </c>
    </row>
    <row r="63" spans="1:3">
      <c r="A63" t="s">
        <v>7632</v>
      </c>
      <c r="C63" s="149" t="str">
        <f t="shared" si="0"/>
        <v>P000000219</v>
      </c>
    </row>
    <row r="64" spans="1:3">
      <c r="A64" t="s">
        <v>7632</v>
      </c>
      <c r="C64" s="149" t="str">
        <f t="shared" si="0"/>
        <v>P000000219</v>
      </c>
    </row>
    <row r="65" spans="1:3">
      <c r="A65" t="s">
        <v>7632</v>
      </c>
      <c r="C65" s="149" t="str">
        <f t="shared" si="0"/>
        <v>P000000219</v>
      </c>
    </row>
    <row r="66" spans="1:3">
      <c r="A66" t="s">
        <v>7633</v>
      </c>
      <c r="C66" s="149" t="str">
        <f t="shared" si="0"/>
        <v>P000000522</v>
      </c>
    </row>
    <row r="67" spans="1:3">
      <c r="A67" t="s">
        <v>7633</v>
      </c>
      <c r="C67" s="149" t="str">
        <f t="shared" ref="C67:C71" si="1">LEFT(A67,10)</f>
        <v>P000000522</v>
      </c>
    </row>
    <row r="68" spans="1:3">
      <c r="A68" t="s">
        <v>7633</v>
      </c>
      <c r="C68" s="149" t="str">
        <f t="shared" si="1"/>
        <v>P000000522</v>
      </c>
    </row>
    <row r="69" spans="1:3">
      <c r="A69" t="s">
        <v>7633</v>
      </c>
      <c r="C69" s="149" t="str">
        <f t="shared" si="1"/>
        <v>P000000522</v>
      </c>
    </row>
    <row r="70" spans="1:3">
      <c r="A70" t="s">
        <v>7634</v>
      </c>
      <c r="C70" s="149" t="str">
        <f t="shared" si="1"/>
        <v>P000001272</v>
      </c>
    </row>
    <row r="71" spans="1:3">
      <c r="A71" t="s">
        <v>7634</v>
      </c>
      <c r="C71" s="149" t="str">
        <f t="shared" si="1"/>
        <v>P000001272</v>
      </c>
    </row>
    <row r="72" spans="1:3">
      <c r="A72" s="179" t="s">
        <v>7641</v>
      </c>
      <c r="B72">
        <v>1</v>
      </c>
      <c r="C72" t="str">
        <f>A72</f>
        <v>P000001412</v>
      </c>
    </row>
    <row r="73" spans="1:3">
      <c r="A73" t="s">
        <v>7635</v>
      </c>
      <c r="C73" s="149" t="str">
        <f t="shared" ref="C73:C74" si="2">LEFT(A73,10)</f>
        <v>P000000250</v>
      </c>
    </row>
    <row r="74" spans="1:3">
      <c r="A74" t="s">
        <v>7635</v>
      </c>
      <c r="C74" s="149" t="str">
        <f t="shared" si="2"/>
        <v>P000000250</v>
      </c>
    </row>
    <row r="75" spans="1:3">
      <c r="A75" s="179" t="s">
        <v>7642</v>
      </c>
      <c r="B75">
        <v>1</v>
      </c>
      <c r="C75" s="149" t="str">
        <f>A75</f>
        <v>P000001411</v>
      </c>
    </row>
    <row r="76" spans="1:3">
      <c r="A76" t="s">
        <v>7636</v>
      </c>
      <c r="C76" s="149" t="str">
        <f t="shared" ref="C76:C86" si="3">LEFT(A76,10)</f>
        <v>P000001300</v>
      </c>
    </row>
    <row r="77" spans="1:3">
      <c r="A77" t="s">
        <v>7636</v>
      </c>
      <c r="C77" s="149" t="str">
        <f t="shared" si="3"/>
        <v>P000001300</v>
      </c>
    </row>
    <row r="78" spans="1:3">
      <c r="A78" t="s">
        <v>7636</v>
      </c>
      <c r="C78" s="149" t="str">
        <f t="shared" si="3"/>
        <v>P000001300</v>
      </c>
    </row>
    <row r="79" spans="1:3">
      <c r="A79" t="s">
        <v>7636</v>
      </c>
      <c r="C79" s="149" t="str">
        <f t="shared" si="3"/>
        <v>P000001300</v>
      </c>
    </row>
    <row r="80" spans="1:3">
      <c r="A80" t="s">
        <v>7636</v>
      </c>
      <c r="C80" s="149" t="str">
        <f t="shared" si="3"/>
        <v>P000001300</v>
      </c>
    </row>
    <row r="81" spans="1:3">
      <c r="A81" t="s">
        <v>7637</v>
      </c>
      <c r="C81" s="149" t="str">
        <f t="shared" si="3"/>
        <v>P000001301</v>
      </c>
    </row>
    <row r="82" spans="1:3">
      <c r="A82" t="s">
        <v>7637</v>
      </c>
      <c r="C82" s="149" t="str">
        <f t="shared" si="3"/>
        <v>P000001301</v>
      </c>
    </row>
    <row r="83" spans="1:3">
      <c r="A83" t="s">
        <v>7638</v>
      </c>
      <c r="C83" s="149" t="str">
        <f t="shared" si="3"/>
        <v>P000001302</v>
      </c>
    </row>
    <row r="84" spans="1:3">
      <c r="A84" t="s">
        <v>7639</v>
      </c>
      <c r="C84" s="149" t="str">
        <f t="shared" si="3"/>
        <v>P000000521</v>
      </c>
    </row>
    <row r="85" spans="1:3">
      <c r="A85" t="s">
        <v>7639</v>
      </c>
      <c r="C85" s="149" t="str">
        <f t="shared" si="3"/>
        <v>P000000521</v>
      </c>
    </row>
    <row r="86" spans="1:3">
      <c r="A86" t="s">
        <v>7639</v>
      </c>
      <c r="C86" s="149" t="str">
        <f t="shared" si="3"/>
        <v>P000000521</v>
      </c>
    </row>
    <row r="87" spans="1:3">
      <c r="A87" s="179" t="s">
        <v>7643</v>
      </c>
      <c r="C87" s="149" t="str">
        <f>A87</f>
        <v>P000001396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2D66-EF3A-4286-9AB6-79ED538828C6}">
  <dimension ref="A1:B24"/>
  <sheetViews>
    <sheetView workbookViewId="0">
      <selection activeCell="A8" sqref="A8"/>
    </sheetView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s="149" t="s">
        <v>6565</v>
      </c>
    </row>
    <row r="2" spans="1:2">
      <c r="A2" t="s">
        <v>6743</v>
      </c>
      <c r="B2" s="149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7543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s="149" t="s">
        <v>7544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/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6565</v>
      </c>
    </row>
    <row r="2" spans="1:2">
      <c r="A2" t="s">
        <v>6743</v>
      </c>
      <c r="B2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7542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KPI</vt:lpstr>
      <vt:lpstr>Sheet5</vt:lpstr>
      <vt:lpstr>Sheet7</vt:lpstr>
      <vt:lpstr>Report</vt:lpstr>
      <vt:lpstr>OK</vt:lpstr>
      <vt:lpstr>PROC</vt:lpstr>
      <vt:lpstr>Sheet6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2026-01-19T12:12:22Z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