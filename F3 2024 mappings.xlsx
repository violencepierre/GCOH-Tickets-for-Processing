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1B779E5-3038-406F-BC80-0C0D050B1BC3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340" i="1" l="1"/>
  <c r="J4339" i="1"/>
  <c r="J4338" i="1"/>
  <c r="J4337" i="1"/>
  <c r="J4336" i="1"/>
  <c r="J4333" i="1"/>
  <c r="J4327" i="1"/>
  <c r="J4326" i="1"/>
  <c r="J4325" i="1"/>
  <c r="J4322" i="1"/>
  <c r="J4321" i="1"/>
  <c r="J4320" i="1"/>
  <c r="J4310" i="1"/>
  <c r="J4309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8" i="1"/>
  <c r="J4319" i="1"/>
  <c r="J4323" i="1"/>
  <c r="J4324" i="1"/>
  <c r="J4328" i="1"/>
  <c r="J4329" i="1"/>
  <c r="J4330" i="1"/>
  <c r="J4331" i="1"/>
  <c r="J4332" i="1"/>
  <c r="J4334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J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297" i="1"/>
  <c r="J4298" i="1"/>
  <c r="J4299" i="1"/>
  <c r="J4300" i="1"/>
  <c r="J4301" i="1"/>
  <c r="J4302" i="1"/>
  <c r="J4303" i="1"/>
  <c r="J4307" i="1"/>
  <c r="J4308" i="1"/>
  <c r="J4311" i="1"/>
  <c r="J4312" i="1"/>
  <c r="J4313" i="1"/>
  <c r="J4314" i="1"/>
  <c r="J4315" i="1"/>
  <c r="J431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J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<sst xmlns="http://schemas.openxmlformats.org/spreadsheetml/2006/main" count="38788" uniqueCount="6490">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</sst>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3.163273726852" createdVersion="7" refreshedVersion="7" minRefreshableVersion="3" recordCount="4339" xr:uid="{11839AE3-6158-4318-87AD-2C711D0BF451}">
  <cacheSource type="worksheet">
    <worksheetSource name="Proc"/>
  </cacheSource>
  <cacheFields count="19">
    <cacheField name="App" numFmtId="0">
      <sharedItems containsBlank="1" count="156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04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7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6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6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6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6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5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5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5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5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5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5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5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5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5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5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5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5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5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5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5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5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5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5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5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5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5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5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3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3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3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3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3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3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3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3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3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3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3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3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3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3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3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3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3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3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3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3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3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3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3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3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3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3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3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3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3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3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3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3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3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3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3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3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3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3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3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3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3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3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3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3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3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3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3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3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3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3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3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3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3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3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3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3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3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3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3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3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3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3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3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3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3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3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3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3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3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3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3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3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3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3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3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3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3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3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3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3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3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3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3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3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3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3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3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3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3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3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3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3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3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3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3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3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3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3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3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3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3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3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3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3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3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0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0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0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0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0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0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0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0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0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0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4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4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4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4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4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4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4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4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4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8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2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1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6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1"/>
    <n v="11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1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1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1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1"/>
    <n v="1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"/>
    <s v="Ruby Grace Garcia"/>
    <m/>
  </r>
  <r>
    <x v="377"/>
    <x v="1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"/>
    <s v="Henry Ifurung Jr."/>
    <m/>
  </r>
  <r>
    <x v="377"/>
    <x v="1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"/>
    <s v="Henry Ifurung Jr."/>
    <m/>
  </r>
  <r>
    <x v="377"/>
    <x v="1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"/>
    <s v="Henry Ifurung Jr."/>
    <m/>
  </r>
  <r>
    <x v="377"/>
    <x v="1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"/>
    <s v="Henry Ifurung Jr."/>
    <m/>
  </r>
  <r>
    <x v="377"/>
    <x v="1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"/>
    <s v="Henry Ifurung Jr."/>
    <m/>
  </r>
  <r>
    <x v="377"/>
    <x v="1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"/>
    <s v="Henry Ifurung Jr."/>
    <m/>
  </r>
  <r>
    <x v="377"/>
    <x v="1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"/>
    <s v="Henry Ifurung Jr."/>
    <m/>
  </r>
  <r>
    <x v="377"/>
    <x v="1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"/>
    <s v="Henry Ifurung Jr."/>
    <m/>
  </r>
  <r>
    <x v="377"/>
    <x v="1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"/>
    <s v="Henry Ifurung Jr."/>
    <m/>
  </r>
  <r>
    <x v="377"/>
    <x v="1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"/>
    <s v="Henry Ifurung Jr."/>
    <m/>
  </r>
  <r>
    <x v="377"/>
    <x v="1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"/>
    <s v="Henry Ifurung Jr."/>
    <m/>
  </r>
  <r>
    <x v="377"/>
    <x v="1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"/>
    <s v="Henry Ifurung Jr."/>
    <m/>
  </r>
  <r>
    <x v="377"/>
    <x v="1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"/>
    <s v="Henry Ifurung Jr."/>
    <m/>
  </r>
  <r>
    <x v="377"/>
    <x v="1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"/>
    <s v="Henry Ifurung Jr."/>
    <m/>
  </r>
  <r>
    <x v="377"/>
    <x v="1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"/>
    <s v="Henry Ifurung Jr."/>
    <m/>
  </r>
  <r>
    <x v="377"/>
    <x v="1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"/>
    <s v="Henry Ifurung Jr."/>
    <m/>
  </r>
  <r>
    <x v="377"/>
    <x v="1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"/>
    <s v="Henry Ifurung Jr."/>
    <m/>
  </r>
  <r>
    <x v="377"/>
    <x v="1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"/>
    <s v="Henry Ifurung Jr."/>
    <m/>
  </r>
  <r>
    <x v="377"/>
    <x v="1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"/>
    <s v="Henry Ifurung Jr."/>
    <m/>
  </r>
  <r>
    <x v="377"/>
    <x v="1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5 EU GP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6 GPE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7 GSP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0"/>
    <n v="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0"/>
    <n v="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0"/>
    <n v="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0"/>
    <n v="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0"/>
    <n v="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0"/>
    <n v="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0"/>
    <n v="2"/>
    <s v="Henry Ifurung Jr."/>
    <m/>
  </r>
  <r>
    <x v="383"/>
    <x v="1"/>
    <x v="5"/>
    <s v="CSCALA_1022$ITX"/>
    <s v="G000001356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PMIT"/>
    <s v="G000000277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ITIW"/>
    <s v="G000000282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FLTFLE_1075IT107503"/>
    <s v="G000000277"/>
    <s v="DFLTPGCOH_001075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EU_1000PL80GFO016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03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BTL55"/>
    <s v="G000001444"/>
    <s v="G000000243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26"/>
    <s v="G000001442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1000$$$DE65GIT032"/>
    <s v="G000000256"/>
    <s v="DFLTPGCOH_BF-C2_001242"/>
    <s v="LFF (MDG-F)"/>
    <s v="DE65GIT032"/>
    <m/>
    <b v="0"/>
    <x v="0"/>
    <x v="0"/>
    <d v="2025-10-03T00:00:00"/>
    <m/>
    <m/>
    <x v="0"/>
    <n v="0"/>
    <s v="Jay-R Lizardo"/>
    <m/>
  </r>
  <r>
    <x v="383"/>
    <x v="1"/>
    <x v="6"/>
    <s v="CLFF_1000$$$DE10695300"/>
    <s v="L000013894"/>
    <s v="L000013395"/>
    <s v="LFF (MDG-F)"/>
    <s v="DE10695300"/>
    <m/>
    <b v="0"/>
    <x v="0"/>
    <x v="0"/>
    <d v="2025-10-03T00:00:00"/>
    <m/>
    <m/>
    <x v="0"/>
    <n v="0"/>
    <s v="Jay-R Lizardo"/>
    <m/>
  </r>
  <r>
    <x v="383"/>
    <x v="1"/>
    <x v="6"/>
    <s v="CLFF_1000$$$DE10GMS070"/>
    <s v="G000001442"/>
    <s v="G000001416"/>
    <s v="LFF (MDG-F)"/>
    <s v="DE10GMS070"/>
    <m/>
    <b v="0"/>
    <x v="0"/>
    <x v="0"/>
    <d v="2025-10-03T00:00:00"/>
    <m/>
    <m/>
    <x v="0"/>
    <n v="0"/>
    <s v="Jay-R Lizardo"/>
    <m/>
  </r>
  <r>
    <x v="383"/>
    <x v="1"/>
    <x v="6"/>
    <s v="CLFF_1000$$$DE10669638"/>
    <s v="G000001441"/>
    <s v="G000001416"/>
    <s v="LFF (MDG-F)"/>
    <s v="DE10669638"/>
    <m/>
    <b v="0"/>
    <x v="0"/>
    <x v="0"/>
    <d v="2025-10-03T00:00:00"/>
    <m/>
    <m/>
    <x v="0"/>
    <n v="0"/>
    <s v="Jay-R Lizardo"/>
    <m/>
  </r>
  <r>
    <x v="383"/>
    <x v="1"/>
    <x v="6"/>
    <s v="CLFF_7210$$$1937OF0002"/>
    <s v="L000013395"/>
    <s v="L000013120"/>
    <s v="LFF (MDG-F)"/>
    <s v="1937OF0002"/>
    <m/>
    <b v="0"/>
    <x v="0"/>
    <x v="0"/>
    <d v="2025-10-03T00:00:00"/>
    <m/>
    <m/>
    <x v="0"/>
    <n v="0"/>
    <s v="Jay-R Lizardo"/>
    <m/>
  </r>
  <r>
    <x v="383"/>
    <x v="1"/>
    <x v="5"/>
    <s v="CNOW_7210$$$0000052357"/>
    <s v="G000001235"/>
    <s v="DFLTPGCOH_002119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7210$$$2123GMS080"/>
    <s v="G000001443"/>
    <s v="G000001416"/>
    <s v="LFF (MDG-F)"/>
    <s v="2123GMS080"/>
    <m/>
    <b v="0"/>
    <x v="0"/>
    <x v="0"/>
    <d v="2025-10-03T00:00:00"/>
    <m/>
    <m/>
    <x v="0"/>
    <n v="0"/>
    <s v="Jay-R Lizardo"/>
    <m/>
  </r>
  <r>
    <x v="383"/>
    <x v="1"/>
    <x v="6"/>
    <s v="CLFF_7210$$$2123GMS050"/>
    <s v="G000001441"/>
    <s v="G000001416"/>
    <s v="LFF (MDG-F)"/>
    <s v="2123GMS050"/>
    <m/>
    <b v="0"/>
    <x v="0"/>
    <x v="0"/>
    <d v="2025-10-03T00:00:00"/>
    <m/>
    <m/>
    <x v="0"/>
    <n v="0"/>
    <s v="Jay-R Lizardo"/>
    <m/>
  </r>
  <r>
    <x v="383"/>
    <x v="1"/>
    <x v="5"/>
    <s v="CNOW_AUS0$$$0000092051"/>
    <s v="G000001234"/>
    <s v="G000001233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VMCA$$$US10GIT050"/>
    <s v="P000000765"/>
    <s v="P000001319"/>
    <s v="LFF (MDG-F)"/>
    <s v="US10GIT050"/>
    <m/>
    <b v="0"/>
    <x v="0"/>
    <x v="0"/>
    <d v="2025-10-03T00:00:00"/>
    <m/>
    <m/>
    <x v="0"/>
    <n v="0"/>
    <s v="Jay-R Lizardo"/>
    <m/>
  </r>
  <r>
    <x v="383"/>
    <x v="1"/>
    <x v="5"/>
    <s v="CORAERP_MMOR1975.9083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10482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52358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4"/>
    <x v="1"/>
    <x v="5"/>
    <s v="CTEMPLA_1000BR10500200 EHS Alphaville"/>
    <s v="L000008037"/>
    <s v="L000008032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9120 EU Facilities 3"/>
    <s v="L000005965"/>
    <s v="L000011242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034L81000 ES40 LF ADM"/>
    <s v="L000012735"/>
    <s v="L000011191"/>
    <s v="LFF (MDG-F)"/>
    <s v="2034L81000"/>
    <m/>
    <b v="0"/>
    <x v="2"/>
    <x v="0"/>
    <d v="2025-10-03T00:00:00"/>
    <m/>
    <m/>
    <x v="0"/>
    <n v="0"/>
    <s v="Ruby Grace Garcia"/>
    <m/>
  </r>
  <r>
    <x v="384"/>
    <x v="1"/>
    <x v="5"/>
    <s v="CNOW_7210$$$0000058615 EHS Sigma Aldrich São Paulo"/>
    <s v="L000008037"/>
    <s v="L000011191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1 LSS Global Ops Engineering"/>
    <s v="L000013454"/>
    <s v="L000013864"/>
    <s v="LFF (MDG-F)"/>
    <s v="2102TMCZ91"/>
    <m/>
    <b v="0"/>
    <x v="2"/>
    <x v="0"/>
    <d v="2025-10-03T00:00:00"/>
    <m/>
    <m/>
    <x v="0"/>
    <n v="0"/>
    <s v="Ruby Grace Garcia"/>
    <m/>
  </r>
  <r>
    <x v="384"/>
    <x v="1"/>
    <x v="5"/>
    <s v="CNOW_7210$$$0000056343 AEM Strategy &amp;Transformation Projects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539 Strategy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04453 LS-SC-EC Proj &amp; Eng-CentralEur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1000$$$DE10B04453 LS-SC-EC Proj&amp;Eng-CE"/>
    <s v="L000013866"/>
    <s v="L000013455"/>
    <s v="LFF (MDG-F)"/>
    <s v="DE10B04453"/>
    <m/>
    <b v="0"/>
    <x v="2"/>
    <x v="0"/>
    <d v="2025-10-03T00:00:00"/>
    <m/>
    <m/>
    <x v="0"/>
    <n v="0"/>
    <s v="Ruby Grace Garcia"/>
    <m/>
  </r>
  <r>
    <x v="384"/>
    <x v="1"/>
    <x v="6"/>
    <s v="CLFF_1000$$$DE10B14453 LS-SC-EC Proj&amp;Eng-CE"/>
    <s v="L000013866"/>
    <s v="L000013455"/>
    <s v="LFF (MDG-F)"/>
    <s v="DE10B14453"/>
    <m/>
    <b v="0"/>
    <x v="2"/>
    <x v="0"/>
    <d v="2025-10-03T00:00:00"/>
    <m/>
    <m/>
    <x v="0"/>
    <n v="0"/>
    <s v="Ruby Grace Garcia"/>
    <m/>
  </r>
  <r>
    <x v="384"/>
    <x v="1"/>
    <x v="5"/>
    <s v="CNOW_7210$$$0000057019 Project Control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5169 Molsheim E&amp;T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TEMPEU_1000FR60638000 LSS Global Ops Engineering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24068118 LSS Global Engineering UK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64454 LS-SC-EAAC SME Global Automation CE"/>
    <s v="L000013867"/>
    <s v="L000013457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EMERAL_70006101TM0100 E&amp;T Proj &amp; Eng - Central Europe"/>
    <s v="L000013867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00040193 Proj &amp; Eng - USA"/>
    <s v="L000013867"/>
    <s v="L000013454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0 CHK - Cherokee TechOps Cluster Personnel"/>
    <s v="L000013867"/>
    <s v="L000013454"/>
    <s v="LFF (MDG-F)"/>
    <s v="2102TMCZ90"/>
    <m/>
    <b v="0"/>
    <x v="2"/>
    <x v="0"/>
    <d v="2025-10-03T00:00:00"/>
    <m/>
    <m/>
    <x v="0"/>
    <n v="0"/>
    <s v="Ruby Grace Garcia"/>
    <m/>
  </r>
  <r>
    <x v="384"/>
    <x v="1"/>
    <x v="5"/>
    <s v="CNOW_7210$$$0000268118 LSS Global Engineering - Rockville"/>
    <s v="L000013867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75.2696 Engineering - LSS Global Ops"/>
    <s v="L000013454"/>
    <s v="L000013864"/>
    <s v="Non-LFF"/>
    <s v=""/>
    <m/>
    <b v="0"/>
    <x v="2"/>
    <x v="0"/>
    <d v="2025-10-03T00:00:00"/>
    <m/>
    <m/>
    <x v="0"/>
    <n v="0"/>
    <s v="Ruby Grace Garcia"/>
    <m/>
  </r>
  <r>
    <x v="385"/>
    <x v="1"/>
    <x v="5"/>
    <s v="CNOW_7210$$$0000056428"/>
    <s v="L000013453"/>
    <s v="DFLTPGCOH_BS-02_002060"/>
    <s v="Non-LFF"/>
    <s v=""/>
    <m/>
    <b v="0"/>
    <x v="2"/>
    <x v="0"/>
    <d v="2025-10-03T00:00:00"/>
    <m/>
    <m/>
    <x v="0"/>
    <n v="0"/>
    <s v="Ruby Grace Garcia"/>
    <m/>
  </r>
  <r>
    <x v="385"/>
    <x v="1"/>
    <x v="6"/>
    <s v="CLFF_7210$$$1937TMCZ95 LS-OOS S&amp;I Strat &amp; Transf."/>
    <s v="L000013866"/>
    <s v="L000013456"/>
    <s v="LFF (MDG-F)"/>
    <s v="1937TMCZ95"/>
    <m/>
    <b v="0"/>
    <x v="2"/>
    <x v="0"/>
    <d v="2025-10-03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6" firstHeaderRow="1" firstDataRow="1" firstDataCol="1" rowPageCount="1" colPageCount="1"/>
  <pivotFields count="19">
    <pivotField axis="axisRow" showAll="0" sortType="ascending">
      <items count="1568">
        <item m="1" x="952"/>
        <item x="0"/>
        <item m="1" x="1022"/>
        <item m="1" x="1443"/>
        <item m="1" x="605"/>
        <item m="1" x="1460"/>
        <item m="1" x="982"/>
        <item m="1" x="1072"/>
        <item m="1" x="1493"/>
        <item m="1" x="1287"/>
        <item m="1" x="975"/>
        <item m="1" x="1559"/>
        <item m="1" x="1305"/>
        <item m="1" x="1549"/>
        <item m="1" x="923"/>
        <item m="1" x="824"/>
        <item m="1" x="528"/>
        <item m="1" x="789"/>
        <item m="1" x="1513"/>
        <item m="1" x="581"/>
        <item m="1" x="889"/>
        <item m="1" x="1257"/>
        <item m="1" x="972"/>
        <item m="1" x="1065"/>
        <item m="1" x="1361"/>
        <item m="1" x="1546"/>
        <item m="1" x="1007"/>
        <item m="1" x="1029"/>
        <item m="1" x="794"/>
        <item m="1" x="1195"/>
        <item m="1" x="954"/>
        <item m="1" x="1500"/>
        <item m="1" x="1157"/>
        <item m="1" x="590"/>
        <item m="1" x="698"/>
        <item m="1" x="1485"/>
        <item m="1" x="1249"/>
        <item m="1" x="503"/>
        <item m="1" x="1335"/>
        <item m="1" x="1001"/>
        <item m="1" x="1296"/>
        <item m="1" x="882"/>
        <item m="1" x="1234"/>
        <item m="1" x="493"/>
        <item m="1" x="523"/>
        <item m="1" x="1562"/>
        <item m="1" x="1241"/>
        <item m="1" x="1309"/>
        <item m="1" x="1416"/>
        <item m="1" x="1185"/>
        <item m="1" x="1283"/>
        <item m="1" x="1122"/>
        <item m="1" x="577"/>
        <item m="1" x="768"/>
        <item m="1" x="1544"/>
        <item m="1" x="1112"/>
        <item m="1" x="1252"/>
        <item m="1" x="780"/>
        <item m="1" x="741"/>
        <item m="1" x="1033"/>
        <item m="1" x="925"/>
        <item m="1" x="958"/>
        <item m="1" x="517"/>
        <item m="1" x="656"/>
        <item m="1" x="1318"/>
        <item m="1" x="1535"/>
        <item m="1" x="721"/>
        <item m="1" x="1126"/>
        <item m="1" x="1136"/>
        <item m="1" x="1313"/>
        <item m="1" x="1423"/>
        <item m="1" x="1301"/>
        <item m="1" x="596"/>
        <item m="1" x="1444"/>
        <item m="1" x="1174"/>
        <item m="1" x="1161"/>
        <item m="1" x="696"/>
        <item m="1" x="1049"/>
        <item m="1" x="1396"/>
        <item m="1" x="514"/>
        <item m="1" x="1093"/>
        <item m="1" x="1446"/>
        <item m="1" x="1284"/>
        <item m="1" x="1019"/>
        <item m="1" x="1061"/>
        <item m="1" x="942"/>
        <item m="1" x="1177"/>
        <item m="1" x="989"/>
        <item m="1" x="1221"/>
        <item m="1" x="705"/>
        <item m="1" x="1534"/>
        <item m="1" x="1059"/>
        <item m="1" x="1345"/>
        <item m="1" x="422"/>
        <item m="1" x="1550"/>
        <item m="1" x="1086"/>
        <item m="1" x="1375"/>
        <item m="1" x="1288"/>
        <item m="1" x="1066"/>
        <item m="1" x="576"/>
        <item m="1" x="583"/>
        <item m="1" x="623"/>
        <item m="1" x="805"/>
        <item m="1" x="1229"/>
        <item m="1" x="990"/>
        <item m="1" x="1106"/>
        <item m="1" x="1169"/>
        <item m="1" x="1316"/>
        <item m="1" x="1399"/>
        <item m="1" x="961"/>
        <item m="1" x="682"/>
        <item m="1" x="525"/>
        <item m="1" x="668"/>
        <item m="1" x="1543"/>
        <item m="1" x="700"/>
        <item m="1" x="1381"/>
        <item m="1" x="1310"/>
        <item m="1" x="928"/>
        <item m="1" x="1000"/>
        <item m="1" x="866"/>
        <item m="1" x="1123"/>
        <item m="1" x="1498"/>
        <item m="1" x="674"/>
        <item m="1" x="622"/>
        <item m="1" x="557"/>
        <item m="1" x="1223"/>
        <item m="1" x="1483"/>
        <item m="1" x="1411"/>
        <item m="1" x="1068"/>
        <item m="1" x="592"/>
        <item m="1" x="1317"/>
        <item m="1" x="769"/>
        <item m="1" x="1023"/>
        <item m="1" x="1198"/>
        <item m="1" x="1306"/>
        <item m="1" x="426"/>
        <item m="1" x="1255"/>
        <item m="1" x="1218"/>
        <item m="1" x="659"/>
        <item m="1" x="1107"/>
        <item m="1" x="995"/>
        <item m="1" x="948"/>
        <item m="1" x="681"/>
        <item m="1" x="617"/>
        <item m="1" x="857"/>
        <item m="1" x="1044"/>
        <item m="1" x="451"/>
        <item m="1" x="790"/>
        <item m="1" x="649"/>
        <item m="1" x="391"/>
        <item m="1" x="901"/>
        <item m="1" x="1102"/>
        <item m="1" x="984"/>
        <item m="1" x="1030"/>
        <item m="1" x="1349"/>
        <item m="1" x="931"/>
        <item m="1" x="1457"/>
        <item m="1" x="1181"/>
        <item m="1" x="1120"/>
        <item m="1" x="634"/>
        <item m="1" x="1267"/>
        <item m="1" x="1545"/>
        <item m="1" x="1233"/>
        <item m="1" x="1217"/>
        <item m="1" x="504"/>
        <item m="1" x="552"/>
        <item m="1" x="1087"/>
        <item m="1" x="593"/>
        <item m="1" x="1530"/>
        <item m="1" x="1196"/>
        <item m="1" x="1121"/>
        <item m="1" x="1073"/>
        <item m="1" x="874"/>
        <item m="1" x="502"/>
        <item m="1" x="602"/>
        <item m="1" x="708"/>
        <item m="1" x="1441"/>
        <item m="1" x="1473"/>
        <item m="1" x="1172"/>
        <item m="1" x="899"/>
        <item m="1" x="987"/>
        <item m="1" x="497"/>
        <item m="1" x="537"/>
        <item m="1" x="876"/>
        <item m="1" x="1101"/>
        <item m="1" x="1014"/>
        <item m="1" x="672"/>
        <item m="1" x="905"/>
        <item m="1" x="619"/>
        <item m="1" x="814"/>
        <item m="1" x="736"/>
        <item m="1" x="571"/>
        <item m="1" x="707"/>
        <item m="1" x="1077"/>
        <item m="1" x="487"/>
        <item m="1" x="726"/>
        <item m="1" x="518"/>
        <item m="1" x="1211"/>
        <item m="1" x="1400"/>
        <item m="1" x="1010"/>
        <item m="1" x="654"/>
        <item m="1" x="1304"/>
        <item m="1" x="1149"/>
        <item m="1" x="666"/>
        <item m="1" x="667"/>
        <item m="1" x="852"/>
        <item m="1" x="542"/>
        <item m="1" x="731"/>
        <item m="1" x="526"/>
        <item m="1" x="712"/>
        <item m="1" x="1280"/>
        <item m="1" x="791"/>
        <item m="1" x="1158"/>
        <item m="1" x="1208"/>
        <item m="1" x="1342"/>
        <item m="1" x="1346"/>
        <item m="1" x="1063"/>
        <item m="1" x="904"/>
        <item m="1" x="943"/>
        <item m="1" x="1510"/>
        <item m="1" x="803"/>
        <item m="1" x="615"/>
        <item m="1" x="993"/>
        <item m="1" x="450"/>
        <item m="1" x="1514"/>
        <item m="1" x="977"/>
        <item m="1" x="411"/>
        <item m="1" x="1432"/>
        <item m="1" x="1475"/>
        <item m="1" x="1312"/>
        <item m="1" x="689"/>
        <item m="1" x="428"/>
        <item m="1" x="1362"/>
        <item m="1" x="753"/>
        <item m="1" x="389"/>
        <item m="1" x="1533"/>
        <item m="1" x="777"/>
        <item m="1" x="932"/>
        <item m="1" x="1377"/>
        <item m="1" x="464"/>
        <item m="1" x="1289"/>
        <item m="1" x="1097"/>
        <item m="1" x="962"/>
        <item m="1" x="832"/>
        <item m="1" x="579"/>
        <item m="1" x="1080"/>
        <item m="1" x="782"/>
        <item m="1" x="1320"/>
        <item m="1" x="642"/>
        <item m="1" x="1390"/>
        <item m="1" x="1397"/>
        <item m="1" x="1081"/>
        <item m="1" x="1271"/>
        <item m="1" x="688"/>
        <item m="1" x="985"/>
        <item m="1" x="1274"/>
        <item m="1" x="858"/>
        <item m="1" x="1148"/>
        <item m="1" x="787"/>
        <item m="1" x="572"/>
        <item m="1" x="776"/>
        <item m="1" x="1542"/>
        <item m="1" x="1484"/>
        <item m="1" x="629"/>
        <item m="1" x="1430"/>
        <item m="1" x="436"/>
        <item m="1" x="1452"/>
        <item m="1" x="471"/>
        <item m="1" x="773"/>
        <item m="1" x="871"/>
        <item m="1" x="818"/>
        <item m="1" x="1425"/>
        <item m="1" x="1328"/>
        <item m="1" x="569"/>
        <item m="1" x="1139"/>
        <item m="1" x="1347"/>
        <item m="1" x="1481"/>
        <item m="1" x="1388"/>
        <item m="1" x="474"/>
        <item m="1" x="1554"/>
        <item m="1" x="625"/>
        <item m="1" x="906"/>
        <item m="1" x="1350"/>
        <item m="1" x="473"/>
        <item m="1" x="1409"/>
        <item m="1" x="638"/>
        <item m="1" x="1282"/>
        <item m="1" x="1146"/>
        <item m="1" x="1124"/>
        <item m="1" x="703"/>
        <item m="1" x="665"/>
        <item m="1" x="1477"/>
        <item m="1" x="418"/>
        <item m="1" x="600"/>
        <item m="1" x="1259"/>
        <item m="1" x="1370"/>
        <item m="1" x="1297"/>
        <item m="1" x="1501"/>
        <item m="1" x="1005"/>
        <item m="1" x="632"/>
        <item m="1" x="752"/>
        <item m="1" x="1071"/>
        <item m="1" x="813"/>
        <item m="1" x="1141"/>
        <item m="1" x="754"/>
        <item m="1" x="556"/>
        <item m="1" x="1209"/>
        <item m="1" x="611"/>
        <item m="1" x="491"/>
        <item m="1" x="1343"/>
        <item m="1" x="1490"/>
        <item m="1" x="1191"/>
        <item m="1" x="456"/>
        <item m="1" x="1382"/>
        <item m="1" x="1180"/>
        <item m="1" x="1290"/>
        <item m="1" x="1429"/>
        <item m="1" x="657"/>
        <item m="1" x="849"/>
        <item m="1" x="687"/>
        <item m="1" x="955"/>
        <item m="1" x="879"/>
        <item m="1" x="909"/>
        <item m="1" x="1445"/>
        <item m="1" x="891"/>
        <item m="1" x="1094"/>
        <item m="1" x="626"/>
        <item m="1" x="825"/>
        <item m="1" x="799"/>
        <item m="1" x="1142"/>
        <item m="1" x="1045"/>
        <item m="1" x="1273"/>
        <item m="1" x="795"/>
        <item m="1" x="1431"/>
        <item m="1" x="633"/>
        <item m="1" x="559"/>
        <item m="1" x="815"/>
        <item m="1" x="1356"/>
        <item m="1" x="466"/>
        <item m="1" x="467"/>
        <item m="1" x="763"/>
        <item m="1" x="1436"/>
        <item m="1" x="830"/>
        <item m="1" x="475"/>
        <item m="1" x="635"/>
        <item m="1" x="877"/>
        <item m="1" x="1188"/>
        <item m="1" x="1160"/>
        <item m="1" x="831"/>
        <item m="1" x="412"/>
        <item m="1" x="550"/>
        <item m="1" x="762"/>
        <item m="1" x="650"/>
        <item m="1" x="407"/>
        <item m="1" x="1360"/>
        <item m="1" x="1489"/>
        <item m="1" x="959"/>
        <item m="1" x="1389"/>
        <item m="1" x="1449"/>
        <item m="1" x="472"/>
        <item m="1" x="1487"/>
        <item m="1" x="1225"/>
        <item m="1" x="648"/>
        <item m="1" x="834"/>
        <item m="1" x="738"/>
        <item m="1" x="1100"/>
        <item m="1" x="671"/>
        <item m="1" x="887"/>
        <item m="1" x="1182"/>
        <item m="1" x="1307"/>
        <item m="1" x="810"/>
        <item m="1" x="938"/>
        <item m="1" x="750"/>
        <item m="1" x="676"/>
        <item m="1" x="1187"/>
        <item m="1" x="1302"/>
        <item m="1" x="1464"/>
        <item m="1" x="506"/>
        <item m="1" x="710"/>
        <item m="1" x="1150"/>
        <item m="1" x="551"/>
        <item m="1" x="838"/>
        <item m="1" x="1219"/>
        <item m="1" x="484"/>
        <item m="1" x="694"/>
        <item m="1" x="804"/>
        <item m="1" x="1410"/>
        <item m="1" x="643"/>
        <item m="1" x="913"/>
        <item m="1" x="1466"/>
        <item m="1" x="594"/>
        <item m="1" x="783"/>
        <item m="1" x="971"/>
        <item m="1" x="1308"/>
        <item m="1" x="606"/>
        <item m="1" x="862"/>
        <item m="1" x="704"/>
        <item m="1" x="1200"/>
        <item m="1" x="1386"/>
        <item m="1" x="512"/>
        <item m="1" x="732"/>
        <item m="1" x="1468"/>
        <item m="1" x="1433"/>
        <item m="1" x="533"/>
        <item m="1" x="850"/>
        <item m="1" x="1374"/>
        <item m="1" x="1505"/>
        <item m="1" x="1376"/>
        <item m="1" x="1351"/>
        <item m="1" x="482"/>
        <item m="1" x="658"/>
        <item m="1" x="740"/>
        <item m="1" x="729"/>
        <item m="1" x="956"/>
        <item m="1" x="444"/>
        <item m="1" x="1143"/>
        <item m="1" x="1214"/>
        <item m="1" x="396"/>
        <item m="1" x="1474"/>
        <item m="1" x="1336"/>
        <item m="1" x="1465"/>
        <item m="1" x="1495"/>
        <item m="1" x="1531"/>
        <item m="1" x="1469"/>
        <item m="1" x="833"/>
        <item m="1" x="1193"/>
        <item m="1" x="800"/>
        <item m="1" x="1206"/>
        <item m="1" x="1171"/>
        <item m="1" x="609"/>
        <item m="1" x="647"/>
        <item m="1" x="785"/>
        <item m="1" x="1250"/>
        <item m="1" x="770"/>
        <item m="1" x="516"/>
        <item m="1" x="1515"/>
        <item m="1" x="1265"/>
        <item m="1" x="1098"/>
        <item m="1" x="1130"/>
        <item m="1" x="1179"/>
        <item m="1" x="604"/>
        <item m="1" x="946"/>
        <item m="1" x="1291"/>
        <item m="1" x="442"/>
        <item m="1" x="685"/>
        <item m="1" x="585"/>
        <item m="1" x="582"/>
        <item m="1" x="586"/>
        <item m="1" x="387"/>
        <item m="1" x="608"/>
        <item m="1" x="1405"/>
        <item m="1" x="409"/>
        <item m="1" x="1055"/>
        <item m="1" x="1492"/>
        <item m="1" x="1303"/>
        <item m="1" x="563"/>
        <item m="1" x="1563"/>
        <item m="1" x="492"/>
        <item m="1" x="859"/>
        <item m="1" x="1082"/>
        <item m="1" x="538"/>
        <item m="1" x="991"/>
        <item m="1" x="1151"/>
        <item m="1" x="1419"/>
        <item m="1" x="1321"/>
        <item m="1" x="400"/>
        <item m="1" x="1083"/>
        <item m="1" x="483"/>
        <item m="1" x="719"/>
        <item m="1" x="691"/>
        <item m="1" x="453"/>
        <item m="1" x="1046"/>
        <item m="1" x="1053"/>
        <item m="1" x="1153"/>
        <item m="1" x="902"/>
        <item m="1" x="1402"/>
        <item m="1" x="811"/>
        <item m="1" x="1521"/>
        <item m="1" x="1156"/>
        <item m="1" x="1047"/>
        <item m="1" x="711"/>
        <item m="1" x="1119"/>
        <item m="1" x="1417"/>
        <item m="1" x="1482"/>
        <item m="1" x="1461"/>
        <item m="1" x="1391"/>
        <item m="1" x="1140"/>
        <item m="1" x="1253"/>
        <item m="1" x="766"/>
        <item m="1" x="1215"/>
        <item m="1" x="1040"/>
        <item m="1" x="999"/>
        <item m="1" x="997"/>
        <item m="1" x="998"/>
        <item m="1" x="695"/>
        <item m="1" x="739"/>
        <item m="1" x="1352"/>
        <item m="1" x="917"/>
        <item m="1" x="759"/>
        <item m="1" x="801"/>
        <item m="1" x="847"/>
        <item m="1" x="1099"/>
        <item m="1" x="1437"/>
        <item m="1" x="1526"/>
        <item m="1" x="644"/>
        <item m="1" x="595"/>
        <item m="1" x="432"/>
        <item m="1" x="454"/>
        <item m="1" x="751"/>
        <item m="1" x="539"/>
        <item m="1" x="867"/>
        <item m="1" x="1403"/>
        <item m="1" x="744"/>
        <item m="1" x="536"/>
        <item m="1" x="1295"/>
        <item m="1" x="413"/>
        <item m="1" x="1421"/>
        <item m="1" x="1496"/>
        <item m="1" x="1560"/>
        <item m="1" x="1435"/>
        <item m="1" x="678"/>
        <item m="1" x="455"/>
        <item m="1" x="919"/>
        <item m="1" x="1003"/>
        <item m="1" x="1199"/>
        <item m="1" x="1167"/>
        <item m="1" x="1203"/>
        <item m="1" x="980"/>
        <item m="1" x="1018"/>
        <item m="1" x="1459"/>
        <item m="1" x="1222"/>
        <item m="1" x="1192"/>
        <item m="1" x="1131"/>
        <item m="1" x="1204"/>
        <item m="1" x="405"/>
        <item m="1" x="410"/>
        <item m="1" x="1013"/>
        <item m="1" x="1398"/>
        <item m="1" x="968"/>
        <item m="1" x="1538"/>
        <item m="1" x="937"/>
        <item m="1" x="1113"/>
        <item m="1" x="1184"/>
        <item m="1" x="798"/>
        <item m="1" x="630"/>
        <item m="1" x="1006"/>
        <item m="1" x="692"/>
        <item m="1" x="1547"/>
        <item m="1" x="1462"/>
        <item m="1" x="1275"/>
        <item m="1" x="532"/>
        <item m="1" x="459"/>
        <item m="1" x="1032"/>
        <item m="1" x="1276"/>
        <item m="1" x="1565"/>
        <item m="1" x="911"/>
        <item m="1" x="1512"/>
        <item m="1" x="446"/>
        <item m="1" x="560"/>
        <item m="1" x="872"/>
        <item m="1" x="963"/>
        <item m="1" x="1392"/>
        <item m="1" x="716"/>
        <item m="1" x="1395"/>
        <item m="1" x="812"/>
        <item m="1" x="1384"/>
        <item m="1" x="1548"/>
        <item m="1" x="476"/>
        <item m="1" x="1532"/>
        <item m="1" x="423"/>
        <item m="1" x="1285"/>
        <item m="1" x="903"/>
        <item m="1" x="734"/>
        <item m="1" x="697"/>
        <item m="1" x="841"/>
        <item m="1" x="440"/>
        <item m="1" x="1525"/>
        <item m="1" x="524"/>
        <item m="1" x="545"/>
        <item m="1" x="1418"/>
        <item m="1" x="1497"/>
        <item m="1" x="1011"/>
        <item m="1" x="1152"/>
        <item m="1" x="853"/>
        <item m="1" x="966"/>
        <item m="1" x="1115"/>
        <item m="1" x="1232"/>
        <item m="1" x="819"/>
        <item m="1" x="1095"/>
        <item m="1" x="914"/>
        <item m="1" x="1551"/>
        <item m="1" x="404"/>
        <item m="1" x="843"/>
        <item m="1" x="784"/>
        <item m="1" x="745"/>
        <item m="1" x="1539"/>
        <item m="1" x="1357"/>
        <item m="1" x="1488"/>
        <item m="1" x="501"/>
        <item m="1" x="1499"/>
        <item m="1" x="1486"/>
        <item m="1" x="1363"/>
        <item m="1" x="598"/>
        <item m="1" x="967"/>
        <item m="1" x="1060"/>
        <item m="1" x="806"/>
        <item m="1" x="1404"/>
        <item m="1" x="1190"/>
        <item m="1" x="1210"/>
        <item m="1" x="1104"/>
        <item m="1" x="447"/>
        <item m="1" x="1277"/>
        <item m="1" x="1439"/>
        <item m="1" x="844"/>
        <item m="1" x="1558"/>
        <item m="1" x="1052"/>
        <item m="1" x="639"/>
        <item m="1" x="772"/>
        <item m="1" x="808"/>
        <item m="1" x="1467"/>
        <item m="1" x="1451"/>
        <item m="1" x="511"/>
        <item m="1" x="513"/>
        <item m="1" x="427"/>
        <item m="1" x="1387"/>
        <item m="1" x="429"/>
        <item m="1" x="846"/>
        <item m="1" x="746"/>
        <item m="1" x="1202"/>
        <item m="1" x="1145"/>
        <item m="1" x="1494"/>
        <item m="1" x="1426"/>
        <item m="1" x="918"/>
        <item m="1" x="1132"/>
        <item m="1" x="1367"/>
        <item m="1" x="480"/>
        <item m="1" x="912"/>
        <item m="1" x="842"/>
        <item m="1" x="1536"/>
        <item m="1" x="1503"/>
        <item m="1" x="934"/>
        <item m="1" x="540"/>
        <item m="1" x="835"/>
        <item m="1" x="1008"/>
        <item m="1" x="462"/>
        <item m="1" x="1298"/>
        <item m="1" x="892"/>
        <item m="1" x="702"/>
        <item m="1" x="796"/>
        <item m="1" x="1242"/>
        <item m="1" x="1541"/>
        <item m="1" x="620"/>
        <item m="1" x="1393"/>
        <item m="1" x="614"/>
        <item m="1" x="1178"/>
        <item m="1" x="950"/>
        <item m="1" x="881"/>
        <item m="1" x="603"/>
        <item m="1" x="670"/>
        <item m="1" x="458"/>
        <item m="1" x="1258"/>
        <item m="1" x="771"/>
        <item m="1" x="495"/>
        <item m="1" x="1109"/>
        <item m="1" x="1424"/>
        <item m="1" x="964"/>
        <item m="1" x="922"/>
        <item m="1" x="393"/>
        <item m="1" x="1529"/>
        <item m="1" x="779"/>
        <item m="1" x="839"/>
        <item m="1" x="1246"/>
        <item m="1" x="1523"/>
        <item m="1" x="1448"/>
        <item m="1" x="1299"/>
        <item m="1" x="1414"/>
        <item m="1" x="575"/>
        <item m="1" x="774"/>
        <item m="1" x="607"/>
        <item m="1" x="399"/>
        <item m="1" x="1012"/>
        <item m="1" x="461"/>
        <item m="1" x="683"/>
        <item m="1" x="627"/>
        <item m="1" x="573"/>
        <item m="1" x="1528"/>
        <item m="1" x="624"/>
        <item m="1" x="1226"/>
        <item m="1" x="1438"/>
        <item m="1" x="564"/>
        <item m="1" x="468"/>
        <item m="1" x="1261"/>
        <item m="1" x="1237"/>
        <item m="1" x="1278"/>
        <item m="1" x="1197"/>
        <item m="1" x="541"/>
        <item m="1" x="897"/>
        <item m="1" x="1165"/>
        <item m="1" x="1415"/>
        <item m="1" x="1009"/>
        <item m="1" x="1127"/>
        <item m="1" x="1471"/>
        <item m="1" x="883"/>
        <item m="1" x="727"/>
        <item m="1" x="960"/>
        <item m="1" x="907"/>
        <item m="1" x="837"/>
        <item m="1" x="1354"/>
        <item m="1" x="1041"/>
        <item m="1" x="1137"/>
        <item m="1" x="388"/>
        <item m="1" x="933"/>
        <item m="1" x="535"/>
        <item m="1" x="802"/>
        <item m="1" x="940"/>
        <item m="1" x="470"/>
        <item m="1" x="587"/>
        <item m="1" x="1042"/>
        <item m="1" x="1239"/>
        <item m="1" x="1509"/>
        <item m="1" x="1552"/>
        <item m="1" x="1162"/>
        <item m="1" x="510"/>
        <item m="1" x="438"/>
        <item m="1" x="1024"/>
        <item m="1" x="646"/>
        <item m="1" x="920"/>
        <item m="1" x="548"/>
        <item m="1" x="651"/>
        <item m="1" x="1078"/>
        <item m="1" x="1434"/>
        <item m="1" x="1365"/>
        <item m="1" x="781"/>
        <item m="1" x="816"/>
        <item m="1" x="1092"/>
        <item m="1" x="1522"/>
        <item m="1" x="1248"/>
        <item m="1" x="414"/>
        <item m="1" x="1476"/>
        <item m="1" x="522"/>
        <item m="1" x="1168"/>
        <item m="1" x="1213"/>
        <item m="1" x="1216"/>
        <item m="1" x="1556"/>
        <item m="1" x="449"/>
        <item m="1" x="1227"/>
        <item m="1" x="1324"/>
        <item m="1" x="1096"/>
        <item m="1" x="1266"/>
        <item m="1" x="508"/>
        <item m="1" x="900"/>
        <item m="1" x="747"/>
        <item m="1" x="1359"/>
        <item m="1" x="1454"/>
        <item m="1" x="983"/>
        <item m="1" x="1422"/>
        <item m="1" x="1470"/>
        <item m="1" x="823"/>
        <item m="1" x="1326"/>
        <item m="1" x="1189"/>
        <item m="1" x="1472"/>
        <item m="1" x="1516"/>
        <item m="1" x="1254"/>
        <item m="1" x="864"/>
        <item m="1" x="669"/>
        <item m="1" x="1504"/>
        <item m="1" x="1051"/>
        <item m="1" x="1025"/>
        <item m="1" x="1034"/>
        <item m="1" x="1555"/>
        <item m="1" x="1279"/>
        <item m="1" x="974"/>
        <item m="1" x="1243"/>
        <item m="1" x="1220"/>
        <item m="1" x="836"/>
        <item m="1" x="737"/>
        <item m="1" x="1236"/>
        <item m="1" x="631"/>
        <item m="1" x="588"/>
        <item m="1" x="530"/>
        <item m="1" x="1517"/>
        <item m="1" x="1133"/>
        <item m="1" x="868"/>
        <item m="1" x="949"/>
        <item m="1" x="430"/>
        <item m="1" x="1506"/>
        <item m="1" x="1057"/>
        <item m="1" x="1205"/>
        <item m="1" x="653"/>
        <item m="1" x="1337"/>
        <item m="1" x="840"/>
        <item m="1" x="733"/>
        <item m="1" x="1561"/>
        <item m="1" x="863"/>
        <item m="1" x="1502"/>
        <item m="1" x="1088"/>
        <item m="1" x="764"/>
        <item m="1" x="555"/>
        <item m="1" x="498"/>
        <item m="1" x="792"/>
        <item m="1" x="489"/>
        <item m="1" x="460"/>
        <item m="1" x="477"/>
        <item m="1" x="756"/>
        <item m="1" x="601"/>
        <item m="1" x="908"/>
        <item m="1" x="965"/>
        <item m="1" x="1064"/>
        <item m="1" x="935"/>
        <item m="1" x="1268"/>
        <item m="1" x="1332"/>
        <item m="1" x="544"/>
        <item m="1" x="554"/>
        <item m="1" x="743"/>
        <item m="1" x="885"/>
        <item m="1" x="675"/>
        <item m="1" x="1228"/>
        <item m="1" x="978"/>
        <item m="1" x="895"/>
        <item m="1" x="1028"/>
        <item m="1" x="1334"/>
        <item m="1" x="1272"/>
        <item m="1" x="1358"/>
        <item m="1" x="1114"/>
        <item m="1" x="534"/>
        <item m="1" x="1540"/>
        <item m="1" x="953"/>
        <item m="1" x="568"/>
        <item m="1" x="392"/>
        <item m="1" x="1537"/>
        <item m="1" x="1021"/>
        <item m="1" x="988"/>
        <item m="1" x="760"/>
        <item m="1" x="640"/>
        <item m="1" x="724"/>
        <item m="1" x="878"/>
        <item m="1" x="1453"/>
        <item m="1" x="1372"/>
        <item m="1" x="748"/>
        <item m="1" x="821"/>
        <item m="1" x="828"/>
        <item m="1" x="1366"/>
        <item m="1" x="969"/>
        <item m="1" x="441"/>
        <item m="1" x="1002"/>
        <item m="1" x="1281"/>
        <item m="1" x="1407"/>
        <item m="1" x="1300"/>
        <item m="1" x="1108"/>
        <item m="1" x="1406"/>
        <item m="1" x="420"/>
        <item m="1" x="1323"/>
        <item m="1" x="402"/>
        <item m="1" x="742"/>
        <item m="1" x="406"/>
        <item m="1" x="565"/>
        <item m="1" x="655"/>
        <item m="1" x="661"/>
        <item m="1" x="1079"/>
        <item m="1" x="1333"/>
        <item m="1" x="860"/>
        <item m="1" x="431"/>
        <item m="1" x="637"/>
        <item m="1" x="425"/>
        <item m="1" x="1420"/>
        <item m="1" x="645"/>
        <item m="1" x="981"/>
        <item m="1" x="1440"/>
        <item m="1" x="767"/>
        <item m="1" x="709"/>
        <item m="1" x="1105"/>
        <item m="1" x="662"/>
        <item m="1" x="970"/>
        <item m="1" x="1264"/>
        <item m="1" x="403"/>
        <item m="1" x="916"/>
        <item m="1" x="1035"/>
        <item m="1" x="527"/>
        <item m="1" x="869"/>
        <item m="1" x="1004"/>
        <item m="1" x="755"/>
        <item m="1" x="793"/>
        <item m="1" x="520"/>
        <item m="1" x="926"/>
        <item m="1" x="390"/>
        <item m="1" x="1062"/>
        <item m="1" x="1455"/>
        <item m="1" x="1176"/>
        <item m="1" x="1170"/>
        <item m="1" x="1069"/>
        <item m="1" x="395"/>
        <item m="1" x="1201"/>
        <item m="1" x="1244"/>
        <item m="1" x="1050"/>
        <item m="1" x="394"/>
        <item m="1" x="1401"/>
        <item m="1" x="1368"/>
        <item m="1" x="398"/>
        <item m="1" x="677"/>
        <item m="1" x="1067"/>
        <item m="1" x="1322"/>
        <item m="1" x="519"/>
        <item m="1" x="415"/>
        <item m="1" x="574"/>
        <item m="1" x="465"/>
        <item m="1" x="873"/>
        <item m="1" x="686"/>
        <item m="1" x="684"/>
        <item m="1" x="855"/>
        <item m="1" x="957"/>
        <item m="1" x="861"/>
        <item m="1" x="1058"/>
        <item m="1" x="910"/>
        <item m="1" x="775"/>
        <item m="1" x="890"/>
        <item m="1" x="1383"/>
        <item m="1" x="1478"/>
        <item m="1" x="735"/>
        <item m="1" x="1458"/>
        <item m="1" x="500"/>
        <item m="1" x="1447"/>
        <item m="1" x="1144"/>
        <item m="1" x="1315"/>
        <item m="1" x="1394"/>
        <item m="1" x="1074"/>
        <item m="1" x="1286"/>
        <item m="1" x="578"/>
        <item m="1" x="561"/>
        <item m="1" x="1183"/>
        <item m="1" x="1155"/>
        <item m="1" x="717"/>
        <item m="1" x="1553"/>
        <item m="1" x="1125"/>
        <item m="1" x="865"/>
        <item m="1" x="939"/>
        <item m="1" x="898"/>
        <item m="1" x="1408"/>
        <item m="1" x="1412"/>
        <item m="1" x="408"/>
        <item m="1" x="1292"/>
        <item m="1" x="1338"/>
        <item m="1" x="457"/>
        <item m="1" x="829"/>
        <item m="1" x="820"/>
        <item m="1" x="1327"/>
        <item m="1" x="1026"/>
        <item m="1" x="1230"/>
        <item m="1" x="896"/>
        <item m="1" x="1247"/>
        <item m="1" x="435"/>
        <item m="1" x="558"/>
        <item m="1" x="1527"/>
        <item m="1" x="1147"/>
        <item m="1" x="1519"/>
        <item m="1" x="439"/>
        <item m="1" x="699"/>
        <item m="1" x="515"/>
        <item m="1" x="448"/>
        <item m="1" x="463"/>
        <item m="1" x="1015"/>
        <item m="1" x="1048"/>
        <item m="1" x="720"/>
        <item m="1" x="1138"/>
        <item m="1" x="1456"/>
        <item m="1" x="807"/>
        <item m="1" x="886"/>
        <item m="1" x="1036"/>
        <item m="1" x="1524"/>
        <item m="1" x="701"/>
        <item m="1" x="713"/>
        <item m="1" x="723"/>
        <item m="1" x="1344"/>
        <item m="1" x="1480"/>
        <item m="1" x="397"/>
        <item m="1" x="1224"/>
        <item m="1" x="1520"/>
        <item m="1" x="621"/>
        <item m="1" x="936"/>
        <item m="1" x="1557"/>
        <item m="1" x="1463"/>
        <item m="1" x="610"/>
        <item m="1" x="722"/>
        <item m="1" x="809"/>
        <item m="1" x="1134"/>
        <item m="1" x="1331"/>
        <item m="1" x="566"/>
        <item m="1" x="1037"/>
        <item m="1" x="562"/>
        <item m="1" x="531"/>
        <item m="1" x="479"/>
        <item m="1" x="1450"/>
        <item m="1" x="1043"/>
        <item m="1" x="1491"/>
        <item m="1" x="884"/>
        <item m="1" x="1508"/>
        <item m="1" x="1260"/>
        <item m="1" x="549"/>
        <item m="1" x="1364"/>
        <item m="1" x="1378"/>
        <item m="1" x="1038"/>
        <item m="1" x="1413"/>
        <item m="1" x="1251"/>
        <item m="1" x="1116"/>
        <item m="1" x="433"/>
        <item m="1" x="1262"/>
        <item m="1" x="994"/>
        <item m="1" x="927"/>
        <item m="1" x="1270"/>
        <item m="1" x="854"/>
        <item m="1" x="488"/>
        <item m="1" x="660"/>
        <item m="1" x="437"/>
        <item m="1" x="786"/>
        <item m="1" x="1164"/>
        <item m="1" x="749"/>
        <item m="1" x="612"/>
        <item m="1" x="827"/>
        <item m="1" x="505"/>
        <item m="1" x="757"/>
        <item m="1" x="628"/>
        <item m="1" x="979"/>
        <item m="1" x="1566"/>
        <item m="1" x="1020"/>
        <item m="1" x="616"/>
        <item m="1" x="893"/>
        <item m="1" x="599"/>
        <item m="1" x="652"/>
        <item m="1" x="944"/>
        <item m="1" x="1212"/>
        <item m="1" x="929"/>
        <item m="1" x="1379"/>
        <item m="1" x="941"/>
        <item m="1" x="1175"/>
        <item m="1" x="490"/>
        <item m="1" x="973"/>
        <item m="1" x="613"/>
        <item m="1" x="543"/>
        <item m="1" x="1269"/>
        <item m="1" x="584"/>
        <item m="1" x="1293"/>
        <item m="1" x="485"/>
        <item m="1" x="1110"/>
        <item m="1" x="1117"/>
        <item m="1" x="521"/>
        <item m="1" x="1039"/>
        <item m="1" x="417"/>
        <item m="1" x="1240"/>
        <item m="1" x="945"/>
        <item m="1" x="1166"/>
        <item m="1" x="1135"/>
        <item m="1" x="1355"/>
        <item m="1" x="1128"/>
        <item m="1" x="706"/>
        <item m="1" x="1207"/>
        <item m="1" x="1341"/>
        <item m="1" x="1031"/>
        <item m="1" x="1163"/>
        <item m="1" x="496"/>
        <item m="1" x="1329"/>
        <item m="1" x="986"/>
        <item m="1" x="851"/>
        <item m="1" x="1235"/>
        <item m="1" x="761"/>
        <item m="1" x="1084"/>
        <item m="1" x="618"/>
        <item m="1" x="714"/>
        <item m="1" x="1111"/>
        <item m="1" x="880"/>
        <item m="1" x="424"/>
        <item m="1" x="758"/>
        <item m="1" x="1238"/>
        <item m="1" x="1340"/>
        <item m="1" x="443"/>
        <item m="1" x="728"/>
        <item m="1" x="663"/>
        <item m="1" x="996"/>
        <item m="1" x="1089"/>
        <item m="1" x="529"/>
        <item m="1" x="1511"/>
        <item m="1" x="494"/>
        <item m="1" x="567"/>
        <item m="1" x="1348"/>
        <item m="1" x="856"/>
        <item m="1" x="870"/>
        <item m="1" x="924"/>
        <item m="1" x="499"/>
        <item m="1" x="778"/>
        <item m="1" x="1173"/>
        <item m="1" x="1085"/>
        <item m="1" x="875"/>
        <item m="1" x="822"/>
        <item m="1" x="452"/>
        <item m="1" x="690"/>
        <item m="1" x="1154"/>
        <item m="1" x="788"/>
        <item m="1" x="951"/>
        <item m="1" x="888"/>
        <item m="1" x="1070"/>
        <item m="1" x="434"/>
        <item m="1" x="915"/>
        <item m="1" x="589"/>
        <item m="1" x="992"/>
        <item m="1" x="1118"/>
        <item m="1" x="1194"/>
        <item m="1" x="1129"/>
        <item m="1" x="1090"/>
        <item m="1" x="1016"/>
        <item m="1" x="1427"/>
        <item m="1" x="1319"/>
        <item m="1" x="570"/>
        <item m="1" x="1311"/>
        <item m="1" x="765"/>
        <item m="1" x="1075"/>
        <item m="1" x="481"/>
        <item m="1" x="1054"/>
        <item m="1" x="921"/>
        <item m="1" x="1353"/>
        <item m="1" x="507"/>
        <item m="1" x="1564"/>
        <item m="1" x="546"/>
        <item m="1" x="486"/>
        <item m="1" x="1056"/>
        <item m="1" x="1256"/>
        <item m="1" x="1159"/>
        <item m="1" x="445"/>
        <item m="1" x="597"/>
        <item m="1" x="1385"/>
        <item m="1" x="1325"/>
        <item m="1" x="580"/>
        <item m="1" x="553"/>
        <item m="1" x="848"/>
        <item m="1" x="469"/>
        <item m="1" x="1076"/>
        <item m="1" x="509"/>
        <item m="1" x="679"/>
        <item m="1" x="976"/>
        <item m="1" x="1507"/>
        <item m="1" x="547"/>
        <item m="1" x="817"/>
        <item m="1" x="664"/>
        <item m="1" x="826"/>
        <item m="1" x="1380"/>
        <item m="1" x="1263"/>
        <item m="1" x="725"/>
        <item m="1" x="478"/>
        <item m="1" x="1428"/>
        <item m="1" x="591"/>
        <item m="1" x="1373"/>
        <item m="1" x="930"/>
        <item m="1" x="1314"/>
        <item m="1" x="673"/>
        <item m="1" x="845"/>
        <item m="1" x="1330"/>
        <item m="1" x="1518"/>
        <item m="1" x="1294"/>
        <item m="1" x="693"/>
        <item m="1" x="636"/>
        <item m="1" x="1339"/>
        <item m="1" x="1103"/>
        <item m="1" x="947"/>
        <item m="1" x="1371"/>
        <item m="1" x="419"/>
        <item m="1" x="416"/>
        <item m="1" x="1091"/>
        <item m="1" x="1231"/>
        <item m="1" x="1186"/>
        <item m="1" x="1369"/>
        <item m="1" x="894"/>
        <item m="1" x="641"/>
        <item m="1" x="715"/>
        <item m="1" x="1245"/>
        <item m="1" x="797"/>
        <item m="1" x="1027"/>
        <item m="1" x="1442"/>
        <item m="1" x="680"/>
        <item m="1" x="1017"/>
        <item m="1" x="401"/>
        <item m="1" x="73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m="1" x="718"/>
        <item m="1" x="1479"/>
        <item m="1" x="421"/>
        <item m="1" x="38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2">
    <i>
      <x/>
    </i>
    <i r="1">
      <x v="1560"/>
    </i>
    <i r="2">
      <x v="8"/>
    </i>
    <i r="2">
      <x v="11"/>
    </i>
    <i r="1">
      <x v="1561"/>
    </i>
    <i r="2">
      <x v="8"/>
    </i>
    <i r="2">
      <x v="11"/>
    </i>
    <i r="1">
      <x v="1562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r="1">
      <x v="1550"/>
    </i>
    <i r="2">
      <x v="3"/>
    </i>
    <i r="2">
      <x v="11"/>
    </i>
    <i r="1">
      <x v="1554"/>
    </i>
    <i r="2">
      <x v="3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02" totalsRowShown="0" totalsRowDxfId="31">
  <autoFilter ref="A1:C1302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40" totalsRowShown="0">
  <autoFilter ref="A1:S4340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25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4"/>
    <tableColumn id="7" xr3:uid="{D69C8A00-2CB4-4F31-920A-C1D332375D40}" name="type"/>
    <tableColumn id="9" xr3:uid="{3D246B09-CC89-411A-9E7E-B79496797F29}" name="LFF_ID" dataDxfId="23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2">
      <calculatedColumnFormula>Proc[[#This Row],[Requested]]=Proc[[#This Row],[CurrentParent]]</calculatedColumnFormula>
    </tableColumn>
    <tableColumn id="24" xr3:uid="{9DAA192A-7AAB-4460-A9EA-787D5AF7E069}" name="Sector" dataDxfId="21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0"/>
    <tableColumn id="15" xr3:uid="{F0BFEDC5-AB85-4752-8DBE-1E2D2A86C38C}" name="DateOpened" dataDxfId="19"/>
    <tableColumn id="17" xr3:uid="{78B7D816-31FE-4F8F-8018-91CE8D5DE9A2}" name="DateMapped" dataDxfId="18"/>
    <tableColumn id="16" xr3:uid="{37F76675-DAA7-497A-B0C3-D5ADC87396FC}" name="DateClosed" dataDxfId="17"/>
    <tableColumn id="23" xr3:uid="{77371810-6F86-4EEF-85D0-5FCFC20B88DC}" name="Delayed?" dataDxfId="16">
      <calculatedColumnFormula>IF(Proc[[#This Row],[DaysAgeing]]&gt;5,"yep","on track")</calculatedColumnFormula>
    </tableColumn>
    <tableColumn id="18" xr3:uid="{6AC4A96E-CE6C-49CA-A4F1-794160BB5940}" name="DaysAgeing" dataDxfId="15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4"/>
    <tableColumn id="22" xr3:uid="{87389AE1-9ECE-4C7F-80F9-48A35BE78A62}" name="Prognosis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1372</v>
      </c>
    </row>
    <row r="5" spans="1:2">
      <c r="A5" s="111" t="s">
        <v>369</v>
      </c>
      <c r="B5" s="150">
        <v>1308</v>
      </c>
    </row>
    <row r="6" spans="1:2">
      <c r="A6" s="111" t="s">
        <v>404</v>
      </c>
      <c r="B6" s="150"/>
    </row>
    <row r="7" spans="1:2">
      <c r="A7" s="111" t="s">
        <v>370</v>
      </c>
      <c r="B7" s="150">
        <v>13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8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1014</v>
      </c>
    </row>
    <row r="15" spans="1:2">
      <c r="A15" s="111" t="s">
        <v>369</v>
      </c>
      <c r="B15" s="150">
        <v>968</v>
      </c>
    </row>
    <row r="16" spans="1:2">
      <c r="A16" s="111" t="s">
        <v>370</v>
      </c>
      <c r="B16" s="150">
        <v>18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11" t="s">
        <v>375</v>
      </c>
      <c r="B19" s="150">
        <v>6</v>
      </c>
    </row>
    <row r="20" spans="1:2">
      <c r="A20" s="17" t="s">
        <v>569</v>
      </c>
      <c r="B20" s="150">
        <v>1501</v>
      </c>
    </row>
    <row r="21" spans="1:2">
      <c r="A21" s="111" t="s">
        <v>369</v>
      </c>
      <c r="B21" s="150">
        <v>1482</v>
      </c>
    </row>
    <row r="22" spans="1:2">
      <c r="A22" s="111" t="s">
        <v>398</v>
      </c>
      <c r="B22" s="150">
        <v>8</v>
      </c>
    </row>
    <row r="23" spans="1:2">
      <c r="A23" s="111" t="s">
        <v>377</v>
      </c>
      <c r="B23" s="150">
        <v>10</v>
      </c>
    </row>
    <row r="24" spans="1:2">
      <c r="A24" s="111" t="s">
        <v>692</v>
      </c>
      <c r="B24" s="150">
        <v>1</v>
      </c>
    </row>
    <row r="25" spans="1:2">
      <c r="A25" s="17" t="s">
        <v>570</v>
      </c>
      <c r="B25" s="150">
        <v>443</v>
      </c>
    </row>
    <row r="26" spans="1:2">
      <c r="A26" s="111" t="s">
        <v>369</v>
      </c>
      <c r="B26" s="150">
        <v>440</v>
      </c>
    </row>
    <row r="27" spans="1:2">
      <c r="A27" s="111" t="s">
        <v>377</v>
      </c>
      <c r="B27" s="150">
        <v>2</v>
      </c>
    </row>
    <row r="28" spans="1:2">
      <c r="A28" s="111" t="s">
        <v>375</v>
      </c>
      <c r="B28" s="150">
        <v>1</v>
      </c>
    </row>
    <row r="29" spans="1:2">
      <c r="A29" s="17" t="s">
        <v>381</v>
      </c>
      <c r="B29" s="150">
        <v>4330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6"/>
  <sheetViews>
    <sheetView tabSelected="1" zoomScale="115" zoomScaleNormal="115" workbookViewId="0">
      <selection activeCell="E26" sqref="E26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45</v>
      </c>
      <c r="C5"/>
      <c r="D5"/>
      <c r="E5"/>
    </row>
    <row r="6" spans="1:6">
      <c r="A6" s="111" t="s">
        <v>6439</v>
      </c>
      <c r="B6" s="150">
        <v>21</v>
      </c>
      <c r="C6" s="126"/>
      <c r="D6" s="124"/>
      <c r="E6" s="124"/>
    </row>
    <row r="7" spans="1:6">
      <c r="A7" s="112" t="s">
        <v>370</v>
      </c>
      <c r="B7" s="150">
        <v>13</v>
      </c>
      <c r="C7"/>
      <c r="D7"/>
      <c r="E7"/>
    </row>
    <row r="8" spans="1:6">
      <c r="A8" s="112" t="s">
        <v>375</v>
      </c>
      <c r="B8" s="150">
        <v>8</v>
      </c>
      <c r="C8" s="56"/>
      <c r="D8" s="124"/>
      <c r="E8" s="124"/>
    </row>
    <row r="9" spans="1:6">
      <c r="A9" s="111" t="s">
        <v>6454</v>
      </c>
      <c r="B9" s="150">
        <v>22</v>
      </c>
      <c r="C9"/>
      <c r="D9"/>
    </row>
    <row r="10" spans="1:6">
      <c r="A10" s="112" t="s">
        <v>370</v>
      </c>
      <c r="B10" s="150">
        <v>17</v>
      </c>
      <c r="C10" s="53"/>
      <c r="D10" s="124"/>
      <c r="E10" s="124"/>
    </row>
    <row r="11" spans="1:6">
      <c r="A11" s="112" t="s">
        <v>375</v>
      </c>
      <c r="B11" s="150">
        <v>5</v>
      </c>
      <c r="C11"/>
      <c r="D11"/>
    </row>
    <row r="12" spans="1:6">
      <c r="A12" s="111" t="s">
        <v>6477</v>
      </c>
      <c r="B12" s="150">
        <v>2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12" t="s">
        <v>375</v>
      </c>
      <c r="B14" s="150">
        <v>1</v>
      </c>
      <c r="C14" s="126"/>
      <c r="D14"/>
    </row>
    <row r="15" spans="1:6">
      <c r="A15" s="17" t="s">
        <v>4328</v>
      </c>
      <c r="B15" s="150">
        <v>278</v>
      </c>
      <c r="C15"/>
      <c r="D15" s="124"/>
      <c r="E15" s="124"/>
    </row>
    <row r="16" spans="1:6">
      <c r="A16" s="111" t="s">
        <v>4414</v>
      </c>
      <c r="B16" s="150">
        <v>11</v>
      </c>
      <c r="C16"/>
      <c r="D16"/>
    </row>
    <row r="17" spans="1:5">
      <c r="A17" s="112" t="s">
        <v>369</v>
      </c>
      <c r="B17" s="150">
        <v>10</v>
      </c>
      <c r="C17"/>
      <c r="D17" s="124"/>
      <c r="E17" s="124"/>
    </row>
    <row r="18" spans="1:5">
      <c r="A18" s="112" t="s">
        <v>692</v>
      </c>
      <c r="B18" s="150">
        <v>1</v>
      </c>
      <c r="C18" s="126"/>
      <c r="D18"/>
    </row>
    <row r="19" spans="1:5">
      <c r="A19" s="111" t="s">
        <v>5480</v>
      </c>
      <c r="B19" s="150">
        <v>178</v>
      </c>
      <c r="C19" s="47"/>
      <c r="D19"/>
    </row>
    <row r="20" spans="1:5">
      <c r="A20" s="112" t="s">
        <v>369</v>
      </c>
      <c r="B20" s="150">
        <v>177</v>
      </c>
      <c r="C20" s="126"/>
    </row>
    <row r="21" spans="1:5" ht="17.25" customHeight="1">
      <c r="A21" s="112" t="s">
        <v>692</v>
      </c>
      <c r="B21" s="150">
        <v>1</v>
      </c>
    </row>
    <row r="22" spans="1:5">
      <c r="A22" s="111" t="s">
        <v>5774</v>
      </c>
      <c r="B22" s="150">
        <v>11</v>
      </c>
    </row>
    <row r="23" spans="1:5">
      <c r="A23" s="112" t="s">
        <v>369</v>
      </c>
      <c r="B23" s="150">
        <v>10</v>
      </c>
    </row>
    <row r="24" spans="1:5">
      <c r="A24" s="112" t="s">
        <v>692</v>
      </c>
      <c r="B24" s="150">
        <v>1</v>
      </c>
    </row>
    <row r="25" spans="1:5">
      <c r="A25" s="111" t="s">
        <v>6162</v>
      </c>
      <c r="B25" s="150">
        <v>17</v>
      </c>
      <c r="D25" s="124"/>
      <c r="E25" s="124"/>
    </row>
    <row r="26" spans="1:5">
      <c r="A26" s="112" t="s">
        <v>369</v>
      </c>
      <c r="B26" s="150">
        <v>14</v>
      </c>
      <c r="C26" s="126"/>
    </row>
    <row r="27" spans="1:5">
      <c r="A27" s="112" t="s">
        <v>692</v>
      </c>
      <c r="B27" s="150">
        <v>3</v>
      </c>
    </row>
    <row r="28" spans="1:5">
      <c r="A28" s="111" t="s">
        <v>6242</v>
      </c>
      <c r="B28" s="150">
        <v>1</v>
      </c>
    </row>
    <row r="29" spans="1:5">
      <c r="A29" s="112" t="s">
        <v>692</v>
      </c>
      <c r="B29" s="150">
        <v>1</v>
      </c>
    </row>
    <row r="30" spans="1:5">
      <c r="A30" s="111" t="s">
        <v>6314</v>
      </c>
      <c r="B30" s="150">
        <v>12</v>
      </c>
    </row>
    <row r="31" spans="1:5">
      <c r="A31" s="112" t="s">
        <v>369</v>
      </c>
      <c r="B31" s="150">
        <v>11</v>
      </c>
      <c r="C31" s="30"/>
    </row>
    <row r="32" spans="1:5">
      <c r="A32" s="112" t="s">
        <v>375</v>
      </c>
      <c r="B32" s="150">
        <v>1</v>
      </c>
      <c r="C32" s="30"/>
    </row>
    <row r="33" spans="1:3">
      <c r="A33" s="111" t="s">
        <v>6405</v>
      </c>
      <c r="B33" s="150">
        <v>48</v>
      </c>
      <c r="C33" s="30"/>
    </row>
    <row r="34" spans="1:3">
      <c r="A34" s="112" t="s">
        <v>369</v>
      </c>
      <c r="B34" s="150">
        <v>45</v>
      </c>
      <c r="C34" s="30"/>
    </row>
    <row r="35" spans="1:3">
      <c r="A35" s="112" t="s">
        <v>377</v>
      </c>
      <c r="B35" s="150">
        <v>3</v>
      </c>
      <c r="C35" s="30"/>
    </row>
    <row r="36" spans="1:3">
      <c r="A36" s="17" t="s">
        <v>381</v>
      </c>
      <c r="B36" s="150">
        <v>323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02"/>
  <sheetViews>
    <sheetView topLeftCell="A1255" workbookViewId="0">
      <selection activeCell="C1299" sqref="C1299:C130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  <row r="1300" spans="1:3">
      <c r="A1300" t="s">
        <v>6430</v>
      </c>
      <c r="B1300">
        <v>1</v>
      </c>
      <c r="C1300" s="149" t="s">
        <v>4</v>
      </c>
    </row>
    <row r="1301" spans="1:3">
      <c r="A1301" t="s">
        <v>6433</v>
      </c>
      <c r="B1301">
        <v>4</v>
      </c>
      <c r="C1301" s="149" t="s">
        <v>4</v>
      </c>
    </row>
    <row r="1302" spans="1:3">
      <c r="A1302" t="s">
        <v>6437</v>
      </c>
      <c r="B1302">
        <v>2</v>
      </c>
      <c r="C1302" s="149" t="s">
        <v>4</v>
      </c>
    </row>
  </sheetData>
  <conditionalFormatting sqref="A2:A545 A548:A568 A570:A1036 A1038:A1232 A1238:A1272 A1274:A1283 A1286:A1291 A1293:A1048576">
    <cfRule type="duplicateValues" dxfId="34" priority="4"/>
  </conditionalFormatting>
  <conditionalFormatting sqref="A1284">
    <cfRule type="duplicateValues" dxfId="33" priority="2"/>
  </conditionalFormatting>
  <conditionalFormatting sqref="A1292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40"/>
  <sheetViews>
    <sheetView zoomScale="105" zoomScaleNormal="10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172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172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172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172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172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172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172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172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172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172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172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172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172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172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172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172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172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172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172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172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172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172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172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172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172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172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172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172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172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172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172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172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172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172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172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172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172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172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172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172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172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172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172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172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172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172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172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172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172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172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172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172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172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172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172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172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172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172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172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171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171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171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171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171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118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103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103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103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103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103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103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103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103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103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103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103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103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103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103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103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103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103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103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103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103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100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100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100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100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99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99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99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99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99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99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99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99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99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99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99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99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99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99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99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99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99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99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99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99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99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99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99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99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99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99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99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99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99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99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98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98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98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98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98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98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98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98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98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98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98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98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98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98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98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98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98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98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94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94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94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94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94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94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94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94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94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94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94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94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94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94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94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94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94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94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94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94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94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94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94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94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94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94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94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94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94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94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94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94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94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94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94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94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94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94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94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94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94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94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94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94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94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94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94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94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94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94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94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94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94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94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94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94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94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94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94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94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94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94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94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94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94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94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94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94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94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94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94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94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94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94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94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94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94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94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94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94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94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94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94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94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94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94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94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94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94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94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94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94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88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88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83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83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78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78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78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78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78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78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78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78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78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78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78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78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78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78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78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78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78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78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78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78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78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78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78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78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78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78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78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78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78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78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78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78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78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78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78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78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78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78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78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78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78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78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78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78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78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78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78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78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78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78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78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78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78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78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78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78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78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78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78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78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78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78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78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78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78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78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78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78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78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78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78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78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78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78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78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78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78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78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78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78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78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78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78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78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78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78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78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78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78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78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78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78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78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78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78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78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78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78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78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78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78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78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78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78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78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75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75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75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75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76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73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73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68</v>
      </c>
      <c r="R2488" s="110" t="s">
        <v>1459</v>
      </c>
      <c r="S2488" s="94"/>
    </row>
    <row r="2489" spans="1:19" hidden="1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68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68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68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68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68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68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68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68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68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68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66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66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66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66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66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66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66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66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66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66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66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66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66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66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66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66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66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66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66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66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66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66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66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66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66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66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66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66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66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66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66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66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66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66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66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66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66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66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66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66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66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66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66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66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66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66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66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66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66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66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66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66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66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66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66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66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66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66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66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66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66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66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66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66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66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66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66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66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66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66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66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66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66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66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66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66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66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66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66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66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66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66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66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66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66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66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66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66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66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66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66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66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66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66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66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66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66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66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66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66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66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66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66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66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66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66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66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66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66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66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66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66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66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66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66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66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66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66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66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66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66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66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66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66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66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66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66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66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66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66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66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66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66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66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66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66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66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66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66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66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66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66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66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66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66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66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66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66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66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66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66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66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66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66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66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66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66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66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66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66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66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66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66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66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66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66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66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66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66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66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66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66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66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66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66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66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66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66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66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66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66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66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66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66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66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66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66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66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66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66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66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66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66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66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66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66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66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66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66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66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66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66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66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66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66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66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66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66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66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66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66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66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66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66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66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66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66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66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66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66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66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66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66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66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66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66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66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66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66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66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66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66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66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66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66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66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66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66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66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66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66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66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66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66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66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66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66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66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66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66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66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66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66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66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66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66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66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66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66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66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66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66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66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66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66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66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66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66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66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66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66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66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66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66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66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66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66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66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66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66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66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66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66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66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66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66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66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66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66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66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66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66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66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66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66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66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66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66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66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66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66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66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66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66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66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66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66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66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66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66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66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66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66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66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66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66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66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66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66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66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66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66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66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66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66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66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66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66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66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66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66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66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66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66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66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64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64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64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64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64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64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64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64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64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64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63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63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63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62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62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62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62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62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62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61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61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59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58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58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58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57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57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57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55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55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55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55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55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55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55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52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52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52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52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52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52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52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52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52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52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52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52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52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52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52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52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52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52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52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52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52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52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52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52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52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52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52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52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52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51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51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49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49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49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49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49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49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49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49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49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49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47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47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47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47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47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47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47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47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46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46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46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46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46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46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46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46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46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46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46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46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46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46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46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46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46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44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44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44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44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44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44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44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44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44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44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44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44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44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44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44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44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44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44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44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44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44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44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44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44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44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44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44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44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44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44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44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44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44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44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44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44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44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44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44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44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44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44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44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44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44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44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44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44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44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44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44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44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44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44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44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44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44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44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44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44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44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44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44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44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44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44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44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44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44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44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44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44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44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44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44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44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44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44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44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44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44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44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44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44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44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44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44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44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44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44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44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44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44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44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44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44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44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44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44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44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44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44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44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44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44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44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44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44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44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44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44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44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44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44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44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44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44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44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44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44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44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44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44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44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44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44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44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44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44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44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44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44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44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44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44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44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44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44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44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44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44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44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44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44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44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44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44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44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44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44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44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44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44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44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44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44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44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44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44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44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44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44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44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44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44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44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44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44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44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44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44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44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44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44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44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44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44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44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44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44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44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44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44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44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44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44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44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44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44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44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44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44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44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44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44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44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44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44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44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44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44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44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44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44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44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44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44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44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44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44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44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44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44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44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44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44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44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44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44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44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44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44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44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44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44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44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44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44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44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44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44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44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44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44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44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44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44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44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44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44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44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44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44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44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44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44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44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44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44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44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44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44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44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44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44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44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44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44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44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44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44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44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44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44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44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44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44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44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44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44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44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44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44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44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44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44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44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44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44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44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44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44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44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44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44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44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44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44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44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44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44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44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44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44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44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43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43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43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43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43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43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43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43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43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43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43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43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43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43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43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43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43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43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43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43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43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43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43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43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43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43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43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43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43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43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43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43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43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43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43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43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43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43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43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43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43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43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43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43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43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43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43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43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43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43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43</v>
      </c>
      <c r="R3282" s="115" t="s">
        <v>1459</v>
      </c>
      <c r="S3282" s="125"/>
    </row>
    <row r="3283" spans="1:19" hidden="1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43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43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43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43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43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43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43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43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43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43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43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43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43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43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43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43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43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43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43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43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43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43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43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43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43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43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43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43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43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43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43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43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43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43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43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43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43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43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43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43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43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43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43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43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43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43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43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43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43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43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43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43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43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43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43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43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43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43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43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43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43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43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43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43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43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43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43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43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43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43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43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43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43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43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43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43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43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43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43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43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43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43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43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43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43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43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43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43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43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43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43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43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43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43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43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43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43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43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43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43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43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43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43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43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43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43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43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43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43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43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43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43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43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43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43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43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43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43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43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43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43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43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43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43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43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43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43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43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43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43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43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43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43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43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43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43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43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43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43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43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43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43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43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43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43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43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43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43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43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43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43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40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40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40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40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40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40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40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40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40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40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40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40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40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40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40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40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40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40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40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40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40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40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40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40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40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40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40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40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40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40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40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40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40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40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40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40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40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40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40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40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40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40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40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39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39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38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38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38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38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38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38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38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37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37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37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36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36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36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36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36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36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36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36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36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36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36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36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36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36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36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36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36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36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36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36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36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36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36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36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36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36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36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36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36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36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36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36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36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36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36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36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36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36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36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36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36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36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36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36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36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36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36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36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36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36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36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36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36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36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36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36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36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36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36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36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36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36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36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36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36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36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36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36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36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36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36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36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36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36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36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36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36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36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36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36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36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36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36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36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36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36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36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36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36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36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36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36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36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36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35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35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35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35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35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35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35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35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35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35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35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35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35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35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35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35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35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35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35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34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34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34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34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34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34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34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34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34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34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34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34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34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34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34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34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34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34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33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33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33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33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33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33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33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33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33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33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33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33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30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30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30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30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30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30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30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30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30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30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30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30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30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30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30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30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30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30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30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30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30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30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30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30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30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30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30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30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30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29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29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29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29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29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29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29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29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29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29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29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29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29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29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29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29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29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29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29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29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29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29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29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29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29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29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29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29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29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29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29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29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29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29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29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28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28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28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28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28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28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28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28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28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28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28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28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28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28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28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28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28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28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28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28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28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28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28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28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28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28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28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28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28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28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28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28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28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28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28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28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28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28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28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28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28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28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28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28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28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28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28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28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28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28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28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28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28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28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28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28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28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28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28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28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28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28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28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28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28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28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28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28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28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28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28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28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28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28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28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28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28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28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28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28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28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28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28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28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28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28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28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28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28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28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28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28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28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28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28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28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28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28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28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28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28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28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28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28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28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28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28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28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28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28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28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28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28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28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28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28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28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28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28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28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28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28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28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28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28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28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28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28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28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28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28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28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28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28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28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28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28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28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28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28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28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28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28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28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28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28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28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28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28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28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28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28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28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28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28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28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28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28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28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28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28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28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28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28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28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28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28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28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28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28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28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28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28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28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28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28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28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28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28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28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28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28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28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28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28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28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28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28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28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28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28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28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28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28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28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28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28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28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28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28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28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28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28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28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28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28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28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28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28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28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28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28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28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28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28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28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28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28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28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28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28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28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28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28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28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28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28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28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28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28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28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28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28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28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28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28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26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26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26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26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26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26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26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26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26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26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26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26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26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26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26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26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25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25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25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25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25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25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25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25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25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25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25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25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25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25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25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25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25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25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25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25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25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25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25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25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25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25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25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25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25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25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25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25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25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25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25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25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25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25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25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24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24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24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24</v>
      </c>
      <c r="R3990" s="136" t="s">
        <v>1459</v>
      </c>
      <c r="S3990" s="140"/>
    </row>
    <row r="3991" spans="1:19" hidden="1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24</v>
      </c>
      <c r="R3991" s="136" t="s">
        <v>1459</v>
      </c>
      <c r="S3991" s="140"/>
    </row>
    <row r="3992" spans="1:19" hidden="1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24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24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24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24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24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24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24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24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24</v>
      </c>
      <c r="R4000" s="136" t="s">
        <v>1459</v>
      </c>
      <c r="S4000" s="140"/>
    </row>
    <row r="4001" spans="1:19" hidden="1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24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24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24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24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23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23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23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23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23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23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23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23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23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23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23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23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23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23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23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23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23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23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23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23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23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23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23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23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23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23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23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23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23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23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23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23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23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23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23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23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23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23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23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23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23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23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23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23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23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23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23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23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23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23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23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23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23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23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23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23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23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23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23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23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23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23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23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23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23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23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23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23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23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23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23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23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23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23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23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23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23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23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23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23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23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23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23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23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23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23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23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23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23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23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23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23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23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23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23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23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23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23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23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23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23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23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23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23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23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23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23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23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23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23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23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23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23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23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23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19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19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19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19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19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19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19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19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19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19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19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19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18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18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18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18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18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18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18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18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18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18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18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18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18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18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18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18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18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18</v>
      </c>
      <c r="R4149" s="137" t="s">
        <v>452</v>
      </c>
      <c r="S4149" s="140"/>
    </row>
    <row r="4150" spans="1:19" hidden="1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18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18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18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18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18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18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18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18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18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18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18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18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18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15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15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15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15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15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15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15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15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15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14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13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13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13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13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13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13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12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12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12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12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12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12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12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12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12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12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12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12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12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12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12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12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12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12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12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12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11</v>
      </c>
      <c r="R4199" s="146" t="s">
        <v>780</v>
      </c>
      <c r="S4199" s="150"/>
    </row>
    <row r="4200" spans="1:19" hidden="1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11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11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11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375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11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11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11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11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11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11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11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11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</v>
      </c>
      <c r="R4222" s="146" t="s">
        <v>780</v>
      </c>
      <c r="S4222" s="150"/>
    </row>
    <row r="4223" spans="1:19" hidden="1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7</v>
      </c>
      <c r="R4223" s="148" t="s">
        <v>489</v>
      </c>
      <c r="S4223" s="150"/>
    </row>
    <row r="4224" spans="1:19" hidden="1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7</v>
      </c>
      <c r="R4224" s="148" t="s">
        <v>489</v>
      </c>
      <c r="S4224" s="150"/>
    </row>
    <row r="4225" spans="1:19" hidden="1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7</v>
      </c>
      <c r="R4225" s="152" t="s">
        <v>410</v>
      </c>
      <c r="S4225" s="150"/>
    </row>
    <row r="4226" spans="1:19" hidden="1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7</v>
      </c>
      <c r="R4226" s="152" t="s">
        <v>410</v>
      </c>
      <c r="S4226" s="150"/>
    </row>
    <row r="4227" spans="1:19" hidden="1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7</v>
      </c>
      <c r="R4227" s="152" t="s">
        <v>410</v>
      </c>
      <c r="S4227" s="150"/>
    </row>
    <row r="4228" spans="1:19" hidden="1">
      <c r="A4228" s="149" t="s">
        <v>6405</v>
      </c>
      <c r="B4228" s="150" t="str">
        <f>IFERROR(VLOOKUP(Proc[[#This Row],[App]],Table2[],3,0),"open")</f>
        <v>open</v>
      </c>
      <c r="C4228" s="149" t="s">
        <v>369</v>
      </c>
      <c r="D4228" t="s">
        <v>6363</v>
      </c>
      <c r="E4228" t="s">
        <v>6406</v>
      </c>
      <c r="F4228" s="150" t="s">
        <v>6406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7</v>
      </c>
      <c r="R4228" s="152" t="s">
        <v>410</v>
      </c>
      <c r="S4228" s="150"/>
    </row>
    <row r="4229" spans="1:19" hidden="1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7</v>
      </c>
      <c r="R4229" s="152" t="s">
        <v>410</v>
      </c>
      <c r="S4229" s="150"/>
    </row>
    <row r="4230" spans="1:19" hidden="1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7</v>
      </c>
      <c r="R4230" s="152" t="s">
        <v>410</v>
      </c>
      <c r="S4230" s="150"/>
    </row>
    <row r="4231" spans="1:19" hidden="1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7</v>
      </c>
      <c r="R4231" s="152" t="s">
        <v>410</v>
      </c>
      <c r="S4231" s="150"/>
    </row>
    <row r="4232" spans="1:19" hidden="1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7</v>
      </c>
      <c r="R4232" s="152" t="s">
        <v>410</v>
      </c>
      <c r="S4232" s="150"/>
    </row>
    <row r="4233" spans="1:19" hidden="1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7</v>
      </c>
      <c r="R4233" s="152" t="s">
        <v>410</v>
      </c>
      <c r="S4233" s="150"/>
    </row>
    <row r="4234" spans="1:19" hidden="1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7</v>
      </c>
      <c r="R4234" s="152" t="s">
        <v>410</v>
      </c>
      <c r="S4234" s="150"/>
    </row>
    <row r="4235" spans="1:19" hidden="1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7</v>
      </c>
      <c r="R4235" s="152" t="s">
        <v>410</v>
      </c>
      <c r="S4235" s="150"/>
    </row>
    <row r="4236" spans="1:19" hidden="1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7</v>
      </c>
      <c r="R4236" s="152" t="s">
        <v>410</v>
      </c>
      <c r="S4236" s="150"/>
    </row>
    <row r="4237" spans="1:19" hidden="1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7</v>
      </c>
      <c r="R4237" s="152" t="s">
        <v>410</v>
      </c>
      <c r="S4237" s="150"/>
    </row>
    <row r="4238" spans="1:19" hidden="1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7</v>
      </c>
      <c r="R4238" s="152" t="s">
        <v>410</v>
      </c>
      <c r="S4238" s="150"/>
    </row>
    <row r="4239" spans="1:19" hidden="1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7</v>
      </c>
      <c r="R4239" s="152" t="s">
        <v>410</v>
      </c>
      <c r="S4239" s="150"/>
    </row>
    <row r="4240" spans="1:19" hidden="1">
      <c r="A4240" s="149" t="s">
        <v>6405</v>
      </c>
      <c r="B4240" s="150" t="str">
        <f>IFERROR(VLOOKUP(Proc[[#This Row],[App]],Table2[],3,0),"open")</f>
        <v>open</v>
      </c>
      <c r="C4240" s="149" t="s">
        <v>369</v>
      </c>
      <c r="D4240" t="s">
        <v>6375</v>
      </c>
      <c r="E4240" t="s">
        <v>6406</v>
      </c>
      <c r="F4240" s="150" t="s">
        <v>6406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7</v>
      </c>
      <c r="R4240" s="152" t="s">
        <v>410</v>
      </c>
      <c r="S4240" s="150"/>
    </row>
    <row r="4241" spans="1:19" hidden="1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7</v>
      </c>
      <c r="R4241" s="152" t="s">
        <v>410</v>
      </c>
      <c r="S4241" s="150"/>
    </row>
    <row r="4242" spans="1:19" hidden="1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7</v>
      </c>
      <c r="R4242" s="152" t="s">
        <v>410</v>
      </c>
      <c r="S4242" s="150"/>
    </row>
    <row r="4243" spans="1:19" hidden="1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7</v>
      </c>
      <c r="R4243" s="152" t="s">
        <v>410</v>
      </c>
      <c r="S4243" s="150"/>
    </row>
    <row r="4244" spans="1:19" hidden="1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7</v>
      </c>
      <c r="R4244" s="152" t="s">
        <v>410</v>
      </c>
      <c r="S4244" s="150"/>
    </row>
    <row r="4245" spans="1:19" hidden="1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7</v>
      </c>
      <c r="R4245" s="152" t="s">
        <v>410</v>
      </c>
      <c r="S4245" s="150"/>
    </row>
    <row r="4246" spans="1:19" hidden="1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7</v>
      </c>
      <c r="R4246" s="152" t="s">
        <v>410</v>
      </c>
      <c r="S4246" s="150"/>
    </row>
    <row r="4247" spans="1:19" hidden="1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7</v>
      </c>
      <c r="R4247" s="152" t="s">
        <v>410</v>
      </c>
      <c r="S4247" s="150"/>
    </row>
    <row r="4248" spans="1:19" hidden="1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7</v>
      </c>
      <c r="R4248" s="152" t="s">
        <v>410</v>
      </c>
      <c r="S4248" s="150"/>
    </row>
    <row r="4249" spans="1:19" hidden="1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7</v>
      </c>
      <c r="R4249" s="152" t="s">
        <v>410</v>
      </c>
      <c r="S4249" s="150"/>
    </row>
    <row r="4250" spans="1:19" hidden="1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7</v>
      </c>
      <c r="R4250" s="152" t="s">
        <v>410</v>
      </c>
      <c r="S4250" s="150"/>
    </row>
    <row r="4251" spans="1:19" hidden="1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7</v>
      </c>
      <c r="R4251" s="152" t="s">
        <v>410</v>
      </c>
      <c r="S4251" s="150"/>
    </row>
    <row r="4252" spans="1:19" hidden="1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7</v>
      </c>
      <c r="R4252" s="152" t="s">
        <v>410</v>
      </c>
      <c r="S4252" s="150"/>
    </row>
    <row r="4253" spans="1:19" hidden="1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7</v>
      </c>
      <c r="R4253" s="152" t="s">
        <v>410</v>
      </c>
      <c r="S4253" s="150"/>
    </row>
    <row r="4254" spans="1:19" hidden="1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7</v>
      </c>
      <c r="R4254" s="152" t="s">
        <v>410</v>
      </c>
      <c r="S4254" s="150"/>
    </row>
    <row r="4255" spans="1:19" hidden="1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7</v>
      </c>
      <c r="R4255" s="152" t="s">
        <v>410</v>
      </c>
      <c r="S4255" s="150"/>
    </row>
    <row r="4256" spans="1:19" hidden="1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7</v>
      </c>
      <c r="R4256" s="152" t="s">
        <v>410</v>
      </c>
      <c r="S4256" s="150"/>
    </row>
    <row r="4257" spans="1:19" hidden="1">
      <c r="A4257" s="149" t="s">
        <v>6405</v>
      </c>
      <c r="B4257" s="150" t="str">
        <f>IFERROR(VLOOKUP(Proc[[#This Row],[App]],Table2[],3,0),"open")</f>
        <v>open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7</v>
      </c>
      <c r="R4257" s="152" t="s">
        <v>410</v>
      </c>
      <c r="S4257" s="150"/>
    </row>
    <row r="4258" spans="1:19" hidden="1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7</v>
      </c>
      <c r="R4258" s="152" t="s">
        <v>410</v>
      </c>
      <c r="S4258" s="150"/>
    </row>
    <row r="4259" spans="1:19" hidden="1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7</v>
      </c>
      <c r="R4259" s="152" t="s">
        <v>410</v>
      </c>
      <c r="S4259" s="150"/>
    </row>
    <row r="4260" spans="1:19" hidden="1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7</v>
      </c>
      <c r="R4260" s="152" t="s">
        <v>410</v>
      </c>
      <c r="S4260" s="150"/>
    </row>
    <row r="4261" spans="1:19" hidden="1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7</v>
      </c>
      <c r="R4261" s="152" t="s">
        <v>410</v>
      </c>
      <c r="S4261" s="150"/>
    </row>
    <row r="4262" spans="1:19" hidden="1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7</v>
      </c>
      <c r="R4262" s="152" t="s">
        <v>410</v>
      </c>
      <c r="S4262" s="150"/>
    </row>
    <row r="4263" spans="1:19" hidden="1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7</v>
      </c>
      <c r="R4263" s="152" t="s">
        <v>410</v>
      </c>
      <c r="S4263" s="150"/>
    </row>
    <row r="4264" spans="1:19" hidden="1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7</v>
      </c>
      <c r="R4264" s="152" t="s">
        <v>410</v>
      </c>
      <c r="S4264" s="150"/>
    </row>
    <row r="4265" spans="1:19" hidden="1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7</v>
      </c>
      <c r="R4265" s="152" t="s">
        <v>410</v>
      </c>
      <c r="S4265" s="150"/>
    </row>
    <row r="4266" spans="1:19" hidden="1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7</v>
      </c>
      <c r="R4266" s="152" t="s">
        <v>410</v>
      </c>
      <c r="S4266" s="150"/>
    </row>
    <row r="4267" spans="1:19" hidden="1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7</v>
      </c>
      <c r="R4267" s="152" t="s">
        <v>410</v>
      </c>
      <c r="S4267" s="150"/>
    </row>
    <row r="4268" spans="1:19" hidden="1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7</v>
      </c>
      <c r="R4268" s="152" t="s">
        <v>410</v>
      </c>
      <c r="S4268" s="150"/>
    </row>
    <row r="4269" spans="1:19" hidden="1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7</v>
      </c>
      <c r="R4269" s="152" t="s">
        <v>410</v>
      </c>
      <c r="S4269" s="150"/>
    </row>
    <row r="4270" spans="1:19" hidden="1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7</v>
      </c>
      <c r="R4270" s="152" t="s">
        <v>410</v>
      </c>
      <c r="S4270" s="150"/>
    </row>
    <row r="4271" spans="1:19" hidden="1">
      <c r="A4271" s="149" t="s">
        <v>6405</v>
      </c>
      <c r="B4271" s="150" t="str">
        <f>IFERROR(VLOOKUP(Proc[[#This Row],[App]],Table2[],3,0),"open")</f>
        <v>open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7</v>
      </c>
      <c r="R4271" s="152" t="s">
        <v>410</v>
      </c>
      <c r="S4271" s="150"/>
    </row>
    <row r="4272" spans="1:19" hidden="1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7</v>
      </c>
      <c r="R4272" s="152" t="s">
        <v>410</v>
      </c>
      <c r="S4272" s="150"/>
    </row>
    <row r="4273" spans="1:19" hidden="1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6</v>
      </c>
      <c r="R4273" s="153" t="s">
        <v>489</v>
      </c>
      <c r="S4273" s="150"/>
    </row>
    <row r="4274" spans="1:19" hidden="1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6</v>
      </c>
      <c r="R4274" s="153" t="s">
        <v>489</v>
      </c>
      <c r="S4274" s="150"/>
    </row>
    <row r="4275" spans="1:19" hidden="1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6</v>
      </c>
      <c r="R4275" s="153" t="s">
        <v>780</v>
      </c>
      <c r="S4275" s="150"/>
    </row>
    <row r="4276" spans="1:19" hidden="1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6</v>
      </c>
      <c r="R4276" s="153" t="s">
        <v>780</v>
      </c>
      <c r="S4276" s="150"/>
    </row>
    <row r="4277" spans="1:19" hidden="1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6</v>
      </c>
      <c r="R4277" s="153" t="s">
        <v>780</v>
      </c>
      <c r="S4277" s="150"/>
    </row>
    <row r="4278" spans="1:19" hidden="1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6</v>
      </c>
      <c r="R4278" s="153" t="s">
        <v>780</v>
      </c>
      <c r="S4278" s="150"/>
    </row>
    <row r="4279" spans="1:19" hidden="1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6</v>
      </c>
      <c r="R4279" s="153" t="s">
        <v>780</v>
      </c>
      <c r="S4279" s="150"/>
    </row>
    <row r="4280" spans="1:19" hidden="1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6</v>
      </c>
      <c r="R4280" s="153" t="s">
        <v>780</v>
      </c>
      <c r="S4280" s="150"/>
    </row>
    <row r="4281" spans="1:19" hidden="1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6</v>
      </c>
      <c r="R4281" s="153" t="s">
        <v>780</v>
      </c>
      <c r="S4281" s="150"/>
    </row>
    <row r="4282" spans="1:19" hidden="1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6</v>
      </c>
      <c r="R4282" s="153" t="s">
        <v>780</v>
      </c>
      <c r="S4282" s="150"/>
    </row>
    <row r="4283" spans="1:19" hidden="1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6</v>
      </c>
      <c r="R4283" s="153" t="s">
        <v>780</v>
      </c>
      <c r="S4283" s="150"/>
    </row>
    <row r="4284" spans="1:19" hidden="1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6</v>
      </c>
      <c r="R4284" s="153" t="s">
        <v>780</v>
      </c>
      <c r="S4284" s="150"/>
    </row>
    <row r="4285" spans="1:19" hidden="1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6</v>
      </c>
      <c r="R4285" s="153" t="s">
        <v>780</v>
      </c>
      <c r="S4285" s="150"/>
    </row>
    <row r="4286" spans="1:19" hidden="1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6</v>
      </c>
      <c r="R4286" s="153" t="s">
        <v>780</v>
      </c>
      <c r="S4286" s="150"/>
    </row>
    <row r="4287" spans="1:19" hidden="1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6</v>
      </c>
      <c r="R4287" s="153" t="s">
        <v>780</v>
      </c>
      <c r="S4287" s="150"/>
    </row>
    <row r="4288" spans="1:19" hidden="1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6</v>
      </c>
      <c r="R4288" s="153" t="s">
        <v>780</v>
      </c>
      <c r="S4288" s="150"/>
    </row>
    <row r="4289" spans="1:19" s="149" customFormat="1" hidden="1">
      <c r="A4289" s="149" t="s">
        <v>6430</v>
      </c>
      <c r="B4289" s="150" t="str">
        <f>IFERROR(VLOOKUP(Proc[[#This Row],[App]],Table2[],3,0),"open")</f>
        <v>ok</v>
      </c>
      <c r="C4289" s="149" t="s">
        <v>369</v>
      </c>
      <c r="D4289" s="149" t="s">
        <v>6431</v>
      </c>
      <c r="E4289" s="149" t="s">
        <v>6432</v>
      </c>
      <c r="F4289" s="150" t="s">
        <v>6432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4896</v>
      </c>
      <c r="M4289" s="153">
        <v>45930</v>
      </c>
      <c r="N4289" s="153"/>
      <c r="O4289" s="153"/>
      <c r="P4289" s="154" t="str">
        <f ca="1">IF(Proc[[#This Row],[DaysAgeing]]&gt;5,"yep","on track")</f>
        <v>on track</v>
      </c>
      <c r="Q4289" s="3">
        <f ca="1">IF(Proc[[#This Row],[DateClosed]]="",ABS(NETWORKDAYS(Proc[[#This Row],[DateOpened]],TODAY()))-1,ABS(NETWORKDAYS(Proc[[#This Row],[DateOpened]],Proc[[#This Row],[DateClosed]]))-1)</f>
        <v>3</v>
      </c>
      <c r="R4289" s="154" t="s">
        <v>515</v>
      </c>
      <c r="S4289" s="150"/>
    </row>
    <row r="4290" spans="1:19" s="149" customFormat="1" hidden="1">
      <c r="A4290" s="149" t="s">
        <v>6433</v>
      </c>
      <c r="B4290" s="150" t="str">
        <f>IFERROR(VLOOKUP(Proc[[#This Row],[App]],Table2[],3,0),"open")</f>
        <v>ok</v>
      </c>
      <c r="C4290" s="149" t="s">
        <v>369</v>
      </c>
      <c r="D4290" s="149" t="s">
        <v>6253</v>
      </c>
      <c r="E4290" s="149" t="s">
        <v>6250</v>
      </c>
      <c r="F4290" s="150" t="s">
        <v>6250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6438</v>
      </c>
      <c r="M4290" s="153">
        <v>45931</v>
      </c>
      <c r="N4290" s="153"/>
      <c r="O4290" s="153"/>
      <c r="P4290" s="154" t="str">
        <f ca="1">IF(Proc[[#This Row],[DaysAgeing]]&gt;5,"yep","on track")</f>
        <v>on track</v>
      </c>
      <c r="Q4290" s="3">
        <f ca="1">IF(Proc[[#This Row],[DateClosed]]="",ABS(NETWORKDAYS(Proc[[#This Row],[DateOpened]],TODAY()))-1,ABS(NETWORKDAYS(Proc[[#This Row],[DateOpened]],Proc[[#This Row],[DateClosed]]))-1)</f>
        <v>2</v>
      </c>
      <c r="R4290" s="154" t="s">
        <v>780</v>
      </c>
      <c r="S4290" s="150"/>
    </row>
    <row r="4291" spans="1:19" s="149" customFormat="1" hidden="1">
      <c r="A4291" s="149" t="s">
        <v>6433</v>
      </c>
      <c r="B4291" s="150" t="str">
        <f>IFERROR(VLOOKUP(Proc[[#This Row],[App]],Table2[],3,0),"open")</f>
        <v>ok</v>
      </c>
      <c r="C4291" s="149" t="s">
        <v>369</v>
      </c>
      <c r="D4291" s="149" t="s">
        <v>6434</v>
      </c>
      <c r="E4291" s="149" t="s">
        <v>6251</v>
      </c>
      <c r="F4291" s="150" t="s">
        <v>6251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6438</v>
      </c>
      <c r="M4291" s="153">
        <v>45931</v>
      </c>
      <c r="N4291" s="153"/>
      <c r="O4291" s="153"/>
      <c r="P4291" s="154" t="str">
        <f ca="1">IF(Proc[[#This Row],[DaysAgeing]]&gt;5,"yep","on track")</f>
        <v>on track</v>
      </c>
      <c r="Q4291" s="3">
        <f ca="1">IF(Proc[[#This Row],[DateClosed]]="",ABS(NETWORKDAYS(Proc[[#This Row],[DateOpened]],TODAY()))-1,ABS(NETWORKDAYS(Proc[[#This Row],[DateOpened]],Proc[[#This Row],[DateClosed]]))-1)</f>
        <v>2</v>
      </c>
      <c r="R4291" s="154" t="s">
        <v>780</v>
      </c>
      <c r="S4291" s="150"/>
    </row>
    <row r="4292" spans="1:19" s="149" customFormat="1" hidden="1">
      <c r="A4292" s="149" t="s">
        <v>6433</v>
      </c>
      <c r="B4292" s="150" t="str">
        <f>IFERROR(VLOOKUP(Proc[[#This Row],[App]],Table2[],3,0),"open")</f>
        <v>ok</v>
      </c>
      <c r="C4292" s="149" t="s">
        <v>369</v>
      </c>
      <c r="D4292" s="149" t="s">
        <v>6435</v>
      </c>
      <c r="E4292" s="149" t="s">
        <v>6251</v>
      </c>
      <c r="F4292" s="150" t="s">
        <v>6251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6438</v>
      </c>
      <c r="M4292" s="153">
        <v>45931</v>
      </c>
      <c r="N4292" s="153"/>
      <c r="O4292" s="153"/>
      <c r="P4292" s="154" t="str">
        <f ca="1">IF(Proc[[#This Row],[DaysAgeing]]&gt;5,"yep","on track")</f>
        <v>on track</v>
      </c>
      <c r="Q4292" s="3">
        <f ca="1">IF(Proc[[#This Row],[DateClosed]]="",ABS(NETWORKDAYS(Proc[[#This Row],[DateOpened]],TODAY()))-1,ABS(NETWORKDAYS(Proc[[#This Row],[DateOpened]],Proc[[#This Row],[DateClosed]]))-1)</f>
        <v>2</v>
      </c>
      <c r="R4292" s="154" t="s">
        <v>780</v>
      </c>
      <c r="S4292" s="150"/>
    </row>
    <row r="4293" spans="1:19" s="149" customFormat="1" hidden="1">
      <c r="A4293" s="149" t="s">
        <v>6433</v>
      </c>
      <c r="B4293" s="150" t="str">
        <f>IFERROR(VLOOKUP(Proc[[#This Row],[App]],Table2[],3,0),"open")</f>
        <v>ok</v>
      </c>
      <c r="C4293" s="149" t="s">
        <v>369</v>
      </c>
      <c r="D4293" s="149" t="s">
        <v>6436</v>
      </c>
      <c r="E4293" s="149" t="s">
        <v>6480</v>
      </c>
      <c r="F4293" s="150" t="s">
        <v>6480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6438</v>
      </c>
      <c r="M4293" s="153">
        <v>45931</v>
      </c>
      <c r="N4293" s="153"/>
      <c r="O4293" s="153"/>
      <c r="P4293" s="154" t="str">
        <f ca="1">IF(Proc[[#This Row],[DaysAgeing]]&gt;5,"yep","on track")</f>
        <v>on track</v>
      </c>
      <c r="Q4293" s="3">
        <f ca="1">IF(Proc[[#This Row],[DateClosed]]="",ABS(NETWORKDAYS(Proc[[#This Row],[DateOpened]],TODAY()))-1,ABS(NETWORKDAYS(Proc[[#This Row],[DateOpened]],Proc[[#This Row],[DateClosed]]))-1)</f>
        <v>2</v>
      </c>
      <c r="R4293" s="154" t="s">
        <v>780</v>
      </c>
      <c r="S4293" s="150"/>
    </row>
    <row r="4294" spans="1:19" hidden="1">
      <c r="A4294" t="s">
        <v>6437</v>
      </c>
      <c r="B4294" s="150" t="str">
        <f>IFERROR(VLOOKUP(Proc[[#This Row],[App]],Table2[],3,0),"open")</f>
        <v>ok</v>
      </c>
      <c r="C4294" s="149" t="s">
        <v>369</v>
      </c>
      <c r="D4294" t="s">
        <v>6363</v>
      </c>
      <c r="E4294" t="s">
        <v>6406</v>
      </c>
      <c r="F4294" s="150" t="s">
        <v>6406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6438</v>
      </c>
      <c r="M4294" s="153">
        <v>45931</v>
      </c>
      <c r="N4294" s="153"/>
      <c r="O4294" s="153"/>
      <c r="P4294" s="154" t="str">
        <f ca="1">IF(Proc[[#This Row],[DaysAgeing]]&gt;5,"yep","on track")</f>
        <v>on track</v>
      </c>
      <c r="Q4294" s="3">
        <f ca="1">IF(Proc[[#This Row],[DateClosed]]="",ABS(NETWORKDAYS(Proc[[#This Row],[DateOpened]],TODAY()))-1,ABS(NETWORKDAYS(Proc[[#This Row],[DateOpened]],Proc[[#This Row],[DateClosed]]))-1)</f>
        <v>2</v>
      </c>
      <c r="R4294" s="154" t="s">
        <v>410</v>
      </c>
      <c r="S4294" s="150"/>
    </row>
    <row r="4295" spans="1:19" hidden="1">
      <c r="A4295" t="s">
        <v>6437</v>
      </c>
      <c r="B4295" s="150" t="str">
        <f>IFERROR(VLOOKUP(Proc[[#This Row],[App]],Table2[],3,0),"open")</f>
        <v>ok</v>
      </c>
      <c r="C4295" s="149" t="s">
        <v>369</v>
      </c>
      <c r="D4295" t="s">
        <v>6375</v>
      </c>
      <c r="E4295" t="s">
        <v>6406</v>
      </c>
      <c r="F4295" s="150" t="s">
        <v>6406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6438</v>
      </c>
      <c r="M4295" s="153">
        <v>45931</v>
      </c>
      <c r="N4295" s="153"/>
      <c r="O4295" s="153"/>
      <c r="P4295" s="154" t="str">
        <f ca="1">IF(Proc[[#This Row],[DaysAgeing]]&gt;5,"yep","on track")</f>
        <v>on track</v>
      </c>
      <c r="Q4295" s="3">
        <f ca="1">IF(Proc[[#This Row],[DateClosed]]="",ABS(NETWORKDAYS(Proc[[#This Row],[DateOpened]],TODAY()))-1,ABS(NETWORKDAYS(Proc[[#This Row],[DateOpened]],Proc[[#This Row],[DateClosed]]))-1)</f>
        <v>2</v>
      </c>
      <c r="R4295" s="154" t="s">
        <v>410</v>
      </c>
      <c r="S4295" s="150"/>
    </row>
    <row r="4296" spans="1:19">
      <c r="A4296" t="s">
        <v>6439</v>
      </c>
      <c r="B4296" s="150" t="str">
        <f>IFERROR(VLOOKUP(Proc[[#This Row],[App]],Table2[],3,0),"open")</f>
        <v>open</v>
      </c>
      <c r="C4296" t="s">
        <v>370</v>
      </c>
      <c r="D4296" t="s">
        <v>6246</v>
      </c>
      <c r="E4296" t="s">
        <v>1458</v>
      </c>
      <c r="F4296" s="150" t="s">
        <v>6273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0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6438</v>
      </c>
      <c r="M4296" s="154">
        <v>45933</v>
      </c>
      <c r="N4296" s="155"/>
      <c r="O4296" s="155"/>
      <c r="P4296" s="154" t="str">
        <f ca="1">IF(Proc[[#This Row],[DaysAgeing]]&gt;5,"yep","on track")</f>
        <v>on track</v>
      </c>
      <c r="Q4296" s="3">
        <f ca="1">IF(Proc[[#This Row],[DateClosed]]="",ABS(NETWORKDAYS(Proc[[#This Row],[DateOpened]],TODAY()))-1,ABS(NETWORKDAYS(Proc[[#This Row],[DateOpened]],Proc[[#This Row],[DateClosed]]))-1)</f>
        <v>0</v>
      </c>
      <c r="R4296" s="154" t="s">
        <v>1459</v>
      </c>
      <c r="S4296" s="150"/>
    </row>
    <row r="4297" spans="1:19">
      <c r="A4297" s="149" t="s">
        <v>6439</v>
      </c>
      <c r="B4297" s="150" t="str">
        <f>IFERROR(VLOOKUP(Proc[[#This Row],[App]],Table2[],3,0),"open")</f>
        <v>open</v>
      </c>
      <c r="C4297" s="149" t="s">
        <v>370</v>
      </c>
      <c r="D4297" t="s">
        <v>2330</v>
      </c>
      <c r="E4297" t="s">
        <v>424</v>
      </c>
      <c r="F4297" s="150" t="s">
        <v>6273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0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6438</v>
      </c>
      <c r="M4297" s="154">
        <v>45933</v>
      </c>
      <c r="N4297" s="155"/>
      <c r="O4297" s="155"/>
      <c r="P4297" s="154" t="str">
        <f ca="1">IF(Proc[[#This Row],[DaysAgeing]]&gt;5,"yep","on track")</f>
        <v>on track</v>
      </c>
      <c r="Q4297" s="3">
        <f ca="1">IF(Proc[[#This Row],[DateClosed]]="",ABS(NETWORKDAYS(Proc[[#This Row],[DateOpened]],TODAY()))-1,ABS(NETWORKDAYS(Proc[[#This Row],[DateOpened]],Proc[[#This Row],[DateClosed]]))-1)</f>
        <v>0</v>
      </c>
      <c r="R4297" s="154" t="s">
        <v>1459</v>
      </c>
      <c r="S4297" s="150"/>
    </row>
    <row r="4298" spans="1:19">
      <c r="A4298" s="149" t="s">
        <v>6439</v>
      </c>
      <c r="B4298" s="150" t="str">
        <f>IFERROR(VLOOKUP(Proc[[#This Row],[App]],Table2[],3,0),"open")</f>
        <v>open</v>
      </c>
      <c r="C4298" s="149" t="s">
        <v>370</v>
      </c>
      <c r="D4298" t="s">
        <v>4409</v>
      </c>
      <c r="E4298" t="s">
        <v>4413</v>
      </c>
      <c r="F4298" s="150" t="s">
        <v>6273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0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6438</v>
      </c>
      <c r="M4298" s="154">
        <v>45933</v>
      </c>
      <c r="N4298" s="155"/>
      <c r="O4298" s="155"/>
      <c r="P4298" s="154" t="str">
        <f ca="1">IF(Proc[[#This Row],[DaysAgeing]]&gt;5,"yep","on track")</f>
        <v>on track</v>
      </c>
      <c r="Q4298" s="3">
        <f ca="1">IF(Proc[[#This Row],[DateClosed]]="",ABS(NETWORKDAYS(Proc[[#This Row],[DateOpened]],TODAY()))-1,ABS(NETWORKDAYS(Proc[[#This Row],[DateOpened]],Proc[[#This Row],[DateClosed]]))-1)</f>
        <v>0</v>
      </c>
      <c r="R4298" s="154" t="s">
        <v>1459</v>
      </c>
      <c r="S4298" s="150"/>
    </row>
    <row r="4299" spans="1:19">
      <c r="A4299" s="149" t="s">
        <v>6439</v>
      </c>
      <c r="B4299" s="150" t="str">
        <f>IFERROR(VLOOKUP(Proc[[#This Row],[App]],Table2[],3,0),"open")</f>
        <v>open</v>
      </c>
      <c r="C4299" s="149" t="s">
        <v>370</v>
      </c>
      <c r="D4299" t="s">
        <v>6440</v>
      </c>
      <c r="E4299" t="s">
        <v>424</v>
      </c>
      <c r="F4299" s="150" t="s">
        <v>6481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0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6438</v>
      </c>
      <c r="M4299" s="154">
        <v>45933</v>
      </c>
      <c r="N4299" s="155"/>
      <c r="O4299" s="155"/>
      <c r="P4299" s="154" t="str">
        <f ca="1">IF(Proc[[#This Row],[DaysAgeing]]&gt;5,"yep","on track")</f>
        <v>on track</v>
      </c>
      <c r="Q4299" s="3">
        <f ca="1">IF(Proc[[#This Row],[DateClosed]]="",ABS(NETWORKDAYS(Proc[[#This Row],[DateOpened]],TODAY()))-1,ABS(NETWORKDAYS(Proc[[#This Row],[DateOpened]],Proc[[#This Row],[DateClosed]]))-1)</f>
        <v>0</v>
      </c>
      <c r="R4299" s="154" t="s">
        <v>1459</v>
      </c>
      <c r="S4299" s="150"/>
    </row>
    <row r="4300" spans="1:19">
      <c r="A4300" s="149" t="s">
        <v>6439</v>
      </c>
      <c r="B4300" s="150" t="str">
        <f>IFERROR(VLOOKUP(Proc[[#This Row],[App]],Table2[],3,0),"open")</f>
        <v>open</v>
      </c>
      <c r="C4300" s="149" t="s">
        <v>370</v>
      </c>
      <c r="D4300" t="s">
        <v>5443</v>
      </c>
      <c r="E4300" t="s">
        <v>6448</v>
      </c>
      <c r="F4300" s="150" t="s">
        <v>5478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0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6438</v>
      </c>
      <c r="M4300" s="154">
        <v>45933</v>
      </c>
      <c r="N4300" s="155"/>
      <c r="O4300" s="155"/>
      <c r="P4300" s="154" t="str">
        <f ca="1">IF(Proc[[#This Row],[DaysAgeing]]&gt;5,"yep","on track")</f>
        <v>on track</v>
      </c>
      <c r="Q4300" s="3">
        <f ca="1">IF(Proc[[#This Row],[DateClosed]]="",ABS(NETWORKDAYS(Proc[[#This Row],[DateOpened]],TODAY()))-1,ABS(NETWORKDAYS(Proc[[#This Row],[DateOpened]],Proc[[#This Row],[DateClosed]]))-1)</f>
        <v>0</v>
      </c>
      <c r="R4300" s="154" t="s">
        <v>1459</v>
      </c>
      <c r="S4300" s="150"/>
    </row>
    <row r="4301" spans="1:19">
      <c r="A4301" s="149" t="s">
        <v>6439</v>
      </c>
      <c r="B4301" s="150" t="str">
        <f>IFERROR(VLOOKUP(Proc[[#This Row],[App]],Table2[],3,0),"open")</f>
        <v>open</v>
      </c>
      <c r="C4301" s="149" t="s">
        <v>370</v>
      </c>
      <c r="D4301" t="s">
        <v>5441</v>
      </c>
      <c r="E4301" t="s">
        <v>6448</v>
      </c>
      <c r="F4301" s="150" t="s">
        <v>5478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0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6438</v>
      </c>
      <c r="M4301" s="154">
        <v>45933</v>
      </c>
      <c r="N4301" s="155"/>
      <c r="O4301" s="155"/>
      <c r="P4301" s="154" t="str">
        <f ca="1">IF(Proc[[#This Row],[DaysAgeing]]&gt;5,"yep","on track")</f>
        <v>on track</v>
      </c>
      <c r="Q4301" s="3">
        <f ca="1">IF(Proc[[#This Row],[DateClosed]]="",ABS(NETWORKDAYS(Proc[[#This Row],[DateOpened]],TODAY()))-1,ABS(NETWORKDAYS(Proc[[#This Row],[DateOpened]],Proc[[#This Row],[DateClosed]]))-1)</f>
        <v>0</v>
      </c>
      <c r="R4301" s="154" t="s">
        <v>1459</v>
      </c>
      <c r="S4301" s="150"/>
    </row>
    <row r="4302" spans="1:19">
      <c r="A4302" s="149" t="s">
        <v>6439</v>
      </c>
      <c r="B4302" s="150" t="str">
        <f>IFERROR(VLOOKUP(Proc[[#This Row],[App]],Table2[],3,0),"open")</f>
        <v>open</v>
      </c>
      <c r="C4302" s="149" t="s">
        <v>370</v>
      </c>
      <c r="D4302" t="s">
        <v>5306</v>
      </c>
      <c r="E4302" t="s">
        <v>6449</v>
      </c>
      <c r="F4302" s="150" t="s">
        <v>5464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0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6438</v>
      </c>
      <c r="M4302" s="154">
        <v>45933</v>
      </c>
      <c r="N4302" s="155"/>
      <c r="O4302" s="155"/>
      <c r="P4302" s="154" t="str">
        <f ca="1">IF(Proc[[#This Row],[DaysAgeing]]&gt;5,"yep","on track")</f>
        <v>on track</v>
      </c>
      <c r="Q4302" s="3">
        <f ca="1">IF(Proc[[#This Row],[DateClosed]]="",ABS(NETWORKDAYS(Proc[[#This Row],[DateOpened]],TODAY()))-1,ABS(NETWORKDAYS(Proc[[#This Row],[DateOpened]],Proc[[#This Row],[DateClosed]]))-1)</f>
        <v>0</v>
      </c>
      <c r="R4302" s="154" t="s">
        <v>1459</v>
      </c>
      <c r="S4302" s="150"/>
    </row>
    <row r="4303" spans="1:19">
      <c r="A4303" s="149" t="s">
        <v>6439</v>
      </c>
      <c r="B4303" s="150" t="str">
        <f>IFERROR(VLOOKUP(Proc[[#This Row],[App]],Table2[],3,0),"open")</f>
        <v>open</v>
      </c>
      <c r="C4303" s="149" t="s">
        <v>370</v>
      </c>
      <c r="D4303" t="s">
        <v>5442</v>
      </c>
      <c r="E4303" t="s">
        <v>6450</v>
      </c>
      <c r="F4303" s="150" t="s">
        <v>5478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0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6438</v>
      </c>
      <c r="M4303" s="154">
        <v>45933</v>
      </c>
      <c r="N4303" s="155"/>
      <c r="O4303" s="155"/>
      <c r="P4303" s="154" t="str">
        <f ca="1">IF(Proc[[#This Row],[DaysAgeing]]&gt;5,"yep","on track")</f>
        <v>on track</v>
      </c>
      <c r="Q4303" s="3">
        <f ca="1">IF(Proc[[#This Row],[DateClosed]]="",ABS(NETWORKDAYS(Proc[[#This Row],[DateOpened]],TODAY()))-1,ABS(NETWORKDAYS(Proc[[#This Row],[DateOpened]],Proc[[#This Row],[DateClosed]]))-1)</f>
        <v>0</v>
      </c>
      <c r="R4303" s="154" t="s">
        <v>1459</v>
      </c>
      <c r="S4303" s="150"/>
    </row>
    <row r="4304" spans="1:19">
      <c r="A4304" s="149" t="s">
        <v>6439</v>
      </c>
      <c r="B4304" s="150" t="str">
        <f>IFERROR(VLOOKUP(Proc[[#This Row],[App]],Table2[],3,0),"open")</f>
        <v>open</v>
      </c>
      <c r="C4304" s="149" t="s">
        <v>375</v>
      </c>
      <c r="D4304" t="s">
        <v>2319</v>
      </c>
      <c r="E4304" t="s">
        <v>430</v>
      </c>
      <c r="F4304" s="150" t="s">
        <v>5571</v>
      </c>
      <c r="G4304" t="s">
        <v>406</v>
      </c>
      <c r="H4304" s="150" t="str">
        <f>IF(Proc[[#This Row],[type]]="LFF (MDG-F)",MID(Proc[[#This Row],[Obj]],13,10),"")</f>
        <v>DE65GIT032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6438</v>
      </c>
      <c r="M4304" s="154">
        <v>45933</v>
      </c>
      <c r="N4304" s="155"/>
      <c r="O4304" s="155"/>
      <c r="P4304" s="154" t="str">
        <f ca="1">IF(Proc[[#This Row],[DaysAgeing]]&gt;5,"yep","on track")</f>
        <v>on track</v>
      </c>
      <c r="Q4304" s="3">
        <f ca="1">IF(Proc[[#This Row],[DateClosed]]="",ABS(NETWORKDAYS(Proc[[#This Row],[DateOpened]],TODAY()))-1,ABS(NETWORKDAYS(Proc[[#This Row],[DateOpened]],Proc[[#This Row],[DateClosed]]))-1)</f>
        <v>0</v>
      </c>
      <c r="R4304" s="154" t="s">
        <v>1459</v>
      </c>
      <c r="S4304" s="150"/>
    </row>
    <row r="4305" spans="1:19">
      <c r="A4305" s="149" t="s">
        <v>6439</v>
      </c>
      <c r="B4305" s="150" t="str">
        <f>IFERROR(VLOOKUP(Proc[[#This Row],[App]],Table2[],3,0),"open")</f>
        <v>open</v>
      </c>
      <c r="C4305" s="149" t="s">
        <v>375</v>
      </c>
      <c r="D4305" t="s">
        <v>6441</v>
      </c>
      <c r="E4305" t="s">
        <v>6160</v>
      </c>
      <c r="F4305" s="150" t="s">
        <v>6451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0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6438</v>
      </c>
      <c r="M4305" s="154">
        <v>45933</v>
      </c>
      <c r="N4305" s="155"/>
      <c r="O4305" s="155"/>
      <c r="P4305" s="154" t="str">
        <f ca="1">IF(Proc[[#This Row],[DaysAgeing]]&gt;5,"yep","on track")</f>
        <v>on track</v>
      </c>
      <c r="Q4305" s="3">
        <f ca="1">IF(Proc[[#This Row],[DateClosed]]="",ABS(NETWORKDAYS(Proc[[#This Row],[DateOpened]],TODAY()))-1,ABS(NETWORKDAYS(Proc[[#This Row],[DateOpened]],Proc[[#This Row],[DateClosed]]))-1)</f>
        <v>0</v>
      </c>
      <c r="R4305" s="154" t="s">
        <v>1459</v>
      </c>
      <c r="S4305" s="150"/>
    </row>
    <row r="4306" spans="1:19">
      <c r="A4306" s="149" t="s">
        <v>6439</v>
      </c>
      <c r="B4306" s="150" t="str">
        <f>IFERROR(VLOOKUP(Proc[[#This Row],[App]],Table2[],3,0),"open")</f>
        <v>open</v>
      </c>
      <c r="C4306" s="149" t="s">
        <v>375</v>
      </c>
      <c r="D4306" t="s">
        <v>5440</v>
      </c>
      <c r="E4306" t="s">
        <v>6450</v>
      </c>
      <c r="F4306" s="150" t="s">
        <v>5478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0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6438</v>
      </c>
      <c r="M4306" s="154">
        <v>45933</v>
      </c>
      <c r="N4306" s="155"/>
      <c r="O4306" s="155"/>
      <c r="P4306" s="154" t="str">
        <f ca="1">IF(Proc[[#This Row],[DaysAgeing]]&gt;5,"yep","on track")</f>
        <v>on track</v>
      </c>
      <c r="Q4306" s="3">
        <f ca="1">IF(Proc[[#This Row],[DateClosed]]="",ABS(NETWORKDAYS(Proc[[#This Row],[DateOpened]],TODAY()))-1,ABS(NETWORKDAYS(Proc[[#This Row],[DateOpened]],Proc[[#This Row],[DateClosed]]))-1)</f>
        <v>0</v>
      </c>
      <c r="R4306" s="154" t="s">
        <v>1459</v>
      </c>
      <c r="S4306" s="150"/>
    </row>
    <row r="4307" spans="1:19">
      <c r="A4307" s="149" t="s">
        <v>6439</v>
      </c>
      <c r="B4307" s="150" t="str">
        <f>IFERROR(VLOOKUP(Proc[[#This Row],[App]],Table2[],3,0),"open")</f>
        <v>open</v>
      </c>
      <c r="C4307" s="149" t="s">
        <v>375</v>
      </c>
      <c r="D4307" t="s">
        <v>5438</v>
      </c>
      <c r="E4307" t="s">
        <v>6448</v>
      </c>
      <c r="F4307" s="150" t="s">
        <v>5478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0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6438</v>
      </c>
      <c r="M4307" s="154">
        <v>45933</v>
      </c>
      <c r="N4307" s="155"/>
      <c r="O4307" s="155"/>
      <c r="P4307" s="154" t="str">
        <f ca="1">IF(Proc[[#This Row],[DaysAgeing]]&gt;5,"yep","on track")</f>
        <v>on track</v>
      </c>
      <c r="Q4307" s="3">
        <f ca="1">IF(Proc[[#This Row],[DateClosed]]="",ABS(NETWORKDAYS(Proc[[#This Row],[DateOpened]],TODAY()))-1,ABS(NETWORKDAYS(Proc[[#This Row],[DateOpened]],Proc[[#This Row],[DateClosed]]))-1)</f>
        <v>0</v>
      </c>
      <c r="R4307" s="154" t="s">
        <v>1459</v>
      </c>
      <c r="S4307" s="150"/>
    </row>
    <row r="4308" spans="1:19">
      <c r="A4308" s="149" t="s">
        <v>6439</v>
      </c>
      <c r="B4308" s="150" t="str">
        <f>IFERROR(VLOOKUP(Proc[[#This Row],[App]],Table2[],3,0),"open")</f>
        <v>open</v>
      </c>
      <c r="C4308" s="149" t="s">
        <v>375</v>
      </c>
      <c r="D4308" t="s">
        <v>6442</v>
      </c>
      <c r="E4308" t="s">
        <v>6451</v>
      </c>
      <c r="F4308" s="150" t="s">
        <v>4930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0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6438</v>
      </c>
      <c r="M4308" s="154">
        <v>45933</v>
      </c>
      <c r="N4308" s="155"/>
      <c r="O4308" s="155"/>
      <c r="P4308" s="154" t="str">
        <f ca="1">IF(Proc[[#This Row],[DaysAgeing]]&gt;5,"yep","on track")</f>
        <v>on track</v>
      </c>
      <c r="Q4308" s="3">
        <f ca="1">IF(Proc[[#This Row],[DateClosed]]="",ABS(NETWORKDAYS(Proc[[#This Row],[DateOpened]],TODAY()))-1,ABS(NETWORKDAYS(Proc[[#This Row],[DateOpened]],Proc[[#This Row],[DateClosed]]))-1)</f>
        <v>0</v>
      </c>
      <c r="R4308" s="154" t="s">
        <v>1459</v>
      </c>
      <c r="S4308" s="150"/>
    </row>
    <row r="4309" spans="1:19">
      <c r="A4309" s="149" t="s">
        <v>6439</v>
      </c>
      <c r="B4309" s="150" t="str">
        <f>IFERROR(VLOOKUP(Proc[[#This Row],[App]],Table2[],3,0),"open")</f>
        <v>open</v>
      </c>
      <c r="C4309" s="149" t="s">
        <v>370</v>
      </c>
      <c r="D4309" t="s">
        <v>6443</v>
      </c>
      <c r="E4309" t="s">
        <v>661</v>
      </c>
      <c r="F4309" s="150" t="s">
        <v>6482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0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6438</v>
      </c>
      <c r="M4309" s="154">
        <v>45933</v>
      </c>
      <c r="N4309" s="155"/>
      <c r="O4309" s="155"/>
      <c r="P4309" s="154" t="str">
        <f ca="1">IF(Proc[[#This Row],[DaysAgeing]]&gt;5,"yep","on track")</f>
        <v>on track</v>
      </c>
      <c r="Q4309" s="3">
        <f ca="1">IF(Proc[[#This Row],[DateClosed]]="",ABS(NETWORKDAYS(Proc[[#This Row],[DateOpened]],TODAY()))-1,ABS(NETWORKDAYS(Proc[[#This Row],[DateOpened]],Proc[[#This Row],[DateClosed]]))-1)</f>
        <v>0</v>
      </c>
      <c r="R4309" s="154" t="s">
        <v>1459</v>
      </c>
      <c r="S4309" s="150"/>
    </row>
    <row r="4310" spans="1:19">
      <c r="A4310" s="149" t="s">
        <v>6439</v>
      </c>
      <c r="B4310" s="150" t="str">
        <f>IFERROR(VLOOKUP(Proc[[#This Row],[App]],Table2[],3,0),"open")</f>
        <v>open</v>
      </c>
      <c r="C4310" s="149" t="s">
        <v>375</v>
      </c>
      <c r="D4310" t="s">
        <v>5445</v>
      </c>
      <c r="E4310" t="s">
        <v>6452</v>
      </c>
      <c r="F4310" s="150" t="s">
        <v>5478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0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6438</v>
      </c>
      <c r="M4310" s="154">
        <v>45933</v>
      </c>
      <c r="N4310" s="155"/>
      <c r="O4310" s="155"/>
      <c r="P4310" s="154" t="str">
        <f ca="1">IF(Proc[[#This Row],[DaysAgeing]]&gt;5,"yep","on track")</f>
        <v>on track</v>
      </c>
      <c r="Q4310" s="3">
        <f ca="1">IF(Proc[[#This Row],[DateClosed]]="",ABS(NETWORKDAYS(Proc[[#This Row],[DateOpened]],TODAY()))-1,ABS(NETWORKDAYS(Proc[[#This Row],[DateOpened]],Proc[[#This Row],[DateClosed]]))-1)</f>
        <v>0</v>
      </c>
      <c r="R4310" s="154" t="s">
        <v>1459</v>
      </c>
      <c r="S4310" s="150"/>
    </row>
    <row r="4311" spans="1:19">
      <c r="A4311" s="149" t="s">
        <v>6439</v>
      </c>
      <c r="B4311" s="150" t="str">
        <f>IFERROR(VLOOKUP(Proc[[#This Row],[App]],Table2[],3,0),"open")</f>
        <v>open</v>
      </c>
      <c r="C4311" s="149" t="s">
        <v>375</v>
      </c>
      <c r="D4311" t="s">
        <v>5444</v>
      </c>
      <c r="E4311" t="s">
        <v>6448</v>
      </c>
      <c r="F4311" s="150" t="s">
        <v>5478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0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6438</v>
      </c>
      <c r="M4311" s="154">
        <v>45933</v>
      </c>
      <c r="N4311" s="155"/>
      <c r="O4311" s="155"/>
      <c r="P4311" s="154" t="str">
        <f ca="1">IF(Proc[[#This Row],[DaysAgeing]]&gt;5,"yep","on track")</f>
        <v>on track</v>
      </c>
      <c r="Q4311" s="3">
        <f ca="1">IF(Proc[[#This Row],[DateClosed]]="",ABS(NETWORKDAYS(Proc[[#This Row],[DateOpened]],TODAY()))-1,ABS(NETWORKDAYS(Proc[[#This Row],[DateOpened]],Proc[[#This Row],[DateClosed]]))-1)</f>
        <v>0</v>
      </c>
      <c r="R4311" s="154" t="s">
        <v>1459</v>
      </c>
      <c r="S4311" s="150"/>
    </row>
    <row r="4312" spans="1:19">
      <c r="A4312" s="149" t="s">
        <v>6439</v>
      </c>
      <c r="B4312" s="150" t="str">
        <f>IFERROR(VLOOKUP(Proc[[#This Row],[App]],Table2[],3,0),"open")</f>
        <v>open</v>
      </c>
      <c r="C4312" s="149" t="s">
        <v>370</v>
      </c>
      <c r="D4312" t="s">
        <v>5436</v>
      </c>
      <c r="E4312" t="s">
        <v>6453</v>
      </c>
      <c r="F4312" s="150" t="s">
        <v>662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0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6438</v>
      </c>
      <c r="M4312" s="154">
        <v>45933</v>
      </c>
      <c r="N4312" s="155"/>
      <c r="O4312" s="155"/>
      <c r="P4312" s="154" t="str">
        <f ca="1">IF(Proc[[#This Row],[DaysAgeing]]&gt;5,"yep","on track")</f>
        <v>on track</v>
      </c>
      <c r="Q4312" s="3">
        <f ca="1">IF(Proc[[#This Row],[DateClosed]]="",ABS(NETWORKDAYS(Proc[[#This Row],[DateOpened]],TODAY()))-1,ABS(NETWORKDAYS(Proc[[#This Row],[DateOpened]],Proc[[#This Row],[DateClosed]]))-1)</f>
        <v>0</v>
      </c>
      <c r="R4312" s="154" t="s">
        <v>1459</v>
      </c>
      <c r="S4312" s="150"/>
    </row>
    <row r="4313" spans="1:19">
      <c r="A4313" s="149" t="s">
        <v>6439</v>
      </c>
      <c r="B4313" s="150" t="str">
        <f>IFERROR(VLOOKUP(Proc[[#This Row],[App]],Table2[],3,0),"open")</f>
        <v>open</v>
      </c>
      <c r="C4313" s="149" t="s">
        <v>375</v>
      </c>
      <c r="D4313" t="s">
        <v>6444</v>
      </c>
      <c r="E4313" t="s">
        <v>4412</v>
      </c>
      <c r="F4313" s="150" t="s">
        <v>6483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0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6438</v>
      </c>
      <c r="M4313" s="154">
        <v>45933</v>
      </c>
      <c r="N4313" s="155"/>
      <c r="O4313" s="155"/>
      <c r="P4313" s="154" t="str">
        <f ca="1">IF(Proc[[#This Row],[DaysAgeing]]&gt;5,"yep","on track")</f>
        <v>on track</v>
      </c>
      <c r="Q4313" s="3">
        <f ca="1">IF(Proc[[#This Row],[DateClosed]]="",ABS(NETWORKDAYS(Proc[[#This Row],[DateOpened]],TODAY()))-1,ABS(NETWORKDAYS(Proc[[#This Row],[DateOpened]],Proc[[#This Row],[DateClosed]]))-1)</f>
        <v>0</v>
      </c>
      <c r="R4313" s="154" t="s">
        <v>1459</v>
      </c>
      <c r="S4313" s="150"/>
    </row>
    <row r="4314" spans="1:19">
      <c r="A4314" s="149" t="s">
        <v>6439</v>
      </c>
      <c r="B4314" s="150" t="str">
        <f>IFERROR(VLOOKUP(Proc[[#This Row],[App]],Table2[],3,0),"open")</f>
        <v>open</v>
      </c>
      <c r="C4314" s="149" t="s">
        <v>370</v>
      </c>
      <c r="D4314" t="s">
        <v>6445</v>
      </c>
      <c r="E4314" t="s">
        <v>6451</v>
      </c>
      <c r="F4314" s="150" t="s">
        <v>4930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0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6438</v>
      </c>
      <c r="M4314" s="154">
        <v>45933</v>
      </c>
      <c r="N4314" s="155"/>
      <c r="O4314" s="155"/>
      <c r="P4314" s="154" t="str">
        <f ca="1">IF(Proc[[#This Row],[DaysAgeing]]&gt;5,"yep","on track")</f>
        <v>on track</v>
      </c>
      <c r="Q4314" s="3">
        <f ca="1">IF(Proc[[#This Row],[DateClosed]]="",ABS(NETWORKDAYS(Proc[[#This Row],[DateOpened]],TODAY()))-1,ABS(NETWORKDAYS(Proc[[#This Row],[DateOpened]],Proc[[#This Row],[DateClosed]]))-1)</f>
        <v>0</v>
      </c>
      <c r="R4314" s="154" t="s">
        <v>1459</v>
      </c>
      <c r="S4314" s="150"/>
    </row>
    <row r="4315" spans="1:19">
      <c r="A4315" s="149" t="s">
        <v>6439</v>
      </c>
      <c r="B4315" s="150" t="str">
        <f>IFERROR(VLOOKUP(Proc[[#This Row],[App]],Table2[],3,0),"open")</f>
        <v>open</v>
      </c>
      <c r="C4315" s="149" t="s">
        <v>370</v>
      </c>
      <c r="D4315" t="s">
        <v>6446</v>
      </c>
      <c r="E4315" t="s">
        <v>6451</v>
      </c>
      <c r="F4315" s="150" t="s">
        <v>4930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0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6438</v>
      </c>
      <c r="M4315" s="154">
        <v>45933</v>
      </c>
      <c r="N4315" s="155"/>
      <c r="O4315" s="155"/>
      <c r="P4315" s="154" t="str">
        <f ca="1">IF(Proc[[#This Row],[DaysAgeing]]&gt;5,"yep","on track")</f>
        <v>on track</v>
      </c>
      <c r="Q4315" s="3">
        <f ca="1">IF(Proc[[#This Row],[DateClosed]]="",ABS(NETWORKDAYS(Proc[[#This Row],[DateOpened]],TODAY()))-1,ABS(NETWORKDAYS(Proc[[#This Row],[DateOpened]],Proc[[#This Row],[DateClosed]]))-1)</f>
        <v>0</v>
      </c>
      <c r="R4315" s="154" t="s">
        <v>1459</v>
      </c>
      <c r="S4315" s="150"/>
    </row>
    <row r="4316" spans="1:19">
      <c r="A4316" s="149" t="s">
        <v>6439</v>
      </c>
      <c r="B4316" s="150" t="str">
        <f>IFERROR(VLOOKUP(Proc[[#This Row],[App]],Table2[],3,0),"open")</f>
        <v>open</v>
      </c>
      <c r="C4316" s="149" t="s">
        <v>370</v>
      </c>
      <c r="D4316" t="s">
        <v>6447</v>
      </c>
      <c r="E4316" t="s">
        <v>6451</v>
      </c>
      <c r="F4316" s="150" t="s">
        <v>4930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0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6438</v>
      </c>
      <c r="M4316" s="154">
        <v>45933</v>
      </c>
      <c r="N4316" s="155"/>
      <c r="O4316" s="155"/>
      <c r="P4316" s="154" t="str">
        <f ca="1">IF(Proc[[#This Row],[DaysAgeing]]&gt;5,"yep","on track")</f>
        <v>on track</v>
      </c>
      <c r="Q4316" s="3">
        <f ca="1">IF(Proc[[#This Row],[DateClosed]]="",ABS(NETWORKDAYS(Proc[[#This Row],[DateOpened]],TODAY()))-1,ABS(NETWORKDAYS(Proc[[#This Row],[DateOpened]],Proc[[#This Row],[DateClosed]]))-1)</f>
        <v>0</v>
      </c>
      <c r="R4316" s="154" t="s">
        <v>1459</v>
      </c>
      <c r="S4316" s="150"/>
    </row>
    <row r="4317" spans="1:19">
      <c r="A4317" t="s">
        <v>6454</v>
      </c>
      <c r="B4317" s="150" t="str">
        <f>IFERROR(VLOOKUP(Proc[[#This Row],[App]],Table2[],3,0),"open")</f>
        <v>open</v>
      </c>
      <c r="C4317" s="149" t="s">
        <v>370</v>
      </c>
      <c r="D4317" t="s">
        <v>6455</v>
      </c>
      <c r="E4317" t="s">
        <v>6471</v>
      </c>
      <c r="F4317" s="150" t="s">
        <v>6484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0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6438</v>
      </c>
      <c r="M4317" s="154">
        <v>45933</v>
      </c>
      <c r="N4317" s="155"/>
      <c r="O4317" s="155"/>
      <c r="P4317" s="154" t="str">
        <f ca="1">IF(Proc[[#This Row],[DaysAgeing]]&gt;5,"yep","on track")</f>
        <v>on track</v>
      </c>
      <c r="Q4317" s="3">
        <f ca="1">IF(Proc[[#This Row],[DateClosed]]="",ABS(NETWORKDAYS(Proc[[#This Row],[DateOpened]],TODAY()))-1,ABS(NETWORKDAYS(Proc[[#This Row],[DateOpened]],Proc[[#This Row],[DateClosed]]))-1)</f>
        <v>0</v>
      </c>
      <c r="R4317" s="154" t="s">
        <v>489</v>
      </c>
      <c r="S4317" s="150"/>
    </row>
    <row r="4318" spans="1:19">
      <c r="A4318" s="149" t="s">
        <v>6454</v>
      </c>
      <c r="B4318" s="150" t="str">
        <f>IFERROR(VLOOKUP(Proc[[#This Row],[App]],Table2[],3,0),"open")</f>
        <v>open</v>
      </c>
      <c r="C4318" s="149" t="s">
        <v>370</v>
      </c>
      <c r="D4318" t="s">
        <v>6456</v>
      </c>
      <c r="E4318" t="s">
        <v>6472</v>
      </c>
      <c r="F4318" s="150" t="s">
        <v>447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0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6438</v>
      </c>
      <c r="M4318" s="154">
        <v>45933</v>
      </c>
      <c r="N4318" s="155"/>
      <c r="O4318" s="155"/>
      <c r="P4318" s="154" t="str">
        <f ca="1">IF(Proc[[#This Row],[DaysAgeing]]&gt;5,"yep","on track")</f>
        <v>on track</v>
      </c>
      <c r="Q4318" s="3">
        <f ca="1">IF(Proc[[#This Row],[DateClosed]]="",ABS(NETWORKDAYS(Proc[[#This Row],[DateOpened]],TODAY()))-1,ABS(NETWORKDAYS(Proc[[#This Row],[DateOpened]],Proc[[#This Row],[DateClosed]]))-1)</f>
        <v>0</v>
      </c>
      <c r="R4318" s="154" t="s">
        <v>489</v>
      </c>
      <c r="S4318" s="150"/>
    </row>
    <row r="4319" spans="1:19">
      <c r="A4319" s="149" t="s">
        <v>6454</v>
      </c>
      <c r="B4319" s="150" t="str">
        <f>IFERROR(VLOOKUP(Proc[[#This Row],[App]],Table2[],3,0),"open")</f>
        <v>open</v>
      </c>
      <c r="C4319" s="149" t="s">
        <v>375</v>
      </c>
      <c r="D4319" t="s">
        <v>6457</v>
      </c>
      <c r="E4319" t="s">
        <v>6473</v>
      </c>
      <c r="F4319" s="150" t="s">
        <v>6485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0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6438</v>
      </c>
      <c r="M4319" s="154">
        <v>45933</v>
      </c>
      <c r="N4319" s="155"/>
      <c r="O4319" s="155"/>
      <c r="P4319" s="154" t="str">
        <f ca="1">IF(Proc[[#This Row],[DaysAgeing]]&gt;5,"yep","on track")</f>
        <v>on track</v>
      </c>
      <c r="Q4319" s="3">
        <f ca="1">IF(Proc[[#This Row],[DateClosed]]="",ABS(NETWORKDAYS(Proc[[#This Row],[DateOpened]],TODAY()))-1,ABS(NETWORKDAYS(Proc[[#This Row],[DateOpened]],Proc[[#This Row],[DateClosed]]))-1)</f>
        <v>0</v>
      </c>
      <c r="R4319" s="154" t="s">
        <v>489</v>
      </c>
      <c r="S4319" s="150"/>
    </row>
    <row r="4320" spans="1:19">
      <c r="A4320" s="149" t="s">
        <v>6454</v>
      </c>
      <c r="B4320" s="150" t="str">
        <f>IFERROR(VLOOKUP(Proc[[#This Row],[App]],Table2[],3,0),"open")</f>
        <v>open</v>
      </c>
      <c r="C4320" s="149" t="s">
        <v>370</v>
      </c>
      <c r="D4320" t="s">
        <v>6458</v>
      </c>
      <c r="E4320" t="s">
        <v>6471</v>
      </c>
      <c r="F4320" s="150" t="s">
        <v>6485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0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6438</v>
      </c>
      <c r="M4320" s="154">
        <v>45933</v>
      </c>
      <c r="N4320" s="155"/>
      <c r="O4320" s="155"/>
      <c r="P4320" s="154" t="str">
        <f ca="1">IF(Proc[[#This Row],[DaysAgeing]]&gt;5,"yep","on track")</f>
        <v>on track</v>
      </c>
      <c r="Q4320" s="3">
        <f ca="1">IF(Proc[[#This Row],[DateClosed]]="",ABS(NETWORKDAYS(Proc[[#This Row],[DateOpened]],TODAY()))-1,ABS(NETWORKDAYS(Proc[[#This Row],[DateOpened]],Proc[[#This Row],[DateClosed]]))-1)</f>
        <v>0</v>
      </c>
      <c r="R4320" s="154" t="s">
        <v>489</v>
      </c>
      <c r="S4320" s="150"/>
    </row>
    <row r="4321" spans="1:19">
      <c r="A4321" s="149" t="s">
        <v>6454</v>
      </c>
      <c r="B4321" s="150" t="str">
        <f>IFERROR(VLOOKUP(Proc[[#This Row],[App]],Table2[],3,0),"open")</f>
        <v>open</v>
      </c>
      <c r="C4321" s="149" t="s">
        <v>375</v>
      </c>
      <c r="D4321" t="s">
        <v>3570</v>
      </c>
      <c r="E4321" t="s">
        <v>6474</v>
      </c>
      <c r="F4321" s="150" t="s">
        <v>3571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0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6438</v>
      </c>
      <c r="M4321" s="154">
        <v>45933</v>
      </c>
      <c r="N4321" s="155"/>
      <c r="O4321" s="155"/>
      <c r="P4321" s="154" t="str">
        <f ca="1">IF(Proc[[#This Row],[DaysAgeing]]&gt;5,"yep","on track")</f>
        <v>on track</v>
      </c>
      <c r="Q4321" s="3">
        <f ca="1">IF(Proc[[#This Row],[DateClosed]]="",ABS(NETWORKDAYS(Proc[[#This Row],[DateOpened]],TODAY()))-1,ABS(NETWORKDAYS(Proc[[#This Row],[DateOpened]],Proc[[#This Row],[DateClosed]]))-1)</f>
        <v>0</v>
      </c>
      <c r="R4321" s="154" t="s">
        <v>489</v>
      </c>
      <c r="S4321" s="150"/>
    </row>
    <row r="4322" spans="1:19">
      <c r="A4322" s="149" t="s">
        <v>6454</v>
      </c>
      <c r="B4322" s="150" t="str">
        <f>IFERROR(VLOOKUP(Proc[[#This Row],[App]],Table2[],3,0),"open")</f>
        <v>open</v>
      </c>
      <c r="C4322" s="149" t="s">
        <v>370</v>
      </c>
      <c r="D4322" t="s">
        <v>6459</v>
      </c>
      <c r="E4322" t="s">
        <v>6475</v>
      </c>
      <c r="F4322" s="150" t="s">
        <v>6486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0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6438</v>
      </c>
      <c r="M4322" s="154">
        <v>45933</v>
      </c>
      <c r="N4322" s="155"/>
      <c r="O4322" s="155"/>
      <c r="P4322" s="154" t="str">
        <f ca="1">IF(Proc[[#This Row],[DaysAgeing]]&gt;5,"yep","on track")</f>
        <v>on track</v>
      </c>
      <c r="Q4322" s="3">
        <f ca="1">IF(Proc[[#This Row],[DateClosed]]="",ABS(NETWORKDAYS(Proc[[#This Row],[DateOpened]],TODAY()))-1,ABS(NETWORKDAYS(Proc[[#This Row],[DateOpened]],Proc[[#This Row],[DateClosed]]))-1)</f>
        <v>0</v>
      </c>
      <c r="R4322" s="154" t="s">
        <v>489</v>
      </c>
      <c r="S4322" s="150"/>
    </row>
    <row r="4323" spans="1:19">
      <c r="A4323" s="149" t="s">
        <v>6454</v>
      </c>
      <c r="B4323" s="150" t="str">
        <f>IFERROR(VLOOKUP(Proc[[#This Row],[App]],Table2[],3,0),"open")</f>
        <v>open</v>
      </c>
      <c r="C4323" s="149" t="s">
        <v>370</v>
      </c>
      <c r="D4323" t="s">
        <v>6460</v>
      </c>
      <c r="E4323" t="s">
        <v>6475</v>
      </c>
      <c r="F4323" s="150" t="s">
        <v>6487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0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6438</v>
      </c>
      <c r="M4323" s="154">
        <v>45933</v>
      </c>
      <c r="N4323" s="155"/>
      <c r="O4323" s="155"/>
      <c r="P4323" s="154" t="str">
        <f ca="1">IF(Proc[[#This Row],[DaysAgeing]]&gt;5,"yep","on track")</f>
        <v>on track</v>
      </c>
      <c r="Q4323" s="3">
        <f ca="1">IF(Proc[[#This Row],[DateClosed]]="",ABS(NETWORKDAYS(Proc[[#This Row],[DateOpened]],TODAY()))-1,ABS(NETWORKDAYS(Proc[[#This Row],[DateOpened]],Proc[[#This Row],[DateClosed]]))-1)</f>
        <v>0</v>
      </c>
      <c r="R4323" s="154" t="s">
        <v>489</v>
      </c>
      <c r="S4323" s="150"/>
    </row>
    <row r="4324" spans="1:19">
      <c r="A4324" s="149" t="s">
        <v>6454</v>
      </c>
      <c r="B4324" s="150" t="str">
        <f>IFERROR(VLOOKUP(Proc[[#This Row],[App]],Table2[],3,0),"open")</f>
        <v>open</v>
      </c>
      <c r="C4324" s="149" t="s">
        <v>370</v>
      </c>
      <c r="D4324" t="s">
        <v>6461</v>
      </c>
      <c r="E4324" t="s">
        <v>6475</v>
      </c>
      <c r="F4324" s="150" t="s">
        <v>6486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0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6438</v>
      </c>
      <c r="M4324" s="154">
        <v>45933</v>
      </c>
      <c r="N4324" s="155"/>
      <c r="O4324" s="155"/>
      <c r="P4324" s="154" t="str">
        <f ca="1">IF(Proc[[#This Row],[DaysAgeing]]&gt;5,"yep","on track")</f>
        <v>on track</v>
      </c>
      <c r="Q4324" s="3">
        <f ca="1">IF(Proc[[#This Row],[DateClosed]]="",ABS(NETWORKDAYS(Proc[[#This Row],[DateOpened]],TODAY()))-1,ABS(NETWORKDAYS(Proc[[#This Row],[DateOpened]],Proc[[#This Row],[DateClosed]]))-1)</f>
        <v>0</v>
      </c>
      <c r="R4324" s="154" t="s">
        <v>489</v>
      </c>
      <c r="S4324" s="150"/>
    </row>
    <row r="4325" spans="1:19">
      <c r="A4325" s="149" t="s">
        <v>6454</v>
      </c>
      <c r="B4325" s="150" t="str">
        <f>IFERROR(VLOOKUP(Proc[[#This Row],[App]],Table2[],3,0),"open")</f>
        <v>open</v>
      </c>
      <c r="C4325" s="149" t="s">
        <v>370</v>
      </c>
      <c r="D4325" t="s">
        <v>6462</v>
      </c>
      <c r="E4325" t="s">
        <v>6475</v>
      </c>
      <c r="F4325" s="150" t="s">
        <v>6486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0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6438</v>
      </c>
      <c r="M4325" s="154">
        <v>45933</v>
      </c>
      <c r="N4325" s="155"/>
      <c r="O4325" s="155"/>
      <c r="P4325" s="154" t="str">
        <f ca="1">IF(Proc[[#This Row],[DaysAgeing]]&gt;5,"yep","on track")</f>
        <v>on track</v>
      </c>
      <c r="Q4325" s="3">
        <f ca="1">IF(Proc[[#This Row],[DateClosed]]="",ABS(NETWORKDAYS(Proc[[#This Row],[DateOpened]],TODAY()))-1,ABS(NETWORKDAYS(Proc[[#This Row],[DateOpened]],Proc[[#This Row],[DateClosed]]))-1)</f>
        <v>0</v>
      </c>
      <c r="R4325" s="154" t="s">
        <v>489</v>
      </c>
      <c r="S4325" s="150"/>
    </row>
    <row r="4326" spans="1:19">
      <c r="A4326" s="149" t="s">
        <v>6454</v>
      </c>
      <c r="B4326" s="150" t="str">
        <f>IFERROR(VLOOKUP(Proc[[#This Row],[App]],Table2[],3,0),"open")</f>
        <v>open</v>
      </c>
      <c r="C4326" s="149" t="s">
        <v>375</v>
      </c>
      <c r="D4326" t="s">
        <v>6463</v>
      </c>
      <c r="E4326" t="s">
        <v>6475</v>
      </c>
      <c r="F4326" s="150" t="s">
        <v>6486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0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6438</v>
      </c>
      <c r="M4326" s="154">
        <v>45933</v>
      </c>
      <c r="N4326" s="155"/>
      <c r="O4326" s="155"/>
      <c r="P4326" s="154" t="str">
        <f ca="1">IF(Proc[[#This Row],[DaysAgeing]]&gt;5,"yep","on track")</f>
        <v>on track</v>
      </c>
      <c r="Q4326" s="3">
        <f ca="1">IF(Proc[[#This Row],[DateClosed]]="",ABS(NETWORKDAYS(Proc[[#This Row],[DateOpened]],TODAY()))-1,ABS(NETWORKDAYS(Proc[[#This Row],[DateOpened]],Proc[[#This Row],[DateClosed]]))-1)</f>
        <v>0</v>
      </c>
      <c r="R4326" s="154" t="s">
        <v>489</v>
      </c>
      <c r="S4326" s="150"/>
    </row>
    <row r="4327" spans="1:19">
      <c r="A4327" s="149" t="s">
        <v>6454</v>
      </c>
      <c r="B4327" s="150" t="str">
        <f>IFERROR(VLOOKUP(Proc[[#This Row],[App]],Table2[],3,0),"open")</f>
        <v>open</v>
      </c>
      <c r="C4327" s="149" t="s">
        <v>375</v>
      </c>
      <c r="D4327" t="s">
        <v>6464</v>
      </c>
      <c r="E4327" t="s">
        <v>6475</v>
      </c>
      <c r="F4327" s="150" t="s">
        <v>6486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0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6438</v>
      </c>
      <c r="M4327" s="154">
        <v>45933</v>
      </c>
      <c r="N4327" s="155"/>
      <c r="O4327" s="155"/>
      <c r="P4327" s="154" t="str">
        <f ca="1">IF(Proc[[#This Row],[DaysAgeing]]&gt;5,"yep","on track")</f>
        <v>on track</v>
      </c>
      <c r="Q4327" s="3">
        <f ca="1">IF(Proc[[#This Row],[DateClosed]]="",ABS(NETWORKDAYS(Proc[[#This Row],[DateOpened]],TODAY()))-1,ABS(NETWORKDAYS(Proc[[#This Row],[DateOpened]],Proc[[#This Row],[DateClosed]]))-1)</f>
        <v>0</v>
      </c>
      <c r="R4327" s="154" t="s">
        <v>489</v>
      </c>
      <c r="S4327" s="150"/>
    </row>
    <row r="4328" spans="1:19">
      <c r="A4328" s="149" t="s">
        <v>6454</v>
      </c>
      <c r="B4328" s="150" t="str">
        <f>IFERROR(VLOOKUP(Proc[[#This Row],[App]],Table2[],3,0),"open")</f>
        <v>open</v>
      </c>
      <c r="C4328" s="149" t="s">
        <v>370</v>
      </c>
      <c r="D4328" t="s">
        <v>6465</v>
      </c>
      <c r="E4328" t="s">
        <v>6475</v>
      </c>
      <c r="F4328" s="150" t="s">
        <v>6486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0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6438</v>
      </c>
      <c r="M4328" s="154">
        <v>45933</v>
      </c>
      <c r="N4328" s="155"/>
      <c r="O4328" s="155"/>
      <c r="P4328" s="154" t="str">
        <f ca="1">IF(Proc[[#This Row],[DaysAgeing]]&gt;5,"yep","on track")</f>
        <v>on track</v>
      </c>
      <c r="Q4328" s="3">
        <f ca="1">IF(Proc[[#This Row],[DateClosed]]="",ABS(NETWORKDAYS(Proc[[#This Row],[DateOpened]],TODAY()))-1,ABS(NETWORKDAYS(Proc[[#This Row],[DateOpened]],Proc[[#This Row],[DateClosed]]))-1)</f>
        <v>0</v>
      </c>
      <c r="R4328" s="154" t="s">
        <v>489</v>
      </c>
      <c r="S4328" s="150"/>
    </row>
    <row r="4329" spans="1:19">
      <c r="A4329" s="149" t="s">
        <v>6454</v>
      </c>
      <c r="B4329" s="150" t="str">
        <f>IFERROR(VLOOKUP(Proc[[#This Row],[App]],Table2[],3,0),"open")</f>
        <v>open</v>
      </c>
      <c r="C4329" s="149" t="s">
        <v>370</v>
      </c>
      <c r="D4329" t="s">
        <v>6466</v>
      </c>
      <c r="E4329" t="s">
        <v>6475</v>
      </c>
      <c r="F4329" s="150" t="s">
        <v>6487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0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6438</v>
      </c>
      <c r="M4329" s="154">
        <v>45933</v>
      </c>
      <c r="N4329" s="155"/>
      <c r="O4329" s="155"/>
      <c r="P4329" s="154" t="str">
        <f ca="1">IF(Proc[[#This Row],[DaysAgeing]]&gt;5,"yep","on track")</f>
        <v>on track</v>
      </c>
      <c r="Q4329" s="3">
        <f ca="1">IF(Proc[[#This Row],[DateClosed]]="",ABS(NETWORKDAYS(Proc[[#This Row],[DateOpened]],TODAY()))-1,ABS(NETWORKDAYS(Proc[[#This Row],[DateOpened]],Proc[[#This Row],[DateClosed]]))-1)</f>
        <v>0</v>
      </c>
      <c r="R4329" s="154" t="s">
        <v>489</v>
      </c>
      <c r="S4329" s="150"/>
    </row>
    <row r="4330" spans="1:19">
      <c r="A4330" s="149" t="s">
        <v>6454</v>
      </c>
      <c r="B4330" s="150" t="str">
        <f>IFERROR(VLOOKUP(Proc[[#This Row],[App]],Table2[],3,0),"open")</f>
        <v>open</v>
      </c>
      <c r="C4330" s="149" t="s">
        <v>370</v>
      </c>
      <c r="D4330" t="s">
        <v>6461</v>
      </c>
      <c r="E4330" t="s">
        <v>6475</v>
      </c>
      <c r="F4330" s="150" t="s">
        <v>6486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0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6438</v>
      </c>
      <c r="M4330" s="154">
        <v>45933</v>
      </c>
      <c r="N4330" s="155"/>
      <c r="O4330" s="155"/>
      <c r="P4330" s="154" t="str">
        <f ca="1">IF(Proc[[#This Row],[DaysAgeing]]&gt;5,"yep","on track")</f>
        <v>on track</v>
      </c>
      <c r="Q4330" s="3">
        <f ca="1">IF(Proc[[#This Row],[DateClosed]]="",ABS(NETWORKDAYS(Proc[[#This Row],[DateOpened]],TODAY()))-1,ABS(NETWORKDAYS(Proc[[#This Row],[DateOpened]],Proc[[#This Row],[DateClosed]]))-1)</f>
        <v>0</v>
      </c>
      <c r="R4330" s="154" t="s">
        <v>489</v>
      </c>
      <c r="S4330" s="150"/>
    </row>
    <row r="4331" spans="1:19">
      <c r="A4331" s="149" t="s">
        <v>6454</v>
      </c>
      <c r="B4331" s="150" t="str">
        <f>IFERROR(VLOOKUP(Proc[[#This Row],[App]],Table2[],3,0),"open")</f>
        <v>open</v>
      </c>
      <c r="C4331" s="149" t="s">
        <v>370</v>
      </c>
      <c r="D4331" t="s">
        <v>3575</v>
      </c>
      <c r="E4331" t="s">
        <v>6475</v>
      </c>
      <c r="F4331" s="150" t="s">
        <v>3571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0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6438</v>
      </c>
      <c r="M4331" s="154">
        <v>45933</v>
      </c>
      <c r="N4331" s="155"/>
      <c r="O4331" s="155"/>
      <c r="P4331" s="154" t="str">
        <f ca="1">IF(Proc[[#This Row],[DaysAgeing]]&gt;5,"yep","on track")</f>
        <v>on track</v>
      </c>
      <c r="Q4331" s="3">
        <f ca="1">IF(Proc[[#This Row],[DateClosed]]="",ABS(NETWORKDAYS(Proc[[#This Row],[DateOpened]],TODAY()))-1,ABS(NETWORKDAYS(Proc[[#This Row],[DateOpened]],Proc[[#This Row],[DateClosed]]))-1)</f>
        <v>0</v>
      </c>
      <c r="R4331" s="154" t="s">
        <v>489</v>
      </c>
      <c r="S4331" s="150"/>
    </row>
    <row r="4332" spans="1:19">
      <c r="A4332" s="149" t="s">
        <v>6454</v>
      </c>
      <c r="B4332" s="150" t="str">
        <f>IFERROR(VLOOKUP(Proc[[#This Row],[App]],Table2[],3,0),"open")</f>
        <v>open</v>
      </c>
      <c r="C4332" s="149" t="s">
        <v>370</v>
      </c>
      <c r="D4332" t="s">
        <v>3573</v>
      </c>
      <c r="E4332" t="s">
        <v>6475</v>
      </c>
      <c r="F4332" s="150" t="s">
        <v>3571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0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6438</v>
      </c>
      <c r="M4332" s="154">
        <v>45933</v>
      </c>
      <c r="N4332" s="155"/>
      <c r="O4332" s="155"/>
      <c r="P4332" s="154" t="str">
        <f ca="1">IF(Proc[[#This Row],[DaysAgeing]]&gt;5,"yep","on track")</f>
        <v>on track</v>
      </c>
      <c r="Q4332" s="3">
        <f ca="1">IF(Proc[[#This Row],[DateClosed]]="",ABS(NETWORKDAYS(Proc[[#This Row],[DateOpened]],TODAY()))-1,ABS(NETWORKDAYS(Proc[[#This Row],[DateOpened]],Proc[[#This Row],[DateClosed]]))-1)</f>
        <v>0</v>
      </c>
      <c r="R4332" s="154" t="s">
        <v>489</v>
      </c>
      <c r="S4332" s="150"/>
    </row>
    <row r="4333" spans="1:19">
      <c r="A4333" s="149" t="s">
        <v>6454</v>
      </c>
      <c r="B4333" s="150" t="str">
        <f>IFERROR(VLOOKUP(Proc[[#This Row],[App]],Table2[],3,0),"open")</f>
        <v>open</v>
      </c>
      <c r="C4333" s="149" t="s">
        <v>370</v>
      </c>
      <c r="D4333" t="s">
        <v>6467</v>
      </c>
      <c r="E4333" t="s">
        <v>6476</v>
      </c>
      <c r="F4333" s="150" t="s">
        <v>2413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0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6438</v>
      </c>
      <c r="M4333" s="154">
        <v>45933</v>
      </c>
      <c r="N4333" s="155"/>
      <c r="O4333" s="155"/>
      <c r="P4333" s="154" t="str">
        <f ca="1">IF(Proc[[#This Row],[DaysAgeing]]&gt;5,"yep","on track")</f>
        <v>on track</v>
      </c>
      <c r="Q4333" s="3">
        <f ca="1">IF(Proc[[#This Row],[DateClosed]]="",ABS(NETWORKDAYS(Proc[[#This Row],[DateOpened]],TODAY()))-1,ABS(NETWORKDAYS(Proc[[#This Row],[DateOpened]],Proc[[#This Row],[DateClosed]]))-1)</f>
        <v>0</v>
      </c>
      <c r="R4333" s="154" t="s">
        <v>489</v>
      </c>
      <c r="S4333" s="150"/>
    </row>
    <row r="4334" spans="1:19">
      <c r="A4334" s="149" t="s">
        <v>6454</v>
      </c>
      <c r="B4334" s="150" t="str">
        <f>IFERROR(VLOOKUP(Proc[[#This Row],[App]],Table2[],3,0),"open")</f>
        <v>open</v>
      </c>
      <c r="C4334" s="149" t="s">
        <v>370</v>
      </c>
      <c r="D4334" t="s">
        <v>6468</v>
      </c>
      <c r="E4334" t="s">
        <v>6476</v>
      </c>
      <c r="F4334" s="150" t="s">
        <v>6486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0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6438</v>
      </c>
      <c r="M4334" s="154">
        <v>45933</v>
      </c>
      <c r="N4334" s="155"/>
      <c r="O4334" s="155"/>
      <c r="P4334" s="154" t="str">
        <f ca="1">IF(Proc[[#This Row],[DaysAgeing]]&gt;5,"yep","on track")</f>
        <v>on track</v>
      </c>
      <c r="Q4334" s="3">
        <f ca="1">IF(Proc[[#This Row],[DateClosed]]="",ABS(NETWORKDAYS(Proc[[#This Row],[DateOpened]],TODAY()))-1,ABS(NETWORKDAYS(Proc[[#This Row],[DateOpened]],Proc[[#This Row],[DateClosed]]))-1)</f>
        <v>0</v>
      </c>
      <c r="R4334" s="154" t="s">
        <v>489</v>
      </c>
      <c r="S4334" s="150"/>
    </row>
    <row r="4335" spans="1:19">
      <c r="A4335" s="149" t="s">
        <v>6454</v>
      </c>
      <c r="B4335" s="150" t="str">
        <f>IFERROR(VLOOKUP(Proc[[#This Row],[App]],Table2[],3,0),"open")</f>
        <v>open</v>
      </c>
      <c r="C4335" s="149" t="s">
        <v>370</v>
      </c>
      <c r="D4335" t="s">
        <v>6469</v>
      </c>
      <c r="E4335" t="s">
        <v>6476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0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6438</v>
      </c>
      <c r="M4335" s="154">
        <v>45933</v>
      </c>
      <c r="N4335" s="155"/>
      <c r="O4335" s="155"/>
      <c r="P4335" s="154" t="str">
        <f ca="1">IF(Proc[[#This Row],[DaysAgeing]]&gt;5,"yep","on track")</f>
        <v>on track</v>
      </c>
      <c r="Q4335" s="3">
        <f ca="1">IF(Proc[[#This Row],[DateClosed]]="",ABS(NETWORKDAYS(Proc[[#This Row],[DateOpened]],TODAY()))-1,ABS(NETWORKDAYS(Proc[[#This Row],[DateOpened]],Proc[[#This Row],[DateClosed]]))-1)</f>
        <v>0</v>
      </c>
      <c r="R4335" s="154" t="s">
        <v>489</v>
      </c>
      <c r="S4335" s="150"/>
    </row>
    <row r="4336" spans="1:19">
      <c r="A4336" s="149" t="s">
        <v>6454</v>
      </c>
      <c r="B4336" s="150" t="str">
        <f>IFERROR(VLOOKUP(Proc[[#This Row],[App]],Table2[],3,0),"open")</f>
        <v>open</v>
      </c>
      <c r="C4336" s="149" t="s">
        <v>375</v>
      </c>
      <c r="D4336" t="s">
        <v>6470</v>
      </c>
      <c r="E4336" t="s">
        <v>6476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0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6438</v>
      </c>
      <c r="M4336" s="154">
        <v>45933</v>
      </c>
      <c r="N4336" s="155"/>
      <c r="O4336" s="155"/>
      <c r="P4336" s="154" t="str">
        <f ca="1">IF(Proc[[#This Row],[DaysAgeing]]&gt;5,"yep","on track")</f>
        <v>on track</v>
      </c>
      <c r="Q4336" s="3">
        <f ca="1">IF(Proc[[#This Row],[DateClosed]]="",ABS(NETWORKDAYS(Proc[[#This Row],[DateOpened]],TODAY()))-1,ABS(NETWORKDAYS(Proc[[#This Row],[DateOpened]],Proc[[#This Row],[DateClosed]]))-1)</f>
        <v>0</v>
      </c>
      <c r="R4336" s="154" t="s">
        <v>489</v>
      </c>
      <c r="S4336" s="150"/>
    </row>
    <row r="4337" spans="1:19">
      <c r="A4337" s="149" t="s">
        <v>6454</v>
      </c>
      <c r="B4337" s="150" t="str">
        <f>IFERROR(VLOOKUP(Proc[[#This Row],[App]],Table2[],3,0),"open")</f>
        <v>open</v>
      </c>
      <c r="C4337" s="149" t="s">
        <v>370</v>
      </c>
      <c r="D4337" t="s">
        <v>3572</v>
      </c>
      <c r="E4337" t="s">
        <v>6476</v>
      </c>
      <c r="F4337" s="150" t="s">
        <v>3571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0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6438</v>
      </c>
      <c r="M4337" s="154">
        <v>45933</v>
      </c>
      <c r="N4337" s="155"/>
      <c r="O4337" s="155"/>
      <c r="P4337" s="154" t="str">
        <f ca="1">IF(Proc[[#This Row],[DaysAgeing]]&gt;5,"yep","on track")</f>
        <v>on track</v>
      </c>
      <c r="Q4337" s="3">
        <f ca="1">IF(Proc[[#This Row],[DateClosed]]="",ABS(NETWORKDAYS(Proc[[#This Row],[DateOpened]],TODAY()))-1,ABS(NETWORKDAYS(Proc[[#This Row],[DateOpened]],Proc[[#This Row],[DateClosed]]))-1)</f>
        <v>0</v>
      </c>
      <c r="R4337" s="154" t="s">
        <v>489</v>
      </c>
      <c r="S4337" s="150"/>
    </row>
    <row r="4338" spans="1:19">
      <c r="A4338" s="149" t="s">
        <v>6454</v>
      </c>
      <c r="B4338" s="150" t="str">
        <f>IFERROR(VLOOKUP(Proc[[#This Row],[App]],Table2[],3,0),"open")</f>
        <v>open</v>
      </c>
      <c r="C4338" s="149" t="s">
        <v>370</v>
      </c>
      <c r="D4338" t="s">
        <v>3574</v>
      </c>
      <c r="E4338" t="s">
        <v>6474</v>
      </c>
      <c r="F4338" s="150" t="s">
        <v>3571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0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6438</v>
      </c>
      <c r="M4338" s="154">
        <v>45933</v>
      </c>
      <c r="N4338" s="155"/>
      <c r="O4338" s="155"/>
      <c r="P4338" s="154" t="str">
        <f ca="1">IF(Proc[[#This Row],[DaysAgeing]]&gt;5,"yep","on track")</f>
        <v>on track</v>
      </c>
      <c r="Q4338" s="3">
        <f ca="1">IF(Proc[[#This Row],[DateClosed]]="",ABS(NETWORKDAYS(Proc[[#This Row],[DateOpened]],TODAY()))-1,ABS(NETWORKDAYS(Proc[[#This Row],[DateOpened]],Proc[[#This Row],[DateClosed]]))-1)</f>
        <v>0</v>
      </c>
      <c r="R4338" s="154" t="s">
        <v>489</v>
      </c>
      <c r="S4338" s="150"/>
    </row>
    <row r="4339" spans="1:19">
      <c r="A4339" t="s">
        <v>6477</v>
      </c>
      <c r="B4339" s="150" t="str">
        <f>IFERROR(VLOOKUP(Proc[[#This Row],[App]],Table2[],3,0),"open")</f>
        <v>open</v>
      </c>
      <c r="C4339" s="149" t="s">
        <v>370</v>
      </c>
      <c r="D4339" t="s">
        <v>6488</v>
      </c>
      <c r="E4339" t="s">
        <v>6479</v>
      </c>
      <c r="F4339" s="150" t="s">
        <v>6489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0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6438</v>
      </c>
      <c r="M4339" s="154">
        <v>45933</v>
      </c>
      <c r="N4339" s="155"/>
      <c r="O4339" s="155"/>
      <c r="P4339" s="154" t="str">
        <f ca="1">IF(Proc[[#This Row],[DaysAgeing]]&gt;5,"yep","on track")</f>
        <v>on track</v>
      </c>
      <c r="Q4339" s="3">
        <f ca="1">IF(Proc[[#This Row],[DateClosed]]="",ABS(NETWORKDAYS(Proc[[#This Row],[DateOpened]],TODAY()))-1,ABS(NETWORKDAYS(Proc[[#This Row],[DateOpened]],Proc[[#This Row],[DateClosed]]))-1)</f>
        <v>0</v>
      </c>
      <c r="R4339" s="154" t="s">
        <v>489</v>
      </c>
      <c r="S4339" s="150"/>
    </row>
    <row r="4340" spans="1:19">
      <c r="A4340" s="149" t="s">
        <v>6477</v>
      </c>
      <c r="B4340" s="150" t="str">
        <f>IFERROR(VLOOKUP(Proc[[#This Row],[App]],Table2[],3,0),"open")</f>
        <v>open</v>
      </c>
      <c r="C4340" s="149" t="s">
        <v>375</v>
      </c>
      <c r="D4340" t="s">
        <v>6478</v>
      </c>
      <c r="E4340" t="s">
        <v>6475</v>
      </c>
      <c r="F4340" s="150" t="s">
        <v>6487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0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6438</v>
      </c>
      <c r="M4340" s="154">
        <v>45933</v>
      </c>
      <c r="N4340" s="155"/>
      <c r="O4340" s="155"/>
      <c r="P4340" s="154" t="str">
        <f ca="1">IF(Proc[[#This Row],[DaysAgeing]]&gt;5,"yep","on track")</f>
        <v>on track</v>
      </c>
      <c r="Q4340" s="3">
        <f ca="1">IF(Proc[[#This Row],[DateClosed]]="",ABS(NETWORKDAYS(Proc[[#This Row],[DateOpened]],TODAY()))-1,ABS(NETWORKDAYS(Proc[[#This Row],[DateOpened]],Proc[[#This Row],[DateClosed]]))-1)</f>
        <v>0</v>
      </c>
      <c r="R4340" s="154" t="s">
        <v>489</v>
      </c>
      <c r="S4340" s="150"/>
    </row>
  </sheetData>
  <phoneticPr fontId="0" type="noConversion"/>
  <conditionalFormatting sqref="D642">
    <cfRule type="duplicateValues" dxfId="27" priority="3"/>
  </conditionalFormatting>
  <conditionalFormatting sqref="D1017:D1042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5"/>
  <cols>
    <col min="1" max="1" width="64" bestFit="1" customWidth="1"/>
    <col min="2" max="2" width="24.85546875" bestFit="1" customWidth="1"/>
    <col min="3" max="3" width="20.28515625" bestFit="1" customWidth="1"/>
  </cols>
  <sheetData>
    <row r="1" spans="1:2">
      <c r="A1" t="s">
        <v>6318</v>
      </c>
      <c r="B1" t="s">
        <v>6326</v>
      </c>
    </row>
    <row r="2" spans="1:2">
      <c r="A2" t="s">
        <v>6363</v>
      </c>
      <c r="B2" t="s">
        <v>6406</v>
      </c>
    </row>
    <row r="3" spans="1:2">
      <c r="A3" t="s">
        <v>6375</v>
      </c>
      <c r="B3" t="s">
        <v>6406</v>
      </c>
    </row>
    <row r="4" spans="1:2">
      <c r="A4" t="s">
        <v>6431</v>
      </c>
      <c r="B4" t="s">
        <v>6432</v>
      </c>
    </row>
    <row r="5" spans="1:2">
      <c r="A5" t="s">
        <v>6253</v>
      </c>
      <c r="B5" t="s">
        <v>6250</v>
      </c>
    </row>
    <row r="6" spans="1:2">
      <c r="A6" t="s">
        <v>6434</v>
      </c>
      <c r="B6" t="s">
        <v>6251</v>
      </c>
    </row>
    <row r="7" spans="1:2">
      <c r="A7" t="s">
        <v>6435</v>
      </c>
      <c r="B7" t="s">
        <v>6251</v>
      </c>
    </row>
    <row r="8" spans="1:2">
      <c r="A8" t="s">
        <v>6436</v>
      </c>
      <c r="B8" t="s">
        <v>6480</v>
      </c>
    </row>
    <row r="9" spans="1:2">
      <c r="A9" t="s">
        <v>6363</v>
      </c>
      <c r="B9" t="s">
        <v>6406</v>
      </c>
    </row>
    <row r="10" spans="1:2">
      <c r="A10" t="s">
        <v>6375</v>
      </c>
      <c r="B10" t="s">
        <v>6406</v>
      </c>
    </row>
    <row r="11" spans="1:2">
      <c r="A11" t="s">
        <v>6246</v>
      </c>
      <c r="B11" s="149" t="s">
        <v>6273</v>
      </c>
    </row>
    <row r="12" spans="1:2">
      <c r="A12" t="s">
        <v>2330</v>
      </c>
      <c r="B12" s="149" t="s">
        <v>6273</v>
      </c>
    </row>
    <row r="13" spans="1:2">
      <c r="A13" t="s">
        <v>4409</v>
      </c>
      <c r="B13" s="149" t="s">
        <v>6273</v>
      </c>
    </row>
    <row r="14" spans="1:2">
      <c r="A14" t="s">
        <v>6440</v>
      </c>
      <c r="B14" t="s">
        <v>6481</v>
      </c>
    </row>
    <row r="15" spans="1:2">
      <c r="A15" t="s">
        <v>5443</v>
      </c>
      <c r="B15" t="s">
        <v>5478</v>
      </c>
    </row>
    <row r="16" spans="1:2">
      <c r="A16" t="s">
        <v>5441</v>
      </c>
      <c r="B16" t="s">
        <v>5478</v>
      </c>
    </row>
    <row r="17" spans="1:2">
      <c r="A17" t="s">
        <v>5306</v>
      </c>
      <c r="B17" t="s">
        <v>5464</v>
      </c>
    </row>
    <row r="18" spans="1:2">
      <c r="A18" t="s">
        <v>5442</v>
      </c>
      <c r="B18" t="s">
        <v>5478</v>
      </c>
    </row>
    <row r="19" spans="1:2">
      <c r="A19" t="s">
        <v>2319</v>
      </c>
      <c r="B19" t="s">
        <v>5571</v>
      </c>
    </row>
    <row r="20" spans="1:2">
      <c r="A20" t="s">
        <v>6441</v>
      </c>
      <c r="B20" t="s">
        <v>6451</v>
      </c>
    </row>
    <row r="21" spans="1:2">
      <c r="A21" t="s">
        <v>5440</v>
      </c>
      <c r="B21" t="s">
        <v>5478</v>
      </c>
    </row>
    <row r="22" spans="1:2">
      <c r="A22" t="s">
        <v>5438</v>
      </c>
      <c r="B22" t="s">
        <v>5478</v>
      </c>
    </row>
    <row r="23" spans="1:2">
      <c r="A23" t="s">
        <v>6442</v>
      </c>
      <c r="B23" t="s">
        <v>4930</v>
      </c>
    </row>
    <row r="24" spans="1:2">
      <c r="A24" t="s">
        <v>6443</v>
      </c>
      <c r="B24" t="s">
        <v>6482</v>
      </c>
    </row>
    <row r="25" spans="1:2">
      <c r="A25" t="s">
        <v>5445</v>
      </c>
      <c r="B25" t="s">
        <v>5478</v>
      </c>
    </row>
    <row r="26" spans="1:2">
      <c r="A26" t="s">
        <v>5444</v>
      </c>
      <c r="B26" t="s">
        <v>5478</v>
      </c>
    </row>
    <row r="27" spans="1:2">
      <c r="A27" t="s">
        <v>5436</v>
      </c>
      <c r="B27" t="s">
        <v>662</v>
      </c>
    </row>
    <row r="28" spans="1:2">
      <c r="A28" t="s">
        <v>6444</v>
      </c>
      <c r="B28" t="s">
        <v>6483</v>
      </c>
    </row>
    <row r="29" spans="1:2">
      <c r="A29" t="s">
        <v>6445</v>
      </c>
      <c r="B29" t="s">
        <v>4930</v>
      </c>
    </row>
    <row r="30" spans="1:2">
      <c r="A30" t="s">
        <v>6446</v>
      </c>
      <c r="B30" t="s">
        <v>4930</v>
      </c>
    </row>
    <row r="31" spans="1:2">
      <c r="A31" t="s">
        <v>6447</v>
      </c>
      <c r="B31" t="s">
        <v>4930</v>
      </c>
    </row>
    <row r="32" spans="1:2">
      <c r="A32" t="s">
        <v>6455</v>
      </c>
      <c r="B32" t="s">
        <v>6484</v>
      </c>
    </row>
    <row r="33" spans="1:2">
      <c r="A33" t="s">
        <v>6456</v>
      </c>
      <c r="B33" t="s">
        <v>447</v>
      </c>
    </row>
    <row r="34" spans="1:2">
      <c r="A34" t="s">
        <v>6457</v>
      </c>
      <c r="B34" t="s">
        <v>6485</v>
      </c>
    </row>
    <row r="35" spans="1:2">
      <c r="A35" t="s">
        <v>6458</v>
      </c>
      <c r="B35" t="s">
        <v>6485</v>
      </c>
    </row>
    <row r="36" spans="1:2">
      <c r="A36" t="s">
        <v>3570</v>
      </c>
      <c r="B36" t="s">
        <v>3571</v>
      </c>
    </row>
    <row r="37" spans="1:2">
      <c r="A37" t="s">
        <v>6459</v>
      </c>
      <c r="B37" t="s">
        <v>6486</v>
      </c>
    </row>
    <row r="38" spans="1:2">
      <c r="A38" t="s">
        <v>6460</v>
      </c>
      <c r="B38" t="s">
        <v>6487</v>
      </c>
    </row>
    <row r="39" spans="1:2">
      <c r="A39" t="s">
        <v>6461</v>
      </c>
      <c r="B39" t="s">
        <v>6486</v>
      </c>
    </row>
    <row r="40" spans="1:2">
      <c r="A40" t="s">
        <v>6462</v>
      </c>
      <c r="B40" t="s">
        <v>6486</v>
      </c>
    </row>
    <row r="41" spans="1:2">
      <c r="A41" t="s">
        <v>6463</v>
      </c>
      <c r="B41" t="s">
        <v>6486</v>
      </c>
    </row>
    <row r="42" spans="1:2">
      <c r="A42" t="s">
        <v>6464</v>
      </c>
      <c r="B42" t="s">
        <v>6486</v>
      </c>
    </row>
    <row r="43" spans="1:2">
      <c r="A43" t="s">
        <v>6465</v>
      </c>
      <c r="B43" t="s">
        <v>6486</v>
      </c>
    </row>
    <row r="44" spans="1:2">
      <c r="A44" t="s">
        <v>6466</v>
      </c>
      <c r="B44" t="s">
        <v>6487</v>
      </c>
    </row>
    <row r="45" spans="1:2">
      <c r="A45" t="s">
        <v>6461</v>
      </c>
      <c r="B45" t="s">
        <v>6486</v>
      </c>
    </row>
    <row r="46" spans="1:2">
      <c r="A46" t="s">
        <v>3575</v>
      </c>
      <c r="B46" t="s">
        <v>3571</v>
      </c>
    </row>
    <row r="47" spans="1:2">
      <c r="A47" t="s">
        <v>3573</v>
      </c>
      <c r="B47" t="s">
        <v>3571</v>
      </c>
    </row>
    <row r="48" spans="1:2">
      <c r="A48" t="s">
        <v>6467</v>
      </c>
      <c r="B48" t="s">
        <v>2413</v>
      </c>
    </row>
    <row r="49" spans="1:2">
      <c r="A49" t="s">
        <v>6468</v>
      </c>
      <c r="B49" t="s">
        <v>6486</v>
      </c>
    </row>
    <row r="50" spans="1:2">
      <c r="A50" t="s">
        <v>6469</v>
      </c>
      <c r="B50" t="s">
        <v>6474</v>
      </c>
    </row>
    <row r="51" spans="1:2">
      <c r="A51" t="s">
        <v>6470</v>
      </c>
      <c r="B51" t="s">
        <v>6474</v>
      </c>
    </row>
    <row r="52" spans="1:2">
      <c r="A52" t="s">
        <v>3572</v>
      </c>
      <c r="B52" t="s">
        <v>3571</v>
      </c>
    </row>
    <row r="53" spans="1:2">
      <c r="A53" t="s">
        <v>3574</v>
      </c>
      <c r="B53" t="s">
        <v>3571</v>
      </c>
    </row>
    <row r="54" spans="1:2">
      <c r="A54" t="s">
        <v>6488</v>
      </c>
      <c r="B54" t="s">
        <v>6489</v>
      </c>
    </row>
    <row r="55" spans="1:2">
      <c r="A55" t="s">
        <v>6478</v>
      </c>
      <c r="B55" t="s">
        <v>6487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2025-10-02T19:55:08Z</dcterms:modified>
  <cp:category/>
  <cp:contentStatus/>
</cp:coreProperties>
</file>