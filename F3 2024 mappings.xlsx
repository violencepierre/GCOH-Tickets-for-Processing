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BB4BE873-B298-4C72-B11A-A7F62C256482}" xr6:coauthVersionLast="47" xr6:coauthVersionMax="47" xr10:uidLastSave="{00000000-0000-0000-0000-000000000000}"/>
  <bookViews>
    <workbookView xWindow="5880" yWindow="3180" windowWidth="13680" windowHeight="1317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988" i="1" l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B3987" i="1"/>
  <c r="H3987" i="1"/>
  <c r="J3987" i="1"/>
  <c r="K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<sst xmlns="http://schemas.openxmlformats.org/spreadsheetml/2006/main" count="35868" uniqueCount="6165">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</sst>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6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</cellStyleXfs>
  <cellXfs count="14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6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1.899635995367" createdVersion="7" refreshedVersion="7" minRefreshableVersion="3" recordCount="3986" xr:uid="{11839AE3-6158-4318-87AD-2C711D0BF451}">
  <cacheSource type="worksheet">
    <worksheetSource name="Proc"/>
  </cacheSource>
  <cacheFields count="19">
    <cacheField name="App" numFmtId="0">
      <sharedItems containsBlank="1" count="153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4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9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9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9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9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9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9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9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9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9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9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9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9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9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9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9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9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9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9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9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9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9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9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9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9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9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9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9"/>
    <s v="Jay-R Lizardo"/>
    <m/>
  </r>
  <r>
    <x v="315"/>
    <x v="1"/>
    <x v="6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9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9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9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9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9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9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9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9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9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9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9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9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9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9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9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9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9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9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9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9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9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9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9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9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9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9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9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9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9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9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9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9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9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9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9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9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9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9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9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9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9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9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9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9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9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9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9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9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9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9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9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9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9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9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9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9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9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9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9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9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9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9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9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9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9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9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9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9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9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9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9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9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9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9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9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9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9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9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0"/>
    <n v="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0"/>
    <n v="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0"/>
    <n v="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0"/>
    <n v="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0"/>
    <n v="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0"/>
    <n v="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0"/>
    <n v="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0"/>
    <n v="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0"/>
    <n v="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0"/>
    <n v="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0"/>
    <n v="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0"/>
    <n v="4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0"/>
    <n v="4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0"/>
    <n v="4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0"/>
    <n v="4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0"/>
    <n v="4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0"/>
    <n v="4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0"/>
    <n v="4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0"/>
    <n v="4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0"/>
    <n v="4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0"/>
    <n v="4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0"/>
    <n v="4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0"/>
    <n v="4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0"/>
    <n v="4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0"/>
    <n v="4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0"/>
    <n v="4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0"/>
    <n v="4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0"/>
    <n v="4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0"/>
    <n v="4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0"/>
    <n v="4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0"/>
    <n v="4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0"/>
    <n v="4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0"/>
    <n v="4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0"/>
    <n v="4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0"/>
    <n v="4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0"/>
    <n v="4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0"/>
    <n v="4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0"/>
    <n v="4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0"/>
    <n v="4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0"/>
    <n v="4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0"/>
    <n v="4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0"/>
    <n v="4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0"/>
    <n v="4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0"/>
    <n v="4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0"/>
    <n v="4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0"/>
    <n v="4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0"/>
    <n v="4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0"/>
    <n v="4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0"/>
    <n v="4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0"/>
    <n v="4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0"/>
    <n v="4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0"/>
    <n v="4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0"/>
    <n v="4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0"/>
    <n v="4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0"/>
    <n v="4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0"/>
    <n v="4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0"/>
    <n v="4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0"/>
    <n v="4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0"/>
    <n v="4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0"/>
    <n v="4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0"/>
    <n v="4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0"/>
    <n v="4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0"/>
    <n v="4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0"/>
    <n v="4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0"/>
    <n v="4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0"/>
    <n v="4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0"/>
    <n v="4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0"/>
    <n v="4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0"/>
    <n v="4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0"/>
    <n v="4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0"/>
    <n v="4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0"/>
    <n v="4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0"/>
    <n v="4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0"/>
    <n v="4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0"/>
    <n v="4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0"/>
    <n v="4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0"/>
    <n v="4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0"/>
    <n v="4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0"/>
    <n v="4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0"/>
    <n v="4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0"/>
    <n v="4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0"/>
    <n v="4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0"/>
    <n v="4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0"/>
    <n v="4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0"/>
    <n v="4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0"/>
    <n v="4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0"/>
    <n v="4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0"/>
    <n v="4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0"/>
    <n v="4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0"/>
    <n v="4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0"/>
    <n v="4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0"/>
    <n v="4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0"/>
    <n v="4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0"/>
    <n v="4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0"/>
    <n v="4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0"/>
    <n v="4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0"/>
    <n v="4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0"/>
    <n v="4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0"/>
    <n v="4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0"/>
    <n v="4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0"/>
    <n v="4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0"/>
    <n v="4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0"/>
    <n v="4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0"/>
    <n v="4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0"/>
    <n v="4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0"/>
    <n v="4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0"/>
    <n v="4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0"/>
    <n v="4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0"/>
    <n v="4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0"/>
    <n v="4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0"/>
    <n v="4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0"/>
    <n v="4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0"/>
    <n v="4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0"/>
    <n v="4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0"/>
    <n v="4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0"/>
    <n v="4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0"/>
    <n v="4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0"/>
    <n v="4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0"/>
    <n v="4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0"/>
    <n v="4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0"/>
    <n v="4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0"/>
    <n v="4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0"/>
    <n v="4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0"/>
    <n v="4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0"/>
    <n v="4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0"/>
    <n v="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0"/>
    <n v="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0"/>
    <n v="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0"/>
    <n v="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0"/>
    <n v="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0"/>
    <n v="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0"/>
    <n v="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2"/>
    <x v="1"/>
    <x v="5"/>
    <s v="CEMERAL_70006502993A15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2"/>
    <x v="1"/>
    <x v="2"/>
    <s v="CLFF_1000$$$NL50GPO180"/>
    <s v="G000001130"/>
    <s v="G000001130"/>
    <s v="LFF (MDG-F)"/>
    <s v="NL50GPO180"/>
    <m/>
    <b v="1"/>
    <x v="0"/>
    <x v="3"/>
    <d v="2025-08-28T00:00:00"/>
    <m/>
    <m/>
    <x v="0"/>
    <n v="2"/>
    <s v="Jojeff Tagnong"/>
    <m/>
  </r>
  <r>
    <x v="352"/>
    <x v="1"/>
    <x v="5"/>
    <s v="CTEMPLA_1000MX10501000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0"/>
    <n v="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5"/>
    <x v="1"/>
    <x v="5"/>
    <s v="CEMERAL_700061019909BF"/>
    <s v="L000013842"/>
    <m/>
    <s v="Non-LFF"/>
    <s v=""/>
    <m/>
    <b v="0"/>
    <x v="2"/>
    <x v="3"/>
    <d v="2025-09-01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38">
        <item m="1" x="922"/>
        <item x="0"/>
        <item m="1" x="992"/>
        <item m="1" x="1413"/>
        <item m="1" x="575"/>
        <item m="1" x="1430"/>
        <item m="1" x="952"/>
        <item m="1" x="1042"/>
        <item m="1" x="1463"/>
        <item m="1" x="1257"/>
        <item m="1" x="945"/>
        <item m="1" x="1529"/>
        <item m="1" x="1275"/>
        <item m="1" x="1519"/>
        <item m="1" x="893"/>
        <item m="1" x="794"/>
        <item m="1" x="498"/>
        <item m="1" x="759"/>
        <item m="1" x="1483"/>
        <item m="1" x="551"/>
        <item m="1" x="859"/>
        <item m="1" x="1227"/>
        <item m="1" x="942"/>
        <item m="1" x="1035"/>
        <item m="1" x="1331"/>
        <item m="1" x="1516"/>
        <item m="1" x="977"/>
        <item m="1" x="999"/>
        <item m="1" x="764"/>
        <item m="1" x="1165"/>
        <item m="1" x="924"/>
        <item m="1" x="1470"/>
        <item m="1" x="1127"/>
        <item m="1" x="560"/>
        <item m="1" x="668"/>
        <item m="1" x="1455"/>
        <item m="1" x="1219"/>
        <item m="1" x="473"/>
        <item m="1" x="1305"/>
        <item m="1" x="971"/>
        <item m="1" x="1266"/>
        <item m="1" x="852"/>
        <item m="1" x="1204"/>
        <item m="1" x="463"/>
        <item m="1" x="493"/>
        <item m="1" x="1532"/>
        <item m="1" x="1211"/>
        <item m="1" x="1279"/>
        <item m="1" x="1386"/>
        <item m="1" x="1155"/>
        <item m="1" x="1253"/>
        <item m="1" x="1092"/>
        <item m="1" x="547"/>
        <item m="1" x="738"/>
        <item m="1" x="1514"/>
        <item m="1" x="1082"/>
        <item m="1" x="1222"/>
        <item m="1" x="750"/>
        <item m="1" x="711"/>
        <item m="1" x="1003"/>
        <item m="1" x="895"/>
        <item m="1" x="928"/>
        <item m="1" x="487"/>
        <item m="1" x="626"/>
        <item m="1" x="1288"/>
        <item m="1" x="1505"/>
        <item m="1" x="691"/>
        <item m="1" x="1096"/>
        <item m="1" x="1106"/>
        <item m="1" x="1283"/>
        <item m="1" x="1393"/>
        <item m="1" x="1271"/>
        <item m="1" x="566"/>
        <item m="1" x="1414"/>
        <item m="1" x="1144"/>
        <item m="1" x="1131"/>
        <item m="1" x="666"/>
        <item m="1" x="1019"/>
        <item m="1" x="1366"/>
        <item m="1" x="484"/>
        <item m="1" x="1063"/>
        <item m="1" x="1416"/>
        <item m="1" x="1254"/>
        <item m="1" x="989"/>
        <item m="1" x="1031"/>
        <item m="1" x="912"/>
        <item m="1" x="1147"/>
        <item m="1" x="959"/>
        <item m="1" x="1191"/>
        <item m="1" x="675"/>
        <item m="1" x="1504"/>
        <item m="1" x="1029"/>
        <item m="1" x="1315"/>
        <item m="1" x="392"/>
        <item m="1" x="1520"/>
        <item m="1" x="1056"/>
        <item m="1" x="1345"/>
        <item m="1" x="1258"/>
        <item m="1" x="1036"/>
        <item m="1" x="546"/>
        <item m="1" x="553"/>
        <item m="1" x="593"/>
        <item m="1" x="775"/>
        <item m="1" x="1199"/>
        <item m="1" x="960"/>
        <item m="1" x="1076"/>
        <item m="1" x="1139"/>
        <item m="1" x="1286"/>
        <item m="1" x="1369"/>
        <item m="1" x="931"/>
        <item m="1" x="652"/>
        <item m="1" x="495"/>
        <item m="1" x="638"/>
        <item m="1" x="1513"/>
        <item m="1" x="670"/>
        <item m="1" x="1351"/>
        <item m="1" x="1280"/>
        <item m="1" x="898"/>
        <item m="1" x="970"/>
        <item m="1" x="836"/>
        <item m="1" x="1093"/>
        <item m="1" x="1468"/>
        <item m="1" x="644"/>
        <item m="1" x="592"/>
        <item m="1" x="527"/>
        <item m="1" x="1193"/>
        <item m="1" x="1453"/>
        <item m="1" x="1381"/>
        <item m="1" x="1038"/>
        <item m="1" x="562"/>
        <item m="1" x="1287"/>
        <item m="1" x="739"/>
        <item m="1" x="993"/>
        <item m="1" x="1168"/>
        <item m="1" x="1276"/>
        <item m="1" x="396"/>
        <item m="1" x="1225"/>
        <item m="1" x="1188"/>
        <item m="1" x="629"/>
        <item m="1" x="1077"/>
        <item m="1" x="965"/>
        <item m="1" x="918"/>
        <item m="1" x="651"/>
        <item m="1" x="587"/>
        <item m="1" x="827"/>
        <item m="1" x="1014"/>
        <item m="1" x="421"/>
        <item m="1" x="760"/>
        <item m="1" x="619"/>
        <item m="1" x="361"/>
        <item m="1" x="871"/>
        <item m="1" x="1072"/>
        <item m="1" x="954"/>
        <item m="1" x="1000"/>
        <item m="1" x="1319"/>
        <item m="1" x="901"/>
        <item m="1" x="1427"/>
        <item m="1" x="1151"/>
        <item m="1" x="1090"/>
        <item m="1" x="604"/>
        <item m="1" x="1237"/>
        <item m="1" x="1515"/>
        <item m="1" x="1203"/>
        <item m="1" x="1187"/>
        <item m="1" x="474"/>
        <item m="1" x="522"/>
        <item m="1" x="1057"/>
        <item m="1" x="563"/>
        <item m="1" x="1500"/>
        <item m="1" x="1166"/>
        <item m="1" x="1091"/>
        <item m="1" x="1043"/>
        <item m="1" x="844"/>
        <item m="1" x="472"/>
        <item m="1" x="572"/>
        <item m="1" x="678"/>
        <item m="1" x="1411"/>
        <item m="1" x="1443"/>
        <item m="1" x="1142"/>
        <item m="1" x="869"/>
        <item m="1" x="957"/>
        <item m="1" x="467"/>
        <item m="1" x="507"/>
        <item m="1" x="846"/>
        <item m="1" x="1071"/>
        <item m="1" x="984"/>
        <item m="1" x="642"/>
        <item m="1" x="875"/>
        <item m="1" x="589"/>
        <item m="1" x="784"/>
        <item m="1" x="706"/>
        <item m="1" x="541"/>
        <item m="1" x="677"/>
        <item m="1" x="1047"/>
        <item m="1" x="457"/>
        <item m="1" x="696"/>
        <item m="1" x="488"/>
        <item m="1" x="1181"/>
        <item m="1" x="1370"/>
        <item m="1" x="980"/>
        <item m="1" x="624"/>
        <item m="1" x="1274"/>
        <item m="1" x="1119"/>
        <item m="1" x="636"/>
        <item m="1" x="637"/>
        <item m="1" x="822"/>
        <item m="1" x="512"/>
        <item m="1" x="701"/>
        <item m="1" x="496"/>
        <item m="1" x="682"/>
        <item m="1" x="1250"/>
        <item m="1" x="761"/>
        <item m="1" x="1128"/>
        <item m="1" x="1178"/>
        <item m="1" x="1312"/>
        <item m="1" x="1316"/>
        <item m="1" x="1033"/>
        <item m="1" x="874"/>
        <item m="1" x="913"/>
        <item m="1" x="1480"/>
        <item m="1" x="773"/>
        <item m="1" x="585"/>
        <item m="1" x="963"/>
        <item m="1" x="420"/>
        <item m="1" x="1484"/>
        <item m="1" x="947"/>
        <item m="1" x="381"/>
        <item m="1" x="1402"/>
        <item m="1" x="1445"/>
        <item m="1" x="1282"/>
        <item m="1" x="659"/>
        <item m="1" x="398"/>
        <item m="1" x="1332"/>
        <item m="1" x="723"/>
        <item m="1" x="359"/>
        <item m="1" x="1503"/>
        <item m="1" x="747"/>
        <item m="1" x="902"/>
        <item m="1" x="1347"/>
        <item m="1" x="434"/>
        <item m="1" x="1259"/>
        <item m="1" x="1067"/>
        <item m="1" x="932"/>
        <item m="1" x="802"/>
        <item m="1" x="549"/>
        <item m="1" x="1050"/>
        <item m="1" x="752"/>
        <item m="1" x="1290"/>
        <item m="1" x="612"/>
        <item m="1" x="1360"/>
        <item m="1" x="1367"/>
        <item m="1" x="1051"/>
        <item m="1" x="1241"/>
        <item m="1" x="658"/>
        <item m="1" x="955"/>
        <item m="1" x="1244"/>
        <item m="1" x="828"/>
        <item m="1" x="1118"/>
        <item m="1" x="757"/>
        <item m="1" x="542"/>
        <item m="1" x="746"/>
        <item m="1" x="1512"/>
        <item m="1" x="1454"/>
        <item m="1" x="599"/>
        <item m="1" x="1400"/>
        <item m="1" x="406"/>
        <item m="1" x="1422"/>
        <item m="1" x="441"/>
        <item m="1" x="743"/>
        <item m="1" x="841"/>
        <item m="1" x="788"/>
        <item m="1" x="1395"/>
        <item m="1" x="1298"/>
        <item m="1" x="539"/>
        <item m="1" x="1109"/>
        <item m="1" x="1317"/>
        <item m="1" x="1451"/>
        <item m="1" x="1358"/>
        <item m="1" x="444"/>
        <item m="1" x="1524"/>
        <item m="1" x="595"/>
        <item m="1" x="876"/>
        <item m="1" x="1320"/>
        <item m="1" x="443"/>
        <item m="1" x="1379"/>
        <item m="1" x="608"/>
        <item m="1" x="1252"/>
        <item m="1" x="1116"/>
        <item m="1" x="1094"/>
        <item m="1" x="673"/>
        <item m="1" x="635"/>
        <item m="1" x="1447"/>
        <item m="1" x="388"/>
        <item m="1" x="570"/>
        <item m="1" x="1229"/>
        <item m="1" x="1340"/>
        <item m="1" x="1267"/>
        <item m="1" x="1471"/>
        <item m="1" x="975"/>
        <item m="1" x="602"/>
        <item m="1" x="722"/>
        <item m="1" x="1041"/>
        <item m="1" x="783"/>
        <item m="1" x="1111"/>
        <item m="1" x="724"/>
        <item m="1" x="526"/>
        <item m="1" x="1179"/>
        <item m="1" x="581"/>
        <item m="1" x="461"/>
        <item m="1" x="1313"/>
        <item m="1" x="1460"/>
        <item m="1" x="1161"/>
        <item m="1" x="426"/>
        <item m="1" x="1352"/>
        <item m="1" x="1150"/>
        <item m="1" x="1260"/>
        <item m="1" x="1399"/>
        <item m="1" x="627"/>
        <item m="1" x="819"/>
        <item m="1" x="657"/>
        <item m="1" x="925"/>
        <item m="1" x="849"/>
        <item m="1" x="879"/>
        <item m="1" x="1415"/>
        <item m="1" x="861"/>
        <item m="1" x="1064"/>
        <item m="1" x="596"/>
        <item m="1" x="795"/>
        <item m="1" x="769"/>
        <item m="1" x="1112"/>
        <item m="1" x="1015"/>
        <item m="1" x="1243"/>
        <item m="1" x="765"/>
        <item m="1" x="1401"/>
        <item m="1" x="603"/>
        <item m="1" x="529"/>
        <item m="1" x="785"/>
        <item m="1" x="1326"/>
        <item m="1" x="436"/>
        <item m="1" x="437"/>
        <item m="1" x="733"/>
        <item m="1" x="1406"/>
        <item m="1" x="800"/>
        <item m="1" x="445"/>
        <item m="1" x="605"/>
        <item m="1" x="847"/>
        <item m="1" x="1158"/>
        <item m="1" x="1130"/>
        <item m="1" x="801"/>
        <item m="1" x="382"/>
        <item m="1" x="520"/>
        <item m="1" x="732"/>
        <item m="1" x="620"/>
        <item m="1" x="377"/>
        <item m="1" x="1330"/>
        <item m="1" x="1459"/>
        <item m="1" x="929"/>
        <item m="1" x="1359"/>
        <item m="1" x="1419"/>
        <item m="1" x="442"/>
        <item m="1" x="1457"/>
        <item m="1" x="1195"/>
        <item m="1" x="618"/>
        <item m="1" x="804"/>
        <item m="1" x="708"/>
        <item m="1" x="1070"/>
        <item m="1" x="641"/>
        <item m="1" x="857"/>
        <item m="1" x="1152"/>
        <item m="1" x="1277"/>
        <item m="1" x="780"/>
        <item m="1" x="908"/>
        <item m="1" x="720"/>
        <item m="1" x="646"/>
        <item m="1" x="1157"/>
        <item m="1" x="1272"/>
        <item m="1" x="1434"/>
        <item m="1" x="476"/>
        <item m="1" x="680"/>
        <item m="1" x="1120"/>
        <item m="1" x="521"/>
        <item m="1" x="808"/>
        <item m="1" x="1189"/>
        <item m="1" x="454"/>
        <item m="1" x="664"/>
        <item m="1" x="774"/>
        <item m="1" x="1380"/>
        <item m="1" x="613"/>
        <item m="1" x="883"/>
        <item m="1" x="1436"/>
        <item m="1" x="564"/>
        <item m="1" x="753"/>
        <item m="1" x="941"/>
        <item m="1" x="1278"/>
        <item m="1" x="576"/>
        <item m="1" x="832"/>
        <item m="1" x="674"/>
        <item m="1" x="1170"/>
        <item m="1" x="1356"/>
        <item m="1" x="482"/>
        <item m="1" x="702"/>
        <item m="1" x="1438"/>
        <item m="1" x="1403"/>
        <item m="1" x="503"/>
        <item m="1" x="820"/>
        <item m="1" x="1344"/>
        <item m="1" x="1475"/>
        <item m="1" x="1346"/>
        <item m="1" x="1321"/>
        <item m="1" x="452"/>
        <item m="1" x="628"/>
        <item m="1" x="710"/>
        <item m="1" x="699"/>
        <item m="1" x="926"/>
        <item m="1" x="414"/>
        <item m="1" x="1113"/>
        <item m="1" x="1184"/>
        <item m="1" x="366"/>
        <item m="1" x="1444"/>
        <item m="1" x="1306"/>
        <item m="1" x="1435"/>
        <item m="1" x="1465"/>
        <item m="1" x="1501"/>
        <item m="1" x="1439"/>
        <item m="1" x="803"/>
        <item m="1" x="1163"/>
        <item m="1" x="770"/>
        <item m="1" x="1176"/>
        <item m="1" x="1141"/>
        <item m="1" x="579"/>
        <item m="1" x="617"/>
        <item m="1" x="755"/>
        <item m="1" x="1220"/>
        <item m="1" x="740"/>
        <item m="1" x="486"/>
        <item m="1" x="1485"/>
        <item m="1" x="1235"/>
        <item m="1" x="1068"/>
        <item m="1" x="1100"/>
        <item m="1" x="1149"/>
        <item m="1" x="574"/>
        <item m="1" x="916"/>
        <item m="1" x="1261"/>
        <item m="1" x="412"/>
        <item m="1" x="655"/>
        <item m="1" x="555"/>
        <item m="1" x="552"/>
        <item m="1" x="556"/>
        <item m="1" x="357"/>
        <item m="1" x="578"/>
        <item m="1" x="1375"/>
        <item m="1" x="379"/>
        <item m="1" x="1025"/>
        <item m="1" x="1462"/>
        <item m="1" x="1273"/>
        <item m="1" x="533"/>
        <item m="1" x="1533"/>
        <item m="1" x="462"/>
        <item m="1" x="829"/>
        <item m="1" x="1052"/>
        <item m="1" x="508"/>
        <item m="1" x="961"/>
        <item m="1" x="1121"/>
        <item m="1" x="1389"/>
        <item m="1" x="1291"/>
        <item m="1" x="370"/>
        <item m="1" x="1053"/>
        <item m="1" x="453"/>
        <item m="1" x="689"/>
        <item m="1" x="661"/>
        <item m="1" x="423"/>
        <item m="1" x="1016"/>
        <item m="1" x="1023"/>
        <item m="1" x="1123"/>
        <item m="1" x="872"/>
        <item m="1" x="1372"/>
        <item m="1" x="781"/>
        <item m="1" x="1491"/>
        <item m="1" x="1126"/>
        <item m="1" x="1017"/>
        <item m="1" x="681"/>
        <item m="1" x="1089"/>
        <item m="1" x="1387"/>
        <item m="1" x="1452"/>
        <item m="1" x="1431"/>
        <item m="1" x="1361"/>
        <item m="1" x="1110"/>
        <item m="1" x="1223"/>
        <item m="1" x="736"/>
        <item m="1" x="1185"/>
        <item m="1" x="1010"/>
        <item m="1" x="969"/>
        <item m="1" x="967"/>
        <item m="1" x="968"/>
        <item m="1" x="665"/>
        <item m="1" x="709"/>
        <item m="1" x="1322"/>
        <item m="1" x="887"/>
        <item m="1" x="729"/>
        <item m="1" x="771"/>
        <item m="1" x="817"/>
        <item m="1" x="1069"/>
        <item m="1" x="1407"/>
        <item m="1" x="1496"/>
        <item m="1" x="614"/>
        <item m="1" x="565"/>
        <item m="1" x="402"/>
        <item m="1" x="424"/>
        <item m="1" x="721"/>
        <item m="1" x="509"/>
        <item m="1" x="837"/>
        <item m="1" x="1373"/>
        <item m="1" x="714"/>
        <item m="1" x="506"/>
        <item m="1" x="1265"/>
        <item m="1" x="383"/>
        <item m="1" x="1391"/>
        <item m="1" x="1466"/>
        <item m="1" x="1530"/>
        <item m="1" x="1405"/>
        <item m="1" x="648"/>
        <item m="1" x="425"/>
        <item m="1" x="889"/>
        <item m="1" x="973"/>
        <item m="1" x="1169"/>
        <item m="1" x="1137"/>
        <item m="1" x="1173"/>
        <item m="1" x="950"/>
        <item m="1" x="988"/>
        <item m="1" x="1429"/>
        <item m="1" x="1192"/>
        <item m="1" x="1162"/>
        <item m="1" x="1101"/>
        <item m="1" x="1174"/>
        <item m="1" x="375"/>
        <item m="1" x="380"/>
        <item m="1" x="983"/>
        <item m="1" x="1368"/>
        <item m="1" x="938"/>
        <item m="1" x="1508"/>
        <item m="1" x="907"/>
        <item m="1" x="1083"/>
        <item m="1" x="1154"/>
        <item m="1" x="768"/>
        <item m="1" x="600"/>
        <item m="1" x="976"/>
        <item m="1" x="662"/>
        <item m="1" x="1517"/>
        <item m="1" x="1432"/>
        <item m="1" x="1245"/>
        <item m="1" x="502"/>
        <item m="1" x="429"/>
        <item m="1" x="1002"/>
        <item m="1" x="1246"/>
        <item m="1" x="1535"/>
        <item m="1" x="881"/>
        <item m="1" x="1482"/>
        <item m="1" x="416"/>
        <item m="1" x="530"/>
        <item m="1" x="842"/>
        <item m="1" x="933"/>
        <item m="1" x="1362"/>
        <item m="1" x="686"/>
        <item m="1" x="1365"/>
        <item m="1" x="782"/>
        <item m="1" x="1354"/>
        <item m="1" x="1518"/>
        <item m="1" x="446"/>
        <item m="1" x="1502"/>
        <item m="1" x="393"/>
        <item m="1" x="1255"/>
        <item m="1" x="873"/>
        <item m="1" x="704"/>
        <item m="1" x="667"/>
        <item m="1" x="811"/>
        <item m="1" x="410"/>
        <item m="1" x="1495"/>
        <item m="1" x="494"/>
        <item m="1" x="515"/>
        <item m="1" x="1388"/>
        <item m="1" x="1467"/>
        <item m="1" x="981"/>
        <item m="1" x="1122"/>
        <item m="1" x="823"/>
        <item m="1" x="936"/>
        <item m="1" x="1085"/>
        <item m="1" x="1202"/>
        <item m="1" x="789"/>
        <item m="1" x="1065"/>
        <item m="1" x="884"/>
        <item m="1" x="1521"/>
        <item m="1" x="374"/>
        <item m="1" x="813"/>
        <item m="1" x="754"/>
        <item m="1" x="715"/>
        <item m="1" x="1509"/>
        <item m="1" x="1327"/>
        <item m="1" x="1458"/>
        <item m="1" x="471"/>
        <item m="1" x="1469"/>
        <item m="1" x="1456"/>
        <item m="1" x="1333"/>
        <item m="1" x="568"/>
        <item m="1" x="937"/>
        <item m="1" x="1030"/>
        <item m="1" x="776"/>
        <item m="1" x="1374"/>
        <item m="1" x="1160"/>
        <item m="1" x="1180"/>
        <item m="1" x="1074"/>
        <item m="1" x="417"/>
        <item m="1" x="1247"/>
        <item m="1" x="1409"/>
        <item m="1" x="814"/>
        <item m="1" x="1528"/>
        <item m="1" x="1022"/>
        <item m="1" x="609"/>
        <item m="1" x="742"/>
        <item m="1" x="778"/>
        <item m="1" x="1437"/>
        <item m="1" x="1421"/>
        <item m="1" x="481"/>
        <item m="1" x="483"/>
        <item m="1" x="397"/>
        <item m="1" x="1357"/>
        <item m="1" x="399"/>
        <item m="1" x="816"/>
        <item m="1" x="716"/>
        <item m="1" x="1172"/>
        <item m="1" x="1115"/>
        <item m="1" x="1464"/>
        <item m="1" x="1396"/>
        <item m="1" x="888"/>
        <item m="1" x="1102"/>
        <item m="1" x="1337"/>
        <item m="1" x="450"/>
        <item m="1" x="882"/>
        <item m="1" x="812"/>
        <item m="1" x="1506"/>
        <item m="1" x="1473"/>
        <item m="1" x="904"/>
        <item m="1" x="510"/>
        <item m="1" x="805"/>
        <item m="1" x="978"/>
        <item m="1" x="432"/>
        <item m="1" x="1268"/>
        <item m="1" x="862"/>
        <item m="1" x="672"/>
        <item m="1" x="766"/>
        <item m="1" x="1212"/>
        <item m="1" x="1511"/>
        <item m="1" x="590"/>
        <item m="1" x="1363"/>
        <item m="1" x="584"/>
        <item m="1" x="1148"/>
        <item m="1" x="920"/>
        <item m="1" x="851"/>
        <item m="1" x="573"/>
        <item m="1" x="640"/>
        <item m="1" x="428"/>
        <item m="1" x="1228"/>
        <item m="1" x="741"/>
        <item m="1" x="465"/>
        <item m="1" x="1079"/>
        <item m="1" x="1394"/>
        <item m="1" x="934"/>
        <item m="1" x="892"/>
        <item m="1" x="363"/>
        <item m="1" x="1499"/>
        <item m="1" x="749"/>
        <item m="1" x="809"/>
        <item m="1" x="1216"/>
        <item m="1" x="1493"/>
        <item m="1" x="1418"/>
        <item m="1" x="1269"/>
        <item m="1" x="1384"/>
        <item m="1" x="545"/>
        <item m="1" x="744"/>
        <item m="1" x="577"/>
        <item m="1" x="369"/>
        <item m="1" x="982"/>
        <item m="1" x="431"/>
        <item m="1" x="653"/>
        <item m="1" x="597"/>
        <item m="1" x="543"/>
        <item m="1" x="1498"/>
        <item m="1" x="594"/>
        <item m="1" x="1196"/>
        <item m="1" x="1408"/>
        <item m="1" x="534"/>
        <item m="1" x="438"/>
        <item m="1" x="1231"/>
        <item m="1" x="1207"/>
        <item m="1" x="1248"/>
        <item m="1" x="1167"/>
        <item m="1" x="511"/>
        <item m="1" x="867"/>
        <item m="1" x="1135"/>
        <item m="1" x="1385"/>
        <item m="1" x="979"/>
        <item m="1" x="1097"/>
        <item m="1" x="1441"/>
        <item m="1" x="853"/>
        <item m="1" x="697"/>
        <item m="1" x="930"/>
        <item m="1" x="877"/>
        <item m="1" x="807"/>
        <item m="1" x="1324"/>
        <item m="1" x="1011"/>
        <item m="1" x="1107"/>
        <item m="1" x="358"/>
        <item m="1" x="903"/>
        <item m="1" x="505"/>
        <item m="1" x="772"/>
        <item m="1" x="910"/>
        <item m="1" x="440"/>
        <item m="1" x="557"/>
        <item m="1" x="1012"/>
        <item m="1" x="1209"/>
        <item m="1" x="1479"/>
        <item m="1" x="1522"/>
        <item m="1" x="1132"/>
        <item m="1" x="480"/>
        <item m="1" x="408"/>
        <item m="1" x="994"/>
        <item m="1" x="616"/>
        <item m="1" x="890"/>
        <item m="1" x="518"/>
        <item m="1" x="621"/>
        <item m="1" x="1048"/>
        <item m="1" x="1404"/>
        <item m="1" x="1335"/>
        <item m="1" x="751"/>
        <item m="1" x="786"/>
        <item m="1" x="1062"/>
        <item m="1" x="1492"/>
        <item m="1" x="1218"/>
        <item m="1" x="384"/>
        <item m="1" x="1446"/>
        <item m="1" x="492"/>
        <item m="1" x="1138"/>
        <item m="1" x="1183"/>
        <item m="1" x="1186"/>
        <item m="1" x="1526"/>
        <item m="1" x="419"/>
        <item m="1" x="1197"/>
        <item m="1" x="1294"/>
        <item m="1" x="1066"/>
        <item m="1" x="1236"/>
        <item m="1" x="478"/>
        <item m="1" x="870"/>
        <item m="1" x="717"/>
        <item m="1" x="1329"/>
        <item m="1" x="1424"/>
        <item m="1" x="953"/>
        <item m="1" x="1392"/>
        <item m="1" x="1440"/>
        <item m="1" x="793"/>
        <item m="1" x="1296"/>
        <item m="1" x="1159"/>
        <item m="1" x="1442"/>
        <item m="1" x="1486"/>
        <item m="1" x="1224"/>
        <item m="1" x="834"/>
        <item m="1" x="639"/>
        <item m="1" x="1474"/>
        <item m="1" x="1021"/>
        <item m="1" x="995"/>
        <item m="1" x="1004"/>
        <item m="1" x="1525"/>
        <item m="1" x="1249"/>
        <item m="1" x="944"/>
        <item m="1" x="1213"/>
        <item m="1" x="1190"/>
        <item m="1" x="806"/>
        <item m="1" x="707"/>
        <item m="1" x="1206"/>
        <item m="1" x="601"/>
        <item m="1" x="558"/>
        <item m="1" x="500"/>
        <item m="1" x="1487"/>
        <item m="1" x="1103"/>
        <item m="1" x="838"/>
        <item m="1" x="919"/>
        <item m="1" x="400"/>
        <item m="1" x="1476"/>
        <item m="1" x="1027"/>
        <item m="1" x="1175"/>
        <item m="1" x="623"/>
        <item m="1" x="1307"/>
        <item m="1" x="810"/>
        <item m="1" x="703"/>
        <item m="1" x="1531"/>
        <item m="1" x="833"/>
        <item m="1" x="1472"/>
        <item m="1" x="1058"/>
        <item m="1" x="734"/>
        <item m="1" x="525"/>
        <item m="1" x="468"/>
        <item m="1" x="762"/>
        <item m="1" x="459"/>
        <item m="1" x="430"/>
        <item m="1" x="447"/>
        <item m="1" x="726"/>
        <item m="1" x="571"/>
        <item m="1" x="878"/>
        <item m="1" x="935"/>
        <item m="1" x="1034"/>
        <item m="1" x="905"/>
        <item m="1" x="1238"/>
        <item m="1" x="1302"/>
        <item m="1" x="514"/>
        <item m="1" x="524"/>
        <item m="1" x="713"/>
        <item m="1" x="855"/>
        <item m="1" x="645"/>
        <item m="1" x="1198"/>
        <item m="1" x="948"/>
        <item m="1" x="865"/>
        <item m="1" x="998"/>
        <item m="1" x="1304"/>
        <item m="1" x="1242"/>
        <item m="1" x="1328"/>
        <item m="1" x="1084"/>
        <item m="1" x="504"/>
        <item m="1" x="1510"/>
        <item m="1" x="923"/>
        <item m="1" x="538"/>
        <item m="1" x="362"/>
        <item m="1" x="1507"/>
        <item m="1" x="991"/>
        <item m="1" x="958"/>
        <item m="1" x="730"/>
        <item m="1" x="610"/>
        <item m="1" x="694"/>
        <item m="1" x="848"/>
        <item m="1" x="1423"/>
        <item m="1" x="1342"/>
        <item m="1" x="718"/>
        <item m="1" x="791"/>
        <item m="1" x="798"/>
        <item m="1" x="1336"/>
        <item m="1" x="939"/>
        <item m="1" x="411"/>
        <item m="1" x="972"/>
        <item m="1" x="1251"/>
        <item m="1" x="1377"/>
        <item m="1" x="1270"/>
        <item m="1" x="1078"/>
        <item m="1" x="1376"/>
        <item m="1" x="390"/>
        <item m="1" x="1293"/>
        <item m="1" x="372"/>
        <item m="1" x="712"/>
        <item m="1" x="376"/>
        <item m="1" x="535"/>
        <item m="1" x="625"/>
        <item m="1" x="631"/>
        <item m="1" x="1049"/>
        <item m="1" x="1303"/>
        <item m="1" x="830"/>
        <item m="1" x="401"/>
        <item m="1" x="607"/>
        <item m="1" x="395"/>
        <item m="1" x="1390"/>
        <item m="1" x="615"/>
        <item m="1" x="951"/>
        <item m="1" x="1410"/>
        <item m="1" x="737"/>
        <item m="1" x="679"/>
        <item m="1" x="1075"/>
        <item m="1" x="632"/>
        <item m="1" x="940"/>
        <item m="1" x="1234"/>
        <item m="1" x="373"/>
        <item m="1" x="886"/>
        <item m="1" x="1005"/>
        <item m="1" x="497"/>
        <item m="1" x="839"/>
        <item m="1" x="974"/>
        <item m="1" x="725"/>
        <item m="1" x="763"/>
        <item m="1" x="490"/>
        <item m="1" x="896"/>
        <item m="1" x="360"/>
        <item m="1" x="1032"/>
        <item m="1" x="1425"/>
        <item m="1" x="1146"/>
        <item m="1" x="1140"/>
        <item m="1" x="1039"/>
        <item m="1" x="365"/>
        <item m="1" x="1171"/>
        <item m="1" x="1214"/>
        <item m="1" x="1020"/>
        <item m="1" x="364"/>
        <item m="1" x="1371"/>
        <item m="1" x="1338"/>
        <item m="1" x="368"/>
        <item m="1" x="647"/>
        <item m="1" x="1037"/>
        <item m="1" x="1292"/>
        <item m="1" x="489"/>
        <item m="1" x="385"/>
        <item m="1" x="544"/>
        <item m="1" x="435"/>
        <item m="1" x="843"/>
        <item m="1" x="656"/>
        <item m="1" x="654"/>
        <item m="1" x="825"/>
        <item m="1" x="927"/>
        <item m="1" x="831"/>
        <item m="1" x="1028"/>
        <item m="1" x="880"/>
        <item m="1" x="745"/>
        <item m="1" x="860"/>
        <item m="1" x="1353"/>
        <item m="1" x="1448"/>
        <item m="1" x="705"/>
        <item m="1" x="1428"/>
        <item m="1" x="470"/>
        <item m="1" x="1417"/>
        <item m="1" x="1114"/>
        <item m="1" x="1285"/>
        <item m="1" x="1364"/>
        <item m="1" x="1044"/>
        <item m="1" x="1256"/>
        <item m="1" x="548"/>
        <item m="1" x="531"/>
        <item m="1" x="1153"/>
        <item m="1" x="1125"/>
        <item m="1" x="687"/>
        <item m="1" x="1523"/>
        <item m="1" x="1095"/>
        <item m="1" x="835"/>
        <item m="1" x="909"/>
        <item m="1" x="868"/>
        <item m="1" x="1378"/>
        <item m="1" x="1382"/>
        <item m="1" x="378"/>
        <item m="1" x="1262"/>
        <item m="1" x="1308"/>
        <item m="1" x="427"/>
        <item m="1" x="799"/>
        <item m="1" x="790"/>
        <item m="1" x="1297"/>
        <item m="1" x="996"/>
        <item m="1" x="1200"/>
        <item m="1" x="866"/>
        <item m="1" x="1217"/>
        <item m="1" x="405"/>
        <item m="1" x="528"/>
        <item m="1" x="1497"/>
        <item m="1" x="1117"/>
        <item m="1" x="1489"/>
        <item m="1" x="409"/>
        <item m="1" x="669"/>
        <item m="1" x="485"/>
        <item m="1" x="418"/>
        <item m="1" x="433"/>
        <item m="1" x="985"/>
        <item m="1" x="1018"/>
        <item m="1" x="690"/>
        <item m="1" x="1108"/>
        <item m="1" x="1426"/>
        <item m="1" x="777"/>
        <item m="1" x="856"/>
        <item m="1" x="1006"/>
        <item m="1" x="1494"/>
        <item m="1" x="671"/>
        <item m="1" x="683"/>
        <item m="1" x="693"/>
        <item m="1" x="1314"/>
        <item m="1" x="1450"/>
        <item m="1" x="367"/>
        <item m="1" x="1194"/>
        <item m="1" x="1490"/>
        <item m="1" x="591"/>
        <item m="1" x="906"/>
        <item m="1" x="1527"/>
        <item m="1" x="1433"/>
        <item m="1" x="580"/>
        <item m="1" x="692"/>
        <item m="1" x="779"/>
        <item m="1" x="1104"/>
        <item m="1" x="1301"/>
        <item m="1" x="536"/>
        <item m="1" x="1007"/>
        <item m="1" x="532"/>
        <item m="1" x="501"/>
        <item m="1" x="449"/>
        <item m="1" x="1420"/>
        <item m="1" x="1013"/>
        <item m="1" x="1461"/>
        <item m="1" x="854"/>
        <item m="1" x="1478"/>
        <item m="1" x="1230"/>
        <item m="1" x="519"/>
        <item m="1" x="1334"/>
        <item m="1" x="1348"/>
        <item m="1" x="1008"/>
        <item m="1" x="1383"/>
        <item m="1" x="1221"/>
        <item m="1" x="1086"/>
        <item m="1" x="403"/>
        <item m="1" x="1232"/>
        <item m="1" x="964"/>
        <item m="1" x="897"/>
        <item m="1" x="1240"/>
        <item m="1" x="824"/>
        <item m="1" x="458"/>
        <item m="1" x="630"/>
        <item m="1" x="407"/>
        <item m="1" x="756"/>
        <item m="1" x="1134"/>
        <item m="1" x="719"/>
        <item m="1" x="582"/>
        <item m="1" x="797"/>
        <item m="1" x="475"/>
        <item m="1" x="727"/>
        <item m="1" x="598"/>
        <item m="1" x="949"/>
        <item m="1" x="1536"/>
        <item m="1" x="990"/>
        <item m="1" x="586"/>
        <item m="1" x="863"/>
        <item m="1" x="569"/>
        <item m="1" x="622"/>
        <item m="1" x="914"/>
        <item m="1" x="1182"/>
        <item m="1" x="899"/>
        <item m="1" x="1349"/>
        <item m="1" x="911"/>
        <item m="1" x="1145"/>
        <item m="1" x="460"/>
        <item m="1" x="943"/>
        <item m="1" x="583"/>
        <item m="1" x="513"/>
        <item m="1" x="1239"/>
        <item m="1" x="554"/>
        <item m="1" x="1263"/>
        <item m="1" x="455"/>
        <item m="1" x="1080"/>
        <item m="1" x="1087"/>
        <item m="1" x="491"/>
        <item m="1" x="1009"/>
        <item m="1" x="387"/>
        <item m="1" x="1210"/>
        <item m="1" x="915"/>
        <item m="1" x="1136"/>
        <item m="1" x="1105"/>
        <item m="1" x="1325"/>
        <item m="1" x="1098"/>
        <item m="1" x="676"/>
        <item m="1" x="1177"/>
        <item m="1" x="1311"/>
        <item m="1" x="1001"/>
        <item m="1" x="1133"/>
        <item m="1" x="466"/>
        <item m="1" x="1299"/>
        <item m="1" x="956"/>
        <item m="1" x="821"/>
        <item m="1" x="1205"/>
        <item m="1" x="731"/>
        <item m="1" x="1054"/>
        <item m="1" x="588"/>
        <item m="1" x="684"/>
        <item m="1" x="1081"/>
        <item m="1" x="850"/>
        <item m="1" x="394"/>
        <item m="1" x="728"/>
        <item m="1" x="1208"/>
        <item m="1" x="1310"/>
        <item m="1" x="413"/>
        <item m="1" x="698"/>
        <item m="1" x="633"/>
        <item m="1" x="966"/>
        <item m="1" x="1059"/>
        <item m="1" x="499"/>
        <item m="1" x="1481"/>
        <item m="1" x="464"/>
        <item m="1" x="537"/>
        <item m="1" x="1318"/>
        <item m="1" x="826"/>
        <item m="1" x="840"/>
        <item m="1" x="894"/>
        <item m="1" x="469"/>
        <item m="1" x="748"/>
        <item m="1" x="1143"/>
        <item m="1" x="1055"/>
        <item m="1" x="845"/>
        <item m="1" x="792"/>
        <item m="1" x="422"/>
        <item m="1" x="660"/>
        <item m="1" x="1124"/>
        <item m="1" x="758"/>
        <item m="1" x="921"/>
        <item m="1" x="858"/>
        <item m="1" x="1040"/>
        <item m="1" x="404"/>
        <item m="1" x="885"/>
        <item m="1" x="559"/>
        <item m="1" x="962"/>
        <item m="1" x="1088"/>
        <item m="1" x="1164"/>
        <item m="1" x="1099"/>
        <item m="1" x="1060"/>
        <item m="1" x="986"/>
        <item m="1" x="1397"/>
        <item m="1" x="1289"/>
        <item m="1" x="540"/>
        <item m="1" x="1281"/>
        <item m="1" x="735"/>
        <item m="1" x="1045"/>
        <item m="1" x="451"/>
        <item m="1" x="1024"/>
        <item m="1" x="891"/>
        <item m="1" x="1323"/>
        <item m="1" x="477"/>
        <item m="1" x="1534"/>
        <item m="1" x="516"/>
        <item m="1" x="456"/>
        <item m="1" x="1026"/>
        <item m="1" x="1226"/>
        <item m="1" x="1129"/>
        <item m="1" x="415"/>
        <item m="1" x="567"/>
        <item m="1" x="1355"/>
        <item m="1" x="1295"/>
        <item m="1" x="550"/>
        <item m="1" x="523"/>
        <item m="1" x="818"/>
        <item m="1" x="439"/>
        <item m="1" x="1046"/>
        <item m="1" x="479"/>
        <item m="1" x="649"/>
        <item m="1" x="946"/>
        <item m="1" x="1477"/>
        <item m="1" x="517"/>
        <item m="1" x="787"/>
        <item m="1" x="634"/>
        <item m="1" x="796"/>
        <item m="1" x="1350"/>
        <item m="1" x="1233"/>
        <item m="1" x="695"/>
        <item m="1" x="448"/>
        <item m="1" x="1398"/>
        <item m="1" x="561"/>
        <item m="1" x="1343"/>
        <item m="1" x="900"/>
        <item m="1" x="1284"/>
        <item m="1" x="643"/>
        <item m="1" x="815"/>
        <item m="1" x="1300"/>
        <item m="1" x="1488"/>
        <item m="1" x="1264"/>
        <item m="1" x="663"/>
        <item m="1" x="606"/>
        <item m="1" x="1309"/>
        <item m="1" x="1073"/>
        <item m="1" x="917"/>
        <item m="1" x="1341"/>
        <item m="1" x="389"/>
        <item m="1" x="386"/>
        <item m="1" x="1061"/>
        <item m="1" x="1201"/>
        <item m="1" x="1156"/>
        <item m="1" x="1339"/>
        <item m="1" x="864"/>
        <item m="1" x="611"/>
        <item m="1" x="685"/>
        <item m="1" x="1215"/>
        <item m="1" x="767"/>
        <item m="1" x="997"/>
        <item m="1" x="1412"/>
        <item m="1" x="650"/>
        <item m="1" x="987"/>
        <item m="1" x="371"/>
        <item m="1" x="70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688"/>
        <item m="1" x="1449"/>
        <item m="1" x="391"/>
        <item m="1" x="35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26"/>
    </i>
    <i r="2">
      <x v="3"/>
    </i>
    <i r="2">
      <x v="8"/>
    </i>
    <i r="1">
      <x v="1529"/>
    </i>
    <i r="2">
      <x v="3"/>
    </i>
    <i r="2">
      <x v="8"/>
    </i>
    <i r="1">
      <x v="1530"/>
    </i>
    <i r="2">
      <x v="8"/>
    </i>
    <i r="1">
      <x v="1532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1"/>
    </i>
    <i r="2">
      <x v="13"/>
    </i>
    <i r="1">
      <x v="1518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4" totalsRowShown="0" totalsRowDxfId="23">
  <autoFilter ref="A1:C127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004" totalsRowShown="0">
  <autoFilter ref="A1:S4004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 blank="1"/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1305</v>
      </c>
    </row>
    <row r="5" spans="1:2">
      <c r="A5" s="111" t="s">
        <v>369</v>
      </c>
      <c r="B5" s="140">
        <v>1263</v>
      </c>
    </row>
    <row r="6" spans="1:2">
      <c r="A6" s="111" t="s">
        <v>404</v>
      </c>
      <c r="B6" s="140"/>
    </row>
    <row r="7" spans="1:2">
      <c r="A7" s="111" t="s">
        <v>370</v>
      </c>
      <c r="B7" s="140">
        <v>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978</v>
      </c>
    </row>
    <row r="15" spans="1:2">
      <c r="A15" s="111" t="s">
        <v>369</v>
      </c>
      <c r="B15" s="140">
        <v>955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261</v>
      </c>
    </row>
    <row r="25" spans="1:2">
      <c r="A25" s="111" t="s">
        <v>369</v>
      </c>
      <c r="B25" s="140">
        <v>257</v>
      </c>
    </row>
    <row r="26" spans="1:2">
      <c r="A26" s="111" t="s">
        <v>370</v>
      </c>
      <c r="B26" s="140">
        <v>2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3977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119</v>
      </c>
      <c r="C5"/>
      <c r="D5"/>
      <c r="E5"/>
    </row>
    <row r="6" spans="1:6">
      <c r="A6" s="111" t="s">
        <v>6090</v>
      </c>
      <c r="B6" s="140">
        <v>114</v>
      </c>
      <c r="C6" s="126"/>
      <c r="D6" s="124"/>
      <c r="E6" s="124"/>
    </row>
    <row r="7" spans="1:6">
      <c r="A7" s="112" t="s">
        <v>369</v>
      </c>
      <c r="B7" s="140">
        <v>113</v>
      </c>
      <c r="C7"/>
      <c r="D7"/>
      <c r="E7"/>
    </row>
    <row r="8" spans="1:6">
      <c r="A8" s="112" t="s">
        <v>370</v>
      </c>
      <c r="B8" s="140">
        <v>1</v>
      </c>
      <c r="C8" s="56"/>
      <c r="D8" s="124"/>
      <c r="E8" s="124"/>
    </row>
    <row r="9" spans="1:6">
      <c r="A9" s="111" t="s">
        <v>6103</v>
      </c>
      <c r="B9" s="140">
        <v>3</v>
      </c>
      <c r="C9"/>
      <c r="D9"/>
    </row>
    <row r="10" spans="1:6">
      <c r="A10" s="112" t="s">
        <v>369</v>
      </c>
      <c r="B10" s="140">
        <v>1</v>
      </c>
      <c r="C10" s="53"/>
      <c r="D10" s="124"/>
      <c r="E10" s="124"/>
    </row>
    <row r="11" spans="1:6">
      <c r="A11" s="112" t="s">
        <v>370</v>
      </c>
      <c r="B11" s="140">
        <v>2</v>
      </c>
      <c r="C11"/>
      <c r="D11"/>
    </row>
    <row r="12" spans="1:6">
      <c r="A12" s="111" t="s">
        <v>6109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6151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7" t="s">
        <v>4328</v>
      </c>
      <c r="B16" s="140">
        <v>200</v>
      </c>
      <c r="C16"/>
      <c r="D16"/>
    </row>
    <row r="17" spans="1:5">
      <c r="A17" s="111" t="s">
        <v>4414</v>
      </c>
      <c r="B17" s="140">
        <v>11</v>
      </c>
      <c r="C17"/>
      <c r="D17" s="124"/>
      <c r="E17" s="124"/>
    </row>
    <row r="18" spans="1:5">
      <c r="A18" s="112" t="s">
        <v>369</v>
      </c>
      <c r="B18" s="140">
        <v>10</v>
      </c>
      <c r="C18" s="126"/>
      <c r="D18"/>
    </row>
    <row r="19" spans="1:5">
      <c r="A19" s="112" t="s">
        <v>692</v>
      </c>
      <c r="B19" s="140">
        <v>1</v>
      </c>
      <c r="C19" s="47"/>
      <c r="D19"/>
    </row>
    <row r="20" spans="1:5">
      <c r="A20" s="111" t="s">
        <v>5480</v>
      </c>
      <c r="B20" s="140">
        <v>178</v>
      </c>
      <c r="C20" s="126"/>
    </row>
    <row r="21" spans="1:5" ht="17.25" customHeight="1">
      <c r="A21" s="112" t="s">
        <v>369</v>
      </c>
      <c r="B21" s="140">
        <v>176</v>
      </c>
    </row>
    <row r="22" spans="1:5">
      <c r="A22" s="112" t="s">
        <v>375</v>
      </c>
      <c r="B22" s="140">
        <v>1</v>
      </c>
    </row>
    <row r="23" spans="1:5">
      <c r="A23" s="112" t="s">
        <v>692</v>
      </c>
      <c r="B23" s="140">
        <v>1</v>
      </c>
    </row>
    <row r="24" spans="1:5">
      <c r="A24" s="111" t="s">
        <v>5775</v>
      </c>
      <c r="B24" s="140">
        <v>11</v>
      </c>
    </row>
    <row r="25" spans="1:5">
      <c r="A25" s="112" t="s">
        <v>369</v>
      </c>
      <c r="B25" s="140">
        <v>10</v>
      </c>
      <c r="D25" s="124"/>
      <c r="E25" s="124"/>
    </row>
    <row r="26" spans="1:5">
      <c r="A26" s="112" t="s">
        <v>692</v>
      </c>
      <c r="B26" s="140">
        <v>1</v>
      </c>
      <c r="C26" s="126"/>
    </row>
    <row r="27" spans="1:5">
      <c r="A27" s="17" t="s">
        <v>381</v>
      </c>
      <c r="B27" s="140">
        <v>319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4"/>
  <sheetViews>
    <sheetView topLeftCell="A1237" workbookViewId="0">
      <selection activeCell="C1274" sqref="C12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  <row r="1261" spans="1:3">
      <c r="A1261" t="s">
        <v>5711</v>
      </c>
      <c r="B1261">
        <v>1</v>
      </c>
      <c r="C1261" s="135" t="s">
        <v>4</v>
      </c>
    </row>
    <row r="1262" spans="1:3">
      <c r="A1262" t="s">
        <v>5737</v>
      </c>
      <c r="B1262">
        <v>1</v>
      </c>
      <c r="C1262" s="135" t="s">
        <v>4</v>
      </c>
    </row>
    <row r="1263" spans="1:3">
      <c r="A1263" t="s">
        <v>5740</v>
      </c>
      <c r="B1263">
        <v>1</v>
      </c>
      <c r="C1263" s="135" t="s">
        <v>4</v>
      </c>
    </row>
    <row r="1264" spans="1:3">
      <c r="A1264" t="s">
        <v>5744</v>
      </c>
      <c r="B1264">
        <v>18</v>
      </c>
      <c r="C1264" s="135" t="s">
        <v>4</v>
      </c>
    </row>
    <row r="1265" spans="1:3">
      <c r="A1265" t="s">
        <v>5858</v>
      </c>
      <c r="B1265">
        <v>2</v>
      </c>
      <c r="C1265" s="135" t="s">
        <v>4</v>
      </c>
    </row>
    <row r="1266" spans="1:3">
      <c r="A1266" t="s">
        <v>5777</v>
      </c>
      <c r="B1266">
        <v>35</v>
      </c>
      <c r="C1266" s="138" t="s">
        <v>4</v>
      </c>
    </row>
    <row r="1267" spans="1:3">
      <c r="A1267" t="s">
        <v>5818</v>
      </c>
      <c r="B1267">
        <v>36</v>
      </c>
      <c r="C1267" s="138" t="s">
        <v>4</v>
      </c>
    </row>
    <row r="1268" spans="1:3">
      <c r="A1268" t="s">
        <v>5859</v>
      </c>
      <c r="B1268">
        <v>60</v>
      </c>
      <c r="C1268" s="138" t="s">
        <v>4</v>
      </c>
    </row>
    <row r="1269" spans="1:3">
      <c r="A1269" t="s">
        <v>5921</v>
      </c>
      <c r="B1269">
        <v>5</v>
      </c>
      <c r="C1269" s="138" t="s">
        <v>4</v>
      </c>
    </row>
    <row r="1270" spans="1:3">
      <c r="A1270" t="s">
        <v>5923</v>
      </c>
      <c r="B1270">
        <v>19</v>
      </c>
      <c r="C1270" s="138" t="s">
        <v>4</v>
      </c>
    </row>
    <row r="1271" spans="1:3">
      <c r="A1271" t="s">
        <v>6093</v>
      </c>
      <c r="B1271">
        <v>5</v>
      </c>
      <c r="C1271" s="138" t="s">
        <v>4</v>
      </c>
    </row>
    <row r="1272" spans="1:3">
      <c r="A1272" t="s">
        <v>6102</v>
      </c>
      <c r="B1272">
        <v>7</v>
      </c>
      <c r="C1272" s="138" t="s">
        <v>4</v>
      </c>
    </row>
    <row r="1273" spans="1:3">
      <c r="A1273" s="138" t="s">
        <v>5818</v>
      </c>
      <c r="B1273" s="30">
        <v>35</v>
      </c>
      <c r="C1273" s="138" t="s">
        <v>4</v>
      </c>
    </row>
    <row r="1274" spans="1:3">
      <c r="A1274" t="s">
        <v>6110</v>
      </c>
      <c r="B1274">
        <v>39</v>
      </c>
      <c r="C1274" s="139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004"/>
  <sheetViews>
    <sheetView tabSelected="1" zoomScale="85" zoomScaleNormal="85" workbookViewId="0">
      <selection activeCell="A3989" sqref="A398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182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157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157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157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157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157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157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157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157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157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157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157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153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150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150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150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150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150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150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150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150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150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150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150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150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150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150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150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150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150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150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150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150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150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150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150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150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150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150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150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150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150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150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150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150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150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150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150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149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149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149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149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149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149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149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149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149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149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149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149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149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149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149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149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149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149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149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149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149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149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149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149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149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149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149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149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149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149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149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149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149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149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149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149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149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149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149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149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149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149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149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149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149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149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149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149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149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149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149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149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149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149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149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149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149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149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149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148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148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148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148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148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147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145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145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144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141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141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141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141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141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141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141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141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141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141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141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141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141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141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140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140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140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140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140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135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135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135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130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130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130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130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130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130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130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130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130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130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130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130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130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130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130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130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130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130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126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126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126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121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120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106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106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105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105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105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95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80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80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80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80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80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80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80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80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80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80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80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80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80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80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80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80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80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80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80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80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77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77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77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77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76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76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76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76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76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76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76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76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76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76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76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76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76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76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76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76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76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76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76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76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76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76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76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76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76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76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76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76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76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76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75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75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75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75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75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75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75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75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75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75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75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75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75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75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75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75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75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75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71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71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71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71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71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71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71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71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71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71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71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71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71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71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71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71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71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71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71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71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71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71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71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71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71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71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71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71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71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71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71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71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71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71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71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71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71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71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71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71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71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71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71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71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71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71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71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71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71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71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71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71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71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71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71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71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71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71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71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71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71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71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71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71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71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71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71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71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71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71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71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71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71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71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71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71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71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71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71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71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71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71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71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71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71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71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71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71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71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71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71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71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65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65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60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60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55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55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55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55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55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55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55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55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55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55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55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55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55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55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55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55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55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55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55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55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55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55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55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55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55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55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55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55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55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55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55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55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55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55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55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55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55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55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55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55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55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55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55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55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55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55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55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55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55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55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55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55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55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55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55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55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55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55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55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55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55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55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55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55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55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55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55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55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55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55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55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55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55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55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55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55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55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55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55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55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55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55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55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55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55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55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55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55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55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55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55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55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55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55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55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55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55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55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55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55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55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55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55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55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55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52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52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52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52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53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50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50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45</v>
      </c>
      <c r="R2488" s="110" t="s">
        <v>1459</v>
      </c>
      <c r="S2488" s="94"/>
    </row>
    <row r="2489" spans="1:19" hidden="1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45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45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45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45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45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45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45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45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45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45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43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43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43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43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43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43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43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43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43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43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43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43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43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43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43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43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43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43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43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43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43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43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43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43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43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43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43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43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43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43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43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43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43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43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43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43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43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43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43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43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43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43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43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43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43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43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43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43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43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43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43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43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43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43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43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43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43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43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43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43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43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43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43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43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43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43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43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43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43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43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43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43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43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43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43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43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43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43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43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43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43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43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43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43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43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43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43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43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43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43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43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43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43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43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43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43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43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43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43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43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43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43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43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43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43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43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43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43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43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43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43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43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43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43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43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43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43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43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43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43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43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43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43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43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43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43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43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43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43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43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43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43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43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43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43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43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43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43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43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43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43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43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43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43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43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43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43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43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43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43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43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43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43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43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43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43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43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43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43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43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43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43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43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43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43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43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43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43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43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43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43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43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43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43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43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43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43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43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43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43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43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43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43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43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43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43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43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43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43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43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43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43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43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43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43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43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43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43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43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43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43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43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43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43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43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43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43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43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43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43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43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43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43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43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43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43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43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43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43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43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43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43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43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43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43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43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43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43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43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43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43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43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43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43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43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43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43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43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43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43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43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43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43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43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43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43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43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43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43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43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43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43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43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43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43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43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43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43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43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43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43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43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43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43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43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43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43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43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43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43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43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43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43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43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43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43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43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43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43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43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43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43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43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43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43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43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43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43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43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43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43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43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43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43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43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43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43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43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43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43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43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43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43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43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43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43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43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43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43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43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43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43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43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43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43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43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43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43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43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43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43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43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43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43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43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43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43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43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43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43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43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43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43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43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43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41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41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41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41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41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41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41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41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41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41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40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40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40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39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39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39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39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39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39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38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38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36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35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35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35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34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34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34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32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32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32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32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32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32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32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29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29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29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29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29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29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29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29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29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29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29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29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29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29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29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29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29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29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29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29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29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29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29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29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29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29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29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29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29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28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28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26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26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26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26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26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26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26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26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26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26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24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24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24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24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24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24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24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24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23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23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23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23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23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23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23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23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23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23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23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23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23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23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23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23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23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21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21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21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21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21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21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21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21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21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21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21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21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21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21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21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21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21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21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21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21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21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21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21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21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21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21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21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21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21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21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21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21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21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21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21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21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21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21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21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21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21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21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21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21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21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21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21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21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21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21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21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21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21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21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21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21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21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21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21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21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21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21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21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21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21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21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21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21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21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21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21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21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21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21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21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21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21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21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21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21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21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21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21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21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21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21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21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21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21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21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21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21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21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21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21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21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21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21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21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21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21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21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21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21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21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21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21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21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21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21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21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21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21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21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21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21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21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21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21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21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21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21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21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21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21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21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21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21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21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21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21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21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21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21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21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21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21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21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21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21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21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21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21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21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21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21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21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21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21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21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21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21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21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21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21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21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21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21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21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21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21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21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21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21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21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21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21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21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21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21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21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21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21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21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21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21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21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21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21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21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21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21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21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21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21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21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21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21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21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21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21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21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21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21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21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21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21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21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21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21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21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21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21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21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21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21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21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21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21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21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21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21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21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21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21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21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21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21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21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21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21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21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21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21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21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21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21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21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21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21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21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21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21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21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21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21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21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21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21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21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21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21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21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21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21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21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21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21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21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21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21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21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21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21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21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21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21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21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21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21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21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21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21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21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21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21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21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21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21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21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21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21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21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21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21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21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21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21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21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21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21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21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21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21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21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21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21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21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21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21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21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21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21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21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21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20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20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20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20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20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20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20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20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20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20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20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20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20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20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20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20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20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20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20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20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20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20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20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20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20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20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20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20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20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20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20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20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20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20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20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20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20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20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20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20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20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20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20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20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20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20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20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20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20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20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20</v>
      </c>
      <c r="R3282" s="115" t="s">
        <v>1459</v>
      </c>
      <c r="S3282" s="125"/>
    </row>
    <row r="3283" spans="1:19" hidden="1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20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20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20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20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20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20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20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20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20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20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20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20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20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20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20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20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20</v>
      </c>
      <c r="R3299" s="115" t="s">
        <v>1459</v>
      </c>
      <c r="S3299" s="125"/>
    </row>
    <row r="3300" spans="1:19" hidden="1">
      <c r="A3300" s="124" t="s">
        <v>5480</v>
      </c>
      <c r="B3300" s="138" t="str">
        <f>IFERROR(VLOOKUP(Proc[[#This Row],[App]],Table2[],3,0),"open")</f>
        <v>open</v>
      </c>
      <c r="C3300" s="124" t="s">
        <v>375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20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20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20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20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20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20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20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20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20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20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20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20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20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20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20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20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20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20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20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20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20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20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20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20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20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20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20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20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20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20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20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20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20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20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20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20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20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20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20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20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20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20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20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20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20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20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20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20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20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20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20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20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20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20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20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20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20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20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20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20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20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20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20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20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20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20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20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20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20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20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20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20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20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20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20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20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20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20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20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20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20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20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20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20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20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20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20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20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20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20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20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20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20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20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20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20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20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20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20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20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20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20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20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20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20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20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20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20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20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20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20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20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20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20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20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20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20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20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20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20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20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20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20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20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20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20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20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20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20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20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20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20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20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20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17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17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17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17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17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17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17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17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17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17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17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17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17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17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17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17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17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17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17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17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17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17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17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17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17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17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17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17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17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17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17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17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17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17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17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17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17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17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17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17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17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17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17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16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16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15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15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15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15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15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15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15</v>
      </c>
      <c r="R3485" s="115" t="s">
        <v>410</v>
      </c>
      <c r="S3485" s="125"/>
    </row>
    <row r="3486" spans="1:19" hidden="1">
      <c r="A3486" t="s">
        <v>5574</v>
      </c>
      <c r="B3486" s="138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14</v>
      </c>
      <c r="R3486" s="115" t="s">
        <v>1262</v>
      </c>
      <c r="S3486" s="125"/>
    </row>
    <row r="3487" spans="1:19" hidden="1">
      <c r="A3487" t="s">
        <v>5577</v>
      </c>
      <c r="B3487" s="138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14</v>
      </c>
      <c r="R3487" s="115" t="s">
        <v>515</v>
      </c>
      <c r="S3487" s="129"/>
    </row>
    <row r="3488" spans="1:19" hidden="1">
      <c r="A3488" s="128" t="s">
        <v>5577</v>
      </c>
      <c r="B3488" s="138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14</v>
      </c>
      <c r="R3488" s="115" t="s">
        <v>515</v>
      </c>
      <c r="S3488" s="129"/>
    </row>
    <row r="3489" spans="1:19" hidden="1">
      <c r="A3489" t="s">
        <v>5672</v>
      </c>
      <c r="B3489" s="138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</v>
      </c>
      <c r="R3489" s="115" t="s">
        <v>515</v>
      </c>
      <c r="S3489" s="129"/>
    </row>
    <row r="3490" spans="1:19" hidden="1">
      <c r="A3490" s="128" t="s">
        <v>5672</v>
      </c>
      <c r="B3490" s="138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</v>
      </c>
      <c r="R3490" s="115" t="s">
        <v>515</v>
      </c>
      <c r="S3490" s="129"/>
    </row>
    <row r="3491" spans="1:19" hidden="1">
      <c r="A3491" s="128" t="s">
        <v>5672</v>
      </c>
      <c r="B3491" s="138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</v>
      </c>
      <c r="R3491" s="115" t="s">
        <v>515</v>
      </c>
      <c r="S3491" s="129"/>
    </row>
    <row r="3492" spans="1:19" hidden="1">
      <c r="A3492" s="128" t="s">
        <v>5672</v>
      </c>
      <c r="B3492" s="138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</v>
      </c>
      <c r="R3492" s="115" t="s">
        <v>515</v>
      </c>
      <c r="S3492" s="129"/>
    </row>
    <row r="3493" spans="1:19" hidden="1">
      <c r="A3493" s="128" t="s">
        <v>5672</v>
      </c>
      <c r="B3493" s="138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</v>
      </c>
      <c r="R3493" s="115" t="s">
        <v>515</v>
      </c>
      <c r="S3493" s="129"/>
    </row>
    <row r="3494" spans="1:19" hidden="1">
      <c r="A3494" s="128" t="s">
        <v>5672</v>
      </c>
      <c r="B3494" s="138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</v>
      </c>
      <c r="R3494" s="115" t="s">
        <v>515</v>
      </c>
      <c r="S3494" s="129"/>
    </row>
    <row r="3495" spans="1:19" hidden="1">
      <c r="A3495" s="128" t="s">
        <v>5672</v>
      </c>
      <c r="B3495" s="138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</v>
      </c>
      <c r="R3495" s="115" t="s">
        <v>515</v>
      </c>
      <c r="S3495" s="129"/>
    </row>
    <row r="3496" spans="1:19" hidden="1">
      <c r="A3496" s="128" t="s">
        <v>5672</v>
      </c>
      <c r="B3496" s="138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</v>
      </c>
      <c r="R3496" s="115" t="s">
        <v>515</v>
      </c>
      <c r="S3496" s="129"/>
    </row>
    <row r="3497" spans="1:19" hidden="1">
      <c r="A3497" s="128" t="s">
        <v>5672</v>
      </c>
      <c r="B3497" s="138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</v>
      </c>
      <c r="R3497" s="115" t="s">
        <v>515</v>
      </c>
      <c r="S3497" s="129"/>
    </row>
    <row r="3498" spans="1:19" hidden="1">
      <c r="A3498" s="128" t="s">
        <v>5672</v>
      </c>
      <c r="B3498" s="138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</v>
      </c>
      <c r="R3498" s="115" t="s">
        <v>515</v>
      </c>
      <c r="S3498" s="129"/>
    </row>
    <row r="3499" spans="1:19" hidden="1">
      <c r="A3499" s="128" t="s">
        <v>5672</v>
      </c>
      <c r="B3499" s="138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</v>
      </c>
      <c r="R3499" s="115" t="s">
        <v>515</v>
      </c>
      <c r="S3499" s="129"/>
    </row>
    <row r="3500" spans="1:19" hidden="1">
      <c r="A3500" s="128" t="s">
        <v>5672</v>
      </c>
      <c r="B3500" s="138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</v>
      </c>
      <c r="R3500" s="115" t="s">
        <v>515</v>
      </c>
      <c r="S3500" s="129"/>
    </row>
    <row r="3501" spans="1:19" hidden="1">
      <c r="A3501" s="128" t="s">
        <v>5672</v>
      </c>
      <c r="B3501" s="138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</v>
      </c>
      <c r="R3501" s="115" t="s">
        <v>515</v>
      </c>
      <c r="S3501" s="129"/>
    </row>
    <row r="3502" spans="1:19" hidden="1">
      <c r="A3502" s="128" t="s">
        <v>5672</v>
      </c>
      <c r="B3502" s="138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</v>
      </c>
      <c r="R3502" s="115" t="s">
        <v>515</v>
      </c>
      <c r="S3502" s="129"/>
    </row>
    <row r="3503" spans="1:19" hidden="1">
      <c r="A3503" s="128" t="s">
        <v>5672</v>
      </c>
      <c r="B3503" s="138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</v>
      </c>
      <c r="R3503" s="115" t="s">
        <v>515</v>
      </c>
      <c r="S3503" s="129"/>
    </row>
    <row r="3504" spans="1:19" hidden="1">
      <c r="A3504" s="128" t="s">
        <v>5672</v>
      </c>
      <c r="B3504" s="138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</v>
      </c>
      <c r="R3504" s="115" t="s">
        <v>515</v>
      </c>
      <c r="S3504" s="129"/>
    </row>
    <row r="3505" spans="1:19" hidden="1">
      <c r="A3505" s="128" t="s">
        <v>5672</v>
      </c>
      <c r="B3505" s="138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</v>
      </c>
      <c r="R3505" s="115" t="s">
        <v>515</v>
      </c>
      <c r="S3505" s="129"/>
    </row>
    <row r="3506" spans="1:19" hidden="1">
      <c r="A3506" s="128" t="s">
        <v>5672</v>
      </c>
      <c r="B3506" s="138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</v>
      </c>
      <c r="R3506" s="115" t="s">
        <v>515</v>
      </c>
      <c r="S3506" s="129"/>
    </row>
    <row r="3507" spans="1:19" hidden="1">
      <c r="A3507" s="128" t="s">
        <v>5672</v>
      </c>
      <c r="B3507" s="138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</v>
      </c>
      <c r="R3507" s="115" t="s">
        <v>515</v>
      </c>
      <c r="S3507" s="129"/>
    </row>
    <row r="3508" spans="1:19" hidden="1">
      <c r="A3508" s="128" t="s">
        <v>5672</v>
      </c>
      <c r="B3508" s="138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</v>
      </c>
      <c r="R3508" s="115" t="s">
        <v>515</v>
      </c>
      <c r="S3508" s="129"/>
    </row>
    <row r="3509" spans="1:19" hidden="1">
      <c r="A3509" s="128" t="s">
        <v>5672</v>
      </c>
      <c r="B3509" s="138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</v>
      </c>
      <c r="R3509" s="115" t="s">
        <v>515</v>
      </c>
      <c r="S3509" s="129"/>
    </row>
    <row r="3510" spans="1:19" hidden="1">
      <c r="A3510" s="128" t="s">
        <v>5672</v>
      </c>
      <c r="B3510" s="138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</v>
      </c>
      <c r="R3510" s="115" t="s">
        <v>515</v>
      </c>
      <c r="S3510" s="129"/>
    </row>
    <row r="3511" spans="1:19" hidden="1">
      <c r="A3511" s="128" t="s">
        <v>5672</v>
      </c>
      <c r="B3511" s="138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</v>
      </c>
      <c r="R3511" s="115" t="s">
        <v>515</v>
      </c>
      <c r="S3511" s="129"/>
    </row>
    <row r="3512" spans="1:19" hidden="1">
      <c r="A3512" s="128" t="s">
        <v>5672</v>
      </c>
      <c r="B3512" s="138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</v>
      </c>
      <c r="R3512" s="115" t="s">
        <v>515</v>
      </c>
      <c r="S3512" s="129"/>
    </row>
    <row r="3513" spans="1:19" hidden="1">
      <c r="A3513" s="128" t="s">
        <v>5672</v>
      </c>
      <c r="B3513" s="138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</v>
      </c>
      <c r="R3513" s="115" t="s">
        <v>515</v>
      </c>
      <c r="S3513" s="129"/>
    </row>
    <row r="3514" spans="1:19" hidden="1">
      <c r="A3514" s="128" t="s">
        <v>5672</v>
      </c>
      <c r="B3514" s="138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</v>
      </c>
      <c r="R3514" s="115" t="s">
        <v>515</v>
      </c>
      <c r="S3514" s="129"/>
    </row>
    <row r="3515" spans="1:19" hidden="1">
      <c r="A3515" s="128" t="s">
        <v>5672</v>
      </c>
      <c r="B3515" s="138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</v>
      </c>
      <c r="R3515" s="115" t="s">
        <v>515</v>
      </c>
      <c r="S3515" s="129"/>
    </row>
    <row r="3516" spans="1:19" hidden="1">
      <c r="A3516" s="128" t="s">
        <v>5672</v>
      </c>
      <c r="B3516" s="138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</v>
      </c>
      <c r="R3516" s="115" t="s">
        <v>515</v>
      </c>
      <c r="S3516" s="129"/>
    </row>
    <row r="3517" spans="1:19" hidden="1">
      <c r="A3517" s="128" t="s">
        <v>5672</v>
      </c>
      <c r="B3517" s="138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</v>
      </c>
      <c r="R3517" s="115" t="s">
        <v>515</v>
      </c>
      <c r="S3517" s="129"/>
    </row>
    <row r="3518" spans="1:19" hidden="1">
      <c r="A3518" s="128" t="s">
        <v>5672</v>
      </c>
      <c r="B3518" s="138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</v>
      </c>
      <c r="R3518" s="115" t="s">
        <v>515</v>
      </c>
      <c r="S3518" s="129"/>
    </row>
    <row r="3519" spans="1:19" hidden="1">
      <c r="A3519" s="128" t="s">
        <v>5672</v>
      </c>
      <c r="B3519" s="138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</v>
      </c>
      <c r="R3519" s="115" t="s">
        <v>515</v>
      </c>
      <c r="S3519" s="129"/>
    </row>
    <row r="3520" spans="1:19" hidden="1">
      <c r="A3520" s="128" t="s">
        <v>5672</v>
      </c>
      <c r="B3520" s="138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</v>
      </c>
      <c r="R3520" s="115" t="s">
        <v>515</v>
      </c>
      <c r="S3520" s="129"/>
    </row>
    <row r="3521" spans="1:19" hidden="1">
      <c r="A3521" s="128" t="s">
        <v>5672</v>
      </c>
      <c r="B3521" s="138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</v>
      </c>
      <c r="R3521" s="115" t="s">
        <v>515</v>
      </c>
      <c r="S3521" s="129"/>
    </row>
    <row r="3522" spans="1:19" hidden="1">
      <c r="A3522" s="128" t="s">
        <v>5672</v>
      </c>
      <c r="B3522" s="138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</v>
      </c>
      <c r="R3522" s="115" t="s">
        <v>515</v>
      </c>
      <c r="S3522" s="129"/>
    </row>
    <row r="3523" spans="1:19" hidden="1">
      <c r="A3523" s="128" t="s">
        <v>5672</v>
      </c>
      <c r="B3523" s="138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</v>
      </c>
      <c r="R3523" s="115" t="s">
        <v>515</v>
      </c>
      <c r="S3523" s="129"/>
    </row>
    <row r="3524" spans="1:19" hidden="1">
      <c r="A3524" s="128" t="s">
        <v>5672</v>
      </c>
      <c r="B3524" s="138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</v>
      </c>
      <c r="R3524" s="115" t="s">
        <v>515</v>
      </c>
      <c r="S3524" s="129"/>
    </row>
    <row r="3525" spans="1:19" hidden="1">
      <c r="A3525" s="128" t="s">
        <v>5672</v>
      </c>
      <c r="B3525" s="138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</v>
      </c>
      <c r="R3525" s="115" t="s">
        <v>515</v>
      </c>
      <c r="S3525" s="129"/>
    </row>
    <row r="3526" spans="1:19" hidden="1">
      <c r="A3526" s="128" t="s">
        <v>5672</v>
      </c>
      <c r="B3526" s="138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</v>
      </c>
      <c r="R3526" s="115" t="s">
        <v>515</v>
      </c>
      <c r="S3526" s="129"/>
    </row>
    <row r="3527" spans="1:19" hidden="1">
      <c r="A3527" s="128" t="s">
        <v>5672</v>
      </c>
      <c r="B3527" s="138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</v>
      </c>
      <c r="R3527" s="115" t="s">
        <v>515</v>
      </c>
      <c r="S3527" s="129"/>
    </row>
    <row r="3528" spans="1:19" hidden="1">
      <c r="A3528" s="128" t="s">
        <v>5672</v>
      </c>
      <c r="B3528" s="138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</v>
      </c>
      <c r="R3528" s="115" t="s">
        <v>515</v>
      </c>
      <c r="S3528" s="129"/>
    </row>
    <row r="3529" spans="1:19" hidden="1">
      <c r="A3529" s="128" t="s">
        <v>5672</v>
      </c>
      <c r="B3529" s="138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</v>
      </c>
      <c r="R3529" s="115" t="s">
        <v>515</v>
      </c>
      <c r="S3529" s="129"/>
    </row>
    <row r="3530" spans="1:19" hidden="1">
      <c r="A3530" s="128" t="s">
        <v>5672</v>
      </c>
      <c r="B3530" s="138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</v>
      </c>
      <c r="R3530" s="115" t="s">
        <v>515</v>
      </c>
      <c r="S3530" s="129"/>
    </row>
    <row r="3531" spans="1:19" hidden="1">
      <c r="A3531" s="128" t="s">
        <v>5672</v>
      </c>
      <c r="B3531" s="138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</v>
      </c>
      <c r="R3531" s="115" t="s">
        <v>515</v>
      </c>
      <c r="S3531" s="129"/>
    </row>
    <row r="3532" spans="1:19" hidden="1">
      <c r="A3532" s="128" t="s">
        <v>5672</v>
      </c>
      <c r="B3532" s="138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</v>
      </c>
      <c r="R3532" s="115" t="s">
        <v>515</v>
      </c>
      <c r="S3532" s="129"/>
    </row>
    <row r="3533" spans="1:19" hidden="1">
      <c r="A3533" s="128" t="s">
        <v>5672</v>
      </c>
      <c r="B3533" s="138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</v>
      </c>
      <c r="R3533" s="115" t="s">
        <v>515</v>
      </c>
      <c r="S3533" s="129"/>
    </row>
    <row r="3534" spans="1:19" hidden="1">
      <c r="A3534" s="128" t="s">
        <v>5672</v>
      </c>
      <c r="B3534" s="138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</v>
      </c>
      <c r="R3534" s="115" t="s">
        <v>515</v>
      </c>
      <c r="S3534" s="129"/>
    </row>
    <row r="3535" spans="1:19" hidden="1">
      <c r="A3535" s="128" t="s">
        <v>5672</v>
      </c>
      <c r="B3535" s="138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</v>
      </c>
      <c r="R3535" s="115" t="s">
        <v>515</v>
      </c>
      <c r="S3535" s="129"/>
    </row>
    <row r="3536" spans="1:19" hidden="1">
      <c r="A3536" s="128" t="s">
        <v>5672</v>
      </c>
      <c r="B3536" s="138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</v>
      </c>
      <c r="R3536" s="115" t="s">
        <v>515</v>
      </c>
      <c r="S3536" s="129"/>
    </row>
    <row r="3537" spans="1:19" hidden="1">
      <c r="A3537" s="128" t="s">
        <v>5672</v>
      </c>
      <c r="B3537" s="138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</v>
      </c>
      <c r="R3537" s="115" t="s">
        <v>515</v>
      </c>
      <c r="S3537" s="129"/>
    </row>
    <row r="3538" spans="1:19" hidden="1">
      <c r="A3538" s="128" t="s">
        <v>5672</v>
      </c>
      <c r="B3538" s="138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</v>
      </c>
      <c r="R3538" s="115" t="s">
        <v>515</v>
      </c>
      <c r="S3538" s="129"/>
    </row>
    <row r="3539" spans="1:19" hidden="1">
      <c r="A3539" s="128" t="s">
        <v>5672</v>
      </c>
      <c r="B3539" s="138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</v>
      </c>
      <c r="R3539" s="115" t="s">
        <v>515</v>
      </c>
      <c r="S3539" s="129"/>
    </row>
    <row r="3540" spans="1:19" hidden="1">
      <c r="A3540" s="128" t="s">
        <v>5672</v>
      </c>
      <c r="B3540" s="138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</v>
      </c>
      <c r="R3540" s="115" t="s">
        <v>515</v>
      </c>
      <c r="S3540" s="129"/>
    </row>
    <row r="3541" spans="1:19" hidden="1">
      <c r="A3541" s="128" t="s">
        <v>5672</v>
      </c>
      <c r="B3541" s="138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</v>
      </c>
      <c r="R3541" s="115" t="s">
        <v>515</v>
      </c>
      <c r="S3541" s="129"/>
    </row>
    <row r="3542" spans="1:19" hidden="1">
      <c r="A3542" s="128" t="s">
        <v>5672</v>
      </c>
      <c r="B3542" s="138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</v>
      </c>
      <c r="R3542" s="115" t="s">
        <v>515</v>
      </c>
      <c r="S3542" s="129"/>
    </row>
    <row r="3543" spans="1:19" hidden="1">
      <c r="A3543" s="128" t="s">
        <v>5672</v>
      </c>
      <c r="B3543" s="138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</v>
      </c>
      <c r="R3543" s="115" t="s">
        <v>515</v>
      </c>
      <c r="S3543" s="129"/>
    </row>
    <row r="3544" spans="1:19" hidden="1">
      <c r="A3544" s="128" t="s">
        <v>5672</v>
      </c>
      <c r="B3544" s="138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</v>
      </c>
      <c r="R3544" s="115" t="s">
        <v>515</v>
      </c>
      <c r="S3544" s="129"/>
    </row>
    <row r="3545" spans="1:19" hidden="1">
      <c r="A3545" s="128" t="s">
        <v>5672</v>
      </c>
      <c r="B3545" s="138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</v>
      </c>
      <c r="R3545" s="115" t="s">
        <v>515</v>
      </c>
      <c r="S3545" s="129"/>
    </row>
    <row r="3546" spans="1:19" hidden="1">
      <c r="A3546" s="128" t="s">
        <v>5672</v>
      </c>
      <c r="B3546" s="138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</v>
      </c>
      <c r="R3546" s="115" t="s">
        <v>515</v>
      </c>
      <c r="S3546" s="129"/>
    </row>
    <row r="3547" spans="1:19" hidden="1">
      <c r="A3547" s="128" t="s">
        <v>5672</v>
      </c>
      <c r="B3547" s="138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</v>
      </c>
      <c r="R3547" s="115" t="s">
        <v>515</v>
      </c>
      <c r="S3547" s="129"/>
    </row>
    <row r="3548" spans="1:19" hidden="1">
      <c r="A3548" s="128" t="s">
        <v>5672</v>
      </c>
      <c r="B3548" s="138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</v>
      </c>
      <c r="R3548" s="115" t="s">
        <v>515</v>
      </c>
      <c r="S3548" s="129"/>
    </row>
    <row r="3549" spans="1:19" hidden="1">
      <c r="A3549" s="128" t="s">
        <v>5672</v>
      </c>
      <c r="B3549" s="138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</v>
      </c>
      <c r="R3549" s="115" t="s">
        <v>515</v>
      </c>
      <c r="S3549" s="129"/>
    </row>
    <row r="3550" spans="1:19" hidden="1">
      <c r="A3550" s="128" t="s">
        <v>5672</v>
      </c>
      <c r="B3550" s="138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</v>
      </c>
      <c r="R3550" s="115" t="s">
        <v>515</v>
      </c>
      <c r="S3550" s="129"/>
    </row>
    <row r="3551" spans="1:19" hidden="1">
      <c r="A3551" s="128" t="s">
        <v>5672</v>
      </c>
      <c r="B3551" s="138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</v>
      </c>
      <c r="R3551" s="115" t="s">
        <v>515</v>
      </c>
      <c r="S3551" s="129"/>
    </row>
    <row r="3552" spans="1:19" hidden="1">
      <c r="A3552" s="128" t="s">
        <v>5672</v>
      </c>
      <c r="B3552" s="138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</v>
      </c>
      <c r="R3552" s="115" t="s">
        <v>515</v>
      </c>
      <c r="S3552" s="129"/>
    </row>
    <row r="3553" spans="1:19" hidden="1">
      <c r="A3553" s="128" t="s">
        <v>5672</v>
      </c>
      <c r="B3553" s="138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</v>
      </c>
      <c r="R3553" s="115" t="s">
        <v>515</v>
      </c>
      <c r="S3553" s="129"/>
    </row>
    <row r="3554" spans="1:19" hidden="1">
      <c r="A3554" s="128" t="s">
        <v>5672</v>
      </c>
      <c r="B3554" s="138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</v>
      </c>
      <c r="R3554" s="115" t="s">
        <v>515</v>
      </c>
      <c r="S3554" s="129"/>
    </row>
    <row r="3555" spans="1:19" hidden="1">
      <c r="A3555" s="128" t="s">
        <v>5672</v>
      </c>
      <c r="B3555" s="138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</v>
      </c>
      <c r="R3555" s="115" t="s">
        <v>515</v>
      </c>
      <c r="S3555" s="129"/>
    </row>
    <row r="3556" spans="1:19" hidden="1">
      <c r="A3556" s="128" t="s">
        <v>5672</v>
      </c>
      <c r="B3556" s="138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</v>
      </c>
      <c r="R3556" s="115" t="s">
        <v>515</v>
      </c>
      <c r="S3556" s="129"/>
    </row>
    <row r="3557" spans="1:19" hidden="1">
      <c r="A3557" s="128" t="s">
        <v>5672</v>
      </c>
      <c r="B3557" s="138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</v>
      </c>
      <c r="R3557" s="115" t="s">
        <v>515</v>
      </c>
      <c r="S3557" s="129"/>
    </row>
    <row r="3558" spans="1:19" hidden="1">
      <c r="A3558" s="128" t="s">
        <v>5672</v>
      </c>
      <c r="B3558" s="138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</v>
      </c>
      <c r="R3558" s="115" t="s">
        <v>515</v>
      </c>
      <c r="S3558" s="129"/>
    </row>
    <row r="3559" spans="1:19" hidden="1">
      <c r="A3559" s="128" t="s">
        <v>5672</v>
      </c>
      <c r="B3559" s="138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</v>
      </c>
      <c r="R3559" s="115" t="s">
        <v>515</v>
      </c>
      <c r="S3559" s="129"/>
    </row>
    <row r="3560" spans="1:19" hidden="1">
      <c r="A3560" s="128" t="s">
        <v>5672</v>
      </c>
      <c r="B3560" s="138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</v>
      </c>
      <c r="R3560" s="115" t="s">
        <v>515</v>
      </c>
      <c r="S3560" s="129"/>
    </row>
    <row r="3561" spans="1:19" hidden="1">
      <c r="A3561" s="128" t="s">
        <v>5672</v>
      </c>
      <c r="B3561" s="138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</v>
      </c>
      <c r="R3561" s="115" t="s">
        <v>515</v>
      </c>
      <c r="S3561" s="129"/>
    </row>
    <row r="3562" spans="1:19" hidden="1">
      <c r="A3562" s="128" t="s">
        <v>5672</v>
      </c>
      <c r="B3562" s="138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</v>
      </c>
      <c r="R3562" s="115" t="s">
        <v>515</v>
      </c>
      <c r="S3562" s="129"/>
    </row>
    <row r="3563" spans="1:19" hidden="1">
      <c r="A3563" s="128" t="s">
        <v>5672</v>
      </c>
      <c r="B3563" s="138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</v>
      </c>
      <c r="R3563" s="115" t="s">
        <v>515</v>
      </c>
      <c r="S3563" s="129"/>
    </row>
    <row r="3564" spans="1:19" hidden="1">
      <c r="A3564" s="128" t="s">
        <v>5672</v>
      </c>
      <c r="B3564" s="138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</v>
      </c>
      <c r="R3564" s="115" t="s">
        <v>515</v>
      </c>
      <c r="S3564" s="129"/>
    </row>
    <row r="3565" spans="1:19" hidden="1">
      <c r="A3565" s="128" t="s">
        <v>5672</v>
      </c>
      <c r="B3565" s="138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</v>
      </c>
      <c r="R3565" s="115" t="s">
        <v>515</v>
      </c>
      <c r="S3565" s="129"/>
    </row>
    <row r="3566" spans="1:19" hidden="1">
      <c r="A3566" s="128" t="s">
        <v>5672</v>
      </c>
      <c r="B3566" s="138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</v>
      </c>
      <c r="R3566" s="115" t="s">
        <v>515</v>
      </c>
      <c r="S3566" s="129"/>
    </row>
    <row r="3567" spans="1:19" hidden="1">
      <c r="A3567" s="128" t="s">
        <v>5672</v>
      </c>
      <c r="B3567" s="138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</v>
      </c>
      <c r="R3567" s="115" t="s">
        <v>515</v>
      </c>
      <c r="S3567" s="129"/>
    </row>
    <row r="3568" spans="1:19" hidden="1">
      <c r="A3568" s="128" t="s">
        <v>5672</v>
      </c>
      <c r="B3568" s="138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</v>
      </c>
      <c r="R3568" s="115" t="s">
        <v>515</v>
      </c>
      <c r="S3568" s="129"/>
    </row>
    <row r="3569" spans="1:19" hidden="1">
      <c r="A3569" s="128" t="s">
        <v>5672</v>
      </c>
      <c r="B3569" s="138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</v>
      </c>
      <c r="R3569" s="115" t="s">
        <v>515</v>
      </c>
      <c r="S3569" s="129"/>
    </row>
    <row r="3570" spans="1:19" hidden="1">
      <c r="A3570" s="128" t="s">
        <v>5672</v>
      </c>
      <c r="B3570" s="138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</v>
      </c>
      <c r="R3570" s="115" t="s">
        <v>515</v>
      </c>
      <c r="S3570" s="129"/>
    </row>
    <row r="3571" spans="1:19" hidden="1">
      <c r="A3571" s="128" t="s">
        <v>5672</v>
      </c>
      <c r="B3571" s="138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</v>
      </c>
      <c r="R3571" s="115" t="s">
        <v>515</v>
      </c>
      <c r="S3571" s="129"/>
    </row>
    <row r="3572" spans="1:19" hidden="1">
      <c r="A3572" s="128" t="s">
        <v>5672</v>
      </c>
      <c r="B3572" s="138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</v>
      </c>
      <c r="R3572" s="115" t="s">
        <v>515</v>
      </c>
      <c r="S3572" s="129"/>
    </row>
    <row r="3573" spans="1:19" hidden="1">
      <c r="A3573" s="128" t="s">
        <v>5672</v>
      </c>
      <c r="B3573" s="138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</v>
      </c>
      <c r="R3573" s="115" t="s">
        <v>515</v>
      </c>
      <c r="S3573" s="129"/>
    </row>
    <row r="3574" spans="1:19" hidden="1">
      <c r="A3574" s="128" t="s">
        <v>5672</v>
      </c>
      <c r="B3574" s="138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</v>
      </c>
      <c r="R3574" s="115" t="s">
        <v>515</v>
      </c>
      <c r="S3574" s="129"/>
    </row>
    <row r="3575" spans="1:19" hidden="1">
      <c r="A3575" s="128" t="s">
        <v>5672</v>
      </c>
      <c r="B3575" s="138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</v>
      </c>
      <c r="R3575" s="115" t="s">
        <v>515</v>
      </c>
      <c r="S3575" s="129"/>
    </row>
    <row r="3576" spans="1:19" hidden="1">
      <c r="A3576" s="128" t="s">
        <v>5672</v>
      </c>
      <c r="B3576" s="138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</v>
      </c>
      <c r="R3576" s="115" t="s">
        <v>515</v>
      </c>
      <c r="S3576" s="129"/>
    </row>
    <row r="3577" spans="1:19" hidden="1">
      <c r="A3577" s="128" t="s">
        <v>5672</v>
      </c>
      <c r="B3577" s="138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</v>
      </c>
      <c r="R3577" s="115" t="s">
        <v>515</v>
      </c>
      <c r="S3577" s="129"/>
    </row>
    <row r="3578" spans="1:19" hidden="1">
      <c r="A3578" s="128" t="s">
        <v>5672</v>
      </c>
      <c r="B3578" s="138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</v>
      </c>
      <c r="R3578" s="115" t="s">
        <v>515</v>
      </c>
      <c r="S3578" s="129"/>
    </row>
    <row r="3579" spans="1:19" hidden="1">
      <c r="A3579" s="128" t="s">
        <v>5672</v>
      </c>
      <c r="B3579" s="138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</v>
      </c>
      <c r="R3579" s="115" t="s">
        <v>515</v>
      </c>
      <c r="S3579" s="129"/>
    </row>
    <row r="3580" spans="1:19" hidden="1">
      <c r="A3580" s="128" t="s">
        <v>5672</v>
      </c>
      <c r="B3580" s="138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</v>
      </c>
      <c r="R3580" s="115" t="s">
        <v>515</v>
      </c>
      <c r="S3580" s="129"/>
    </row>
    <row r="3581" spans="1:19" hidden="1">
      <c r="A3581" s="128" t="s">
        <v>5672</v>
      </c>
      <c r="B3581" s="138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</v>
      </c>
      <c r="R3581" s="115" t="s">
        <v>515</v>
      </c>
      <c r="S3581" s="129"/>
    </row>
    <row r="3582" spans="1:19" hidden="1">
      <c r="A3582" t="s">
        <v>5673</v>
      </c>
      <c r="B3582" s="138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</v>
      </c>
      <c r="R3582" s="115" t="s">
        <v>1262</v>
      </c>
      <c r="S3582" s="129"/>
    </row>
    <row r="3583" spans="1:19" hidden="1">
      <c r="A3583" t="s">
        <v>5675</v>
      </c>
      <c r="B3583" s="138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</v>
      </c>
      <c r="R3583" s="130" t="s">
        <v>5685</v>
      </c>
      <c r="S3583" s="129"/>
    </row>
    <row r="3584" spans="1:19" hidden="1">
      <c r="A3584" s="128" t="s">
        <v>5675</v>
      </c>
      <c r="B3584" s="138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</v>
      </c>
      <c r="R3584" s="130" t="s">
        <v>5685</v>
      </c>
      <c r="S3584" s="129"/>
    </row>
    <row r="3585" spans="1:19" hidden="1">
      <c r="A3585" s="128" t="s">
        <v>5675</v>
      </c>
      <c r="B3585" s="138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</v>
      </c>
      <c r="R3585" s="130" t="s">
        <v>5685</v>
      </c>
      <c r="S3585" s="129"/>
    </row>
    <row r="3586" spans="1:19" hidden="1">
      <c r="A3586" s="128" t="s">
        <v>5675</v>
      </c>
      <c r="B3586" s="138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</v>
      </c>
      <c r="R3586" s="130" t="s">
        <v>5685</v>
      </c>
      <c r="S3586" s="129"/>
    </row>
    <row r="3587" spans="1:19" hidden="1">
      <c r="A3587" s="128" t="s">
        <v>5675</v>
      </c>
      <c r="B3587" s="138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</v>
      </c>
      <c r="R3587" s="130" t="s">
        <v>5685</v>
      </c>
      <c r="S3587" s="129"/>
    </row>
    <row r="3588" spans="1:19" hidden="1">
      <c r="A3588" s="128" t="s">
        <v>5675</v>
      </c>
      <c r="B3588" s="138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</v>
      </c>
      <c r="R3588" s="130" t="s">
        <v>5685</v>
      </c>
      <c r="S3588" s="129"/>
    </row>
    <row r="3589" spans="1:19" hidden="1">
      <c r="A3589" t="s">
        <v>5686</v>
      </c>
      <c r="B3589" s="138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</v>
      </c>
      <c r="R3589" s="130" t="s">
        <v>5685</v>
      </c>
      <c r="S3589" s="129"/>
    </row>
    <row r="3590" spans="1:19" hidden="1">
      <c r="A3590" s="128" t="s">
        <v>5686</v>
      </c>
      <c r="B3590" s="138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</v>
      </c>
      <c r="R3590" s="130" t="s">
        <v>5685</v>
      </c>
      <c r="S3590" s="129"/>
    </row>
    <row r="3591" spans="1:19" hidden="1">
      <c r="A3591" s="128" t="s">
        <v>5686</v>
      </c>
      <c r="B3591" s="138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</v>
      </c>
      <c r="R3591" s="130" t="s">
        <v>5685</v>
      </c>
      <c r="S3591" s="129"/>
    </row>
    <row r="3592" spans="1:19" hidden="1">
      <c r="A3592" s="128" t="s">
        <v>5686</v>
      </c>
      <c r="B3592" s="138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</v>
      </c>
      <c r="R3592" s="130" t="s">
        <v>5685</v>
      </c>
      <c r="S3592" s="129"/>
    </row>
    <row r="3593" spans="1:19" hidden="1">
      <c r="A3593" s="128" t="s">
        <v>5686</v>
      </c>
      <c r="B3593" s="138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</v>
      </c>
      <c r="R3593" s="130" t="s">
        <v>5685</v>
      </c>
      <c r="S3593" s="129"/>
    </row>
    <row r="3594" spans="1:19" hidden="1">
      <c r="A3594" s="128" t="s">
        <v>5686</v>
      </c>
      <c r="B3594" s="138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</v>
      </c>
      <c r="R3594" s="130" t="s">
        <v>5685</v>
      </c>
      <c r="S3594" s="129"/>
    </row>
    <row r="3595" spans="1:19" hidden="1">
      <c r="A3595" s="128" t="s">
        <v>5686</v>
      </c>
      <c r="B3595" s="138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</v>
      </c>
      <c r="R3595" s="130" t="s">
        <v>5685</v>
      </c>
      <c r="S3595" s="129"/>
    </row>
    <row r="3596" spans="1:19" hidden="1">
      <c r="A3596" s="128" t="s">
        <v>5686</v>
      </c>
      <c r="B3596" s="138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</v>
      </c>
      <c r="R3596" s="130" t="s">
        <v>5685</v>
      </c>
      <c r="S3596" s="129"/>
    </row>
    <row r="3597" spans="1:19" hidden="1">
      <c r="A3597" s="128" t="s">
        <v>5686</v>
      </c>
      <c r="B3597" s="138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</v>
      </c>
      <c r="R3597" s="130" t="s">
        <v>5685</v>
      </c>
      <c r="S3597" s="129"/>
    </row>
    <row r="3598" spans="1:19" hidden="1">
      <c r="A3598" s="128" t="s">
        <v>5686</v>
      </c>
      <c r="B3598" s="138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</v>
      </c>
      <c r="R3598" s="130" t="s">
        <v>5685</v>
      </c>
      <c r="S3598" s="129"/>
    </row>
    <row r="3599" spans="1:19" hidden="1">
      <c r="A3599" s="128" t="s">
        <v>5686</v>
      </c>
      <c r="B3599" s="138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</v>
      </c>
      <c r="R3599" s="130" t="s">
        <v>5685</v>
      </c>
      <c r="S3599" s="129"/>
    </row>
    <row r="3600" spans="1:19" hidden="1">
      <c r="A3600" s="128" t="s">
        <v>5686</v>
      </c>
      <c r="B3600" s="138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</v>
      </c>
      <c r="R3600" s="130" t="s">
        <v>5685</v>
      </c>
      <c r="S3600" s="129"/>
    </row>
    <row r="3601" spans="1:19" hidden="1">
      <c r="A3601" t="s">
        <v>5699</v>
      </c>
      <c r="B3601" s="138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</v>
      </c>
      <c r="R3601" s="130" t="s">
        <v>5685</v>
      </c>
      <c r="S3601" s="129"/>
    </row>
    <row r="3602" spans="1:19" hidden="1">
      <c r="A3602" t="s">
        <v>5703</v>
      </c>
      <c r="B3602" s="138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</v>
      </c>
      <c r="R3602" s="130" t="s">
        <v>780</v>
      </c>
      <c r="S3602" s="129"/>
    </row>
    <row r="3603" spans="1:19" hidden="1">
      <c r="A3603" s="128" t="s">
        <v>5703</v>
      </c>
      <c r="B3603" s="138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</v>
      </c>
      <c r="R3603" s="130" t="s">
        <v>780</v>
      </c>
      <c r="S3603" s="129"/>
    </row>
    <row r="3604" spans="1:19" hidden="1">
      <c r="A3604" s="128" t="s">
        <v>5703</v>
      </c>
      <c r="B3604" s="138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</v>
      </c>
      <c r="R3604" s="130" t="s">
        <v>780</v>
      </c>
      <c r="S3604" s="129"/>
    </row>
    <row r="3605" spans="1:19" hidden="1">
      <c r="A3605" s="128" t="s">
        <v>5703</v>
      </c>
      <c r="B3605" s="138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</v>
      </c>
      <c r="R3605" s="130" t="s">
        <v>780</v>
      </c>
      <c r="S3605" s="129"/>
    </row>
    <row r="3606" spans="1:19" hidden="1">
      <c r="A3606" s="128" t="s">
        <v>5703</v>
      </c>
      <c r="B3606" s="138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</v>
      </c>
      <c r="R3606" s="130" t="s">
        <v>780</v>
      </c>
      <c r="S3606" s="129"/>
    </row>
    <row r="3607" spans="1:19" hidden="1">
      <c r="A3607" t="s">
        <v>5711</v>
      </c>
      <c r="B3607" s="138" t="str">
        <f>IFERROR(VLOOKUP(Proc[[#This Row],[App]],Table2[],3,0),"open")</f>
        <v>ok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</v>
      </c>
      <c r="R3607" s="130" t="s">
        <v>5712</v>
      </c>
      <c r="S3607" s="129"/>
    </row>
    <row r="3608" spans="1:19" hidden="1">
      <c r="A3608" t="s">
        <v>5713</v>
      </c>
      <c r="B3608" s="138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</v>
      </c>
      <c r="R3608" s="130" t="s">
        <v>738</v>
      </c>
      <c r="S3608" s="129"/>
    </row>
    <row r="3609" spans="1:19" hidden="1">
      <c r="A3609" s="128" t="s">
        <v>5713</v>
      </c>
      <c r="B3609" s="138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</v>
      </c>
      <c r="R3609" s="130" t="s">
        <v>738</v>
      </c>
      <c r="S3609" s="129"/>
    </row>
    <row r="3610" spans="1:19" hidden="1">
      <c r="A3610" s="128" t="s">
        <v>5713</v>
      </c>
      <c r="B3610" s="138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</v>
      </c>
      <c r="R3610" s="130" t="s">
        <v>738</v>
      </c>
      <c r="S3610" s="129"/>
    </row>
    <row r="3611" spans="1:19" hidden="1">
      <c r="A3611" s="128" t="s">
        <v>5713</v>
      </c>
      <c r="B3611" s="138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</v>
      </c>
      <c r="R3611" s="130" t="s">
        <v>738</v>
      </c>
      <c r="S3611" s="129"/>
    </row>
    <row r="3612" spans="1:19" hidden="1">
      <c r="A3612" s="128" t="s">
        <v>5713</v>
      </c>
      <c r="B3612" s="138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</v>
      </c>
      <c r="R3612" s="130" t="s">
        <v>738</v>
      </c>
      <c r="S3612" s="129"/>
    </row>
    <row r="3613" spans="1:19" hidden="1">
      <c r="A3613" s="128" t="s">
        <v>5713</v>
      </c>
      <c r="B3613" s="138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</v>
      </c>
      <c r="R3613" s="130" t="s">
        <v>738</v>
      </c>
      <c r="S3613" s="129"/>
    </row>
    <row r="3614" spans="1:19" hidden="1">
      <c r="A3614" s="128" t="s">
        <v>5713</v>
      </c>
      <c r="B3614" s="138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</v>
      </c>
      <c r="R3614" s="130" t="s">
        <v>738</v>
      </c>
      <c r="S3614" s="129"/>
    </row>
    <row r="3615" spans="1:19" hidden="1">
      <c r="A3615" s="128" t="s">
        <v>5713</v>
      </c>
      <c r="B3615" s="138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</v>
      </c>
      <c r="R3615" s="130" t="s">
        <v>738</v>
      </c>
      <c r="S3615" s="129"/>
    </row>
    <row r="3616" spans="1:19" hidden="1">
      <c r="A3616" s="128" t="s">
        <v>5713</v>
      </c>
      <c r="B3616" s="138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</v>
      </c>
      <c r="R3616" s="130" t="s">
        <v>738</v>
      </c>
      <c r="S3616" s="129"/>
    </row>
    <row r="3617" spans="1:19" hidden="1">
      <c r="A3617" s="128" t="s">
        <v>5713</v>
      </c>
      <c r="B3617" s="138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</v>
      </c>
      <c r="R3617" s="130" t="s">
        <v>738</v>
      </c>
      <c r="S3617" s="129"/>
    </row>
    <row r="3618" spans="1:19" hidden="1">
      <c r="A3618" s="128" t="s">
        <v>5713</v>
      </c>
      <c r="B3618" s="138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</v>
      </c>
      <c r="R3618" s="130" t="s">
        <v>738</v>
      </c>
      <c r="S3618" s="129"/>
    </row>
    <row r="3619" spans="1:19" hidden="1">
      <c r="A3619" s="128" t="s">
        <v>5713</v>
      </c>
      <c r="B3619" s="138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</v>
      </c>
      <c r="R3619" s="130" t="s">
        <v>738</v>
      </c>
      <c r="S3619" s="129"/>
    </row>
    <row r="3620" spans="1:19" hidden="1">
      <c r="A3620" t="s">
        <v>5724</v>
      </c>
      <c r="B3620" s="138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</v>
      </c>
      <c r="R3620" s="130" t="s">
        <v>738</v>
      </c>
      <c r="S3620" s="129"/>
    </row>
    <row r="3621" spans="1:19" hidden="1">
      <c r="A3621" s="132" t="s">
        <v>5724</v>
      </c>
      <c r="B3621" s="138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</v>
      </c>
      <c r="R3621" s="130" t="s">
        <v>738</v>
      </c>
      <c r="S3621" s="129"/>
    </row>
    <row r="3622" spans="1:19" hidden="1">
      <c r="A3622" s="132" t="s">
        <v>5724</v>
      </c>
      <c r="B3622" s="138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</v>
      </c>
      <c r="R3622" s="130" t="s">
        <v>738</v>
      </c>
      <c r="S3622" s="129"/>
    </row>
    <row r="3623" spans="1:19" hidden="1">
      <c r="A3623" s="132" t="s">
        <v>5724</v>
      </c>
      <c r="B3623" s="138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</v>
      </c>
      <c r="R3623" s="130" t="s">
        <v>738</v>
      </c>
      <c r="S3623" s="129"/>
    </row>
    <row r="3624" spans="1:19" hidden="1">
      <c r="A3624" s="132" t="s">
        <v>5724</v>
      </c>
      <c r="B3624" s="138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</v>
      </c>
      <c r="R3624" s="130" t="s">
        <v>738</v>
      </c>
      <c r="S3624" s="129"/>
    </row>
    <row r="3625" spans="1:19" hidden="1">
      <c r="A3625" s="132" t="s">
        <v>5724</v>
      </c>
      <c r="B3625" s="138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</v>
      </c>
      <c r="R3625" s="130" t="s">
        <v>738</v>
      </c>
      <c r="S3625" s="129"/>
    </row>
    <row r="3626" spans="1:19" hidden="1">
      <c r="A3626" s="132" t="s">
        <v>5724</v>
      </c>
      <c r="B3626" s="138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</v>
      </c>
      <c r="R3626" s="130" t="s">
        <v>738</v>
      </c>
      <c r="S3626" s="129"/>
    </row>
    <row r="3627" spans="1:19" hidden="1">
      <c r="A3627" s="132" t="s">
        <v>5724</v>
      </c>
      <c r="B3627" s="138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</v>
      </c>
      <c r="R3627" s="130" t="s">
        <v>738</v>
      </c>
      <c r="S3627" s="129"/>
    </row>
    <row r="3628" spans="1:19" hidden="1">
      <c r="A3628" t="s">
        <v>5734</v>
      </c>
      <c r="B3628" s="138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</v>
      </c>
      <c r="R3628" s="130" t="s">
        <v>489</v>
      </c>
      <c r="S3628" s="129"/>
    </row>
    <row r="3629" spans="1:19" hidden="1">
      <c r="A3629" s="133" t="s">
        <v>5734</v>
      </c>
      <c r="B3629" s="138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</v>
      </c>
      <c r="R3629" s="130" t="s">
        <v>489</v>
      </c>
      <c r="S3629" s="129"/>
    </row>
    <row r="3630" spans="1:19" hidden="1">
      <c r="A3630" t="s">
        <v>5737</v>
      </c>
      <c r="B3630" s="138" t="str">
        <f>IFERROR(VLOOKUP(Proc[[#This Row],[App]],Table2[],3,0),"open")</f>
        <v>ok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</v>
      </c>
      <c r="R3630" s="130" t="s">
        <v>1262</v>
      </c>
      <c r="S3630" s="129"/>
    </row>
    <row r="3631" spans="1:19" hidden="1">
      <c r="A3631" t="s">
        <v>5740</v>
      </c>
      <c r="B3631" s="138" t="str">
        <f>IFERROR(VLOOKUP(Proc[[#This Row],[App]],Table2[],3,0),"open")</f>
        <v>ok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</v>
      </c>
      <c r="R3631" s="130" t="s">
        <v>972</v>
      </c>
      <c r="S3631" s="129"/>
    </row>
    <row r="3632" spans="1:19" hidden="1">
      <c r="A3632" t="s">
        <v>5744</v>
      </c>
      <c r="B3632" s="138" t="str">
        <f>IFERROR(VLOOKUP(Proc[[#This Row],[App]],Table2[],3,0),"open")</f>
        <v>ok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</v>
      </c>
      <c r="R3632" s="130" t="s">
        <v>489</v>
      </c>
      <c r="S3632" s="129"/>
    </row>
    <row r="3633" spans="1:19" hidden="1">
      <c r="A3633" s="135" t="s">
        <v>5744</v>
      </c>
      <c r="B3633" s="138" t="str">
        <f>IFERROR(VLOOKUP(Proc[[#This Row],[App]],Table2[],3,0),"open")</f>
        <v>ok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</v>
      </c>
      <c r="R3633" s="130" t="s">
        <v>489</v>
      </c>
      <c r="S3633" s="129"/>
    </row>
    <row r="3634" spans="1:19" hidden="1">
      <c r="A3634" s="135" t="s">
        <v>5744</v>
      </c>
      <c r="B3634" s="138" t="str">
        <f>IFERROR(VLOOKUP(Proc[[#This Row],[App]],Table2[],3,0),"open")</f>
        <v>ok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</v>
      </c>
      <c r="R3634" s="130" t="s">
        <v>489</v>
      </c>
      <c r="S3634" s="129"/>
    </row>
    <row r="3635" spans="1:19" hidden="1">
      <c r="A3635" s="135" t="s">
        <v>5744</v>
      </c>
      <c r="B3635" s="138" t="str">
        <f>IFERROR(VLOOKUP(Proc[[#This Row],[App]],Table2[],3,0),"open")</f>
        <v>ok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</v>
      </c>
      <c r="R3635" s="130" t="s">
        <v>489</v>
      </c>
      <c r="S3635" s="129"/>
    </row>
    <row r="3636" spans="1:19" hidden="1">
      <c r="A3636" s="135" t="s">
        <v>5744</v>
      </c>
      <c r="B3636" s="138" t="str">
        <f>IFERROR(VLOOKUP(Proc[[#This Row],[App]],Table2[],3,0),"open")</f>
        <v>ok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</v>
      </c>
      <c r="R3636" s="130" t="s">
        <v>489</v>
      </c>
      <c r="S3636" s="129"/>
    </row>
    <row r="3637" spans="1:19" hidden="1">
      <c r="A3637" s="135" t="s">
        <v>5744</v>
      </c>
      <c r="B3637" s="138" t="str">
        <f>IFERROR(VLOOKUP(Proc[[#This Row],[App]],Table2[],3,0),"open")</f>
        <v>ok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</v>
      </c>
      <c r="R3637" s="130" t="s">
        <v>489</v>
      </c>
      <c r="S3637" s="129"/>
    </row>
    <row r="3638" spans="1:19" hidden="1">
      <c r="A3638" s="135" t="s">
        <v>5744</v>
      </c>
      <c r="B3638" s="138" t="str">
        <f>IFERROR(VLOOKUP(Proc[[#This Row],[App]],Table2[],3,0),"open")</f>
        <v>ok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</v>
      </c>
      <c r="R3638" s="130" t="s">
        <v>489</v>
      </c>
      <c r="S3638" s="129"/>
    </row>
    <row r="3639" spans="1:19" hidden="1">
      <c r="A3639" s="135" t="s">
        <v>5744</v>
      </c>
      <c r="B3639" s="138" t="str">
        <f>IFERROR(VLOOKUP(Proc[[#This Row],[App]],Table2[],3,0),"open")</f>
        <v>ok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</v>
      </c>
      <c r="R3639" s="130" t="s">
        <v>489</v>
      </c>
      <c r="S3639" s="129"/>
    </row>
    <row r="3640" spans="1:19" hidden="1">
      <c r="A3640" s="135" t="s">
        <v>5744</v>
      </c>
      <c r="B3640" s="138" t="str">
        <f>IFERROR(VLOOKUP(Proc[[#This Row],[App]],Table2[],3,0),"open")</f>
        <v>ok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</v>
      </c>
      <c r="R3640" s="130" t="s">
        <v>489</v>
      </c>
      <c r="S3640" s="129"/>
    </row>
    <row r="3641" spans="1:19" hidden="1">
      <c r="A3641" s="135" t="s">
        <v>5744</v>
      </c>
      <c r="B3641" s="138" t="str">
        <f>IFERROR(VLOOKUP(Proc[[#This Row],[App]],Table2[],3,0),"open")</f>
        <v>ok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</v>
      </c>
      <c r="R3641" s="130" t="s">
        <v>489</v>
      </c>
      <c r="S3641" s="129"/>
    </row>
    <row r="3642" spans="1:19" hidden="1">
      <c r="A3642" s="135" t="s">
        <v>5744</v>
      </c>
      <c r="B3642" s="138" t="str">
        <f>IFERROR(VLOOKUP(Proc[[#This Row],[App]],Table2[],3,0),"open")</f>
        <v>ok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</v>
      </c>
      <c r="R3642" s="130" t="s">
        <v>489</v>
      </c>
      <c r="S3642" s="129"/>
    </row>
    <row r="3643" spans="1:19" hidden="1">
      <c r="A3643" s="135" t="s">
        <v>5744</v>
      </c>
      <c r="B3643" s="138" t="str">
        <f>IFERROR(VLOOKUP(Proc[[#This Row],[App]],Table2[],3,0),"open")</f>
        <v>ok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</v>
      </c>
      <c r="R3643" s="130" t="s">
        <v>489</v>
      </c>
      <c r="S3643" s="129"/>
    </row>
    <row r="3644" spans="1:19" hidden="1">
      <c r="A3644" s="135" t="s">
        <v>5744</v>
      </c>
      <c r="B3644" s="138" t="str">
        <f>IFERROR(VLOOKUP(Proc[[#This Row],[App]],Table2[],3,0),"open")</f>
        <v>ok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</v>
      </c>
      <c r="R3644" s="130" t="s">
        <v>489</v>
      </c>
      <c r="S3644" s="129"/>
    </row>
    <row r="3645" spans="1:19" hidden="1">
      <c r="A3645" s="135" t="s">
        <v>5744</v>
      </c>
      <c r="B3645" s="138" t="str">
        <f>IFERROR(VLOOKUP(Proc[[#This Row],[App]],Table2[],3,0),"open")</f>
        <v>ok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</v>
      </c>
      <c r="R3645" s="130" t="s">
        <v>489</v>
      </c>
      <c r="S3645" s="129"/>
    </row>
    <row r="3646" spans="1:19" hidden="1">
      <c r="A3646" s="135" t="s">
        <v>5744</v>
      </c>
      <c r="B3646" s="138" t="str">
        <f>IFERROR(VLOOKUP(Proc[[#This Row],[App]],Table2[],3,0),"open")</f>
        <v>ok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</v>
      </c>
      <c r="R3646" s="130" t="s">
        <v>489</v>
      </c>
      <c r="S3646" s="129"/>
    </row>
    <row r="3647" spans="1:19" hidden="1">
      <c r="A3647" s="135" t="s">
        <v>5744</v>
      </c>
      <c r="B3647" s="138" t="str">
        <f>IFERROR(VLOOKUP(Proc[[#This Row],[App]],Table2[],3,0),"open")</f>
        <v>ok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</v>
      </c>
      <c r="R3647" s="130" t="s">
        <v>489</v>
      </c>
      <c r="S3647" s="129"/>
    </row>
    <row r="3648" spans="1:19" hidden="1">
      <c r="A3648" s="135" t="s">
        <v>5744</v>
      </c>
      <c r="B3648" s="138" t="str">
        <f>IFERROR(VLOOKUP(Proc[[#This Row],[App]],Table2[],3,0),"open")</f>
        <v>ok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</v>
      </c>
      <c r="R3648" s="130" t="s">
        <v>489</v>
      </c>
      <c r="S3648" s="129"/>
    </row>
    <row r="3649" spans="1:19" hidden="1">
      <c r="A3649" s="135" t="s">
        <v>5744</v>
      </c>
      <c r="B3649" s="138" t="str">
        <f>IFERROR(VLOOKUP(Proc[[#This Row],[App]],Table2[],3,0),"open")</f>
        <v>ok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</v>
      </c>
      <c r="R3649" s="130" t="s">
        <v>489</v>
      </c>
      <c r="S3649" s="129"/>
    </row>
    <row r="3650" spans="1:19" hidden="1">
      <c r="A3650" t="s">
        <v>5775</v>
      </c>
      <c r="B3650" s="138" t="str">
        <f>IFERROR(VLOOKUP(Proc[[#This Row],[App]],Table2[],3,0),"open")</f>
        <v>open</v>
      </c>
      <c r="C3650" s="135" t="s">
        <v>692</v>
      </c>
      <c r="D3650" t="s">
        <v>6153</v>
      </c>
      <c r="E3650" t="s">
        <v>5773</v>
      </c>
      <c r="F3650" s="129" t="s">
        <v>5948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5776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</v>
      </c>
      <c r="R3650" s="130" t="s">
        <v>746</v>
      </c>
      <c r="S3650" s="129"/>
    </row>
    <row r="3651" spans="1:19" hidden="1">
      <c r="A3651" s="135" t="s">
        <v>5775</v>
      </c>
      <c r="B3651" s="138" t="str">
        <f>IFERROR(VLOOKUP(Proc[[#This Row],[App]],Table2[],3,0),"open")</f>
        <v>open</v>
      </c>
      <c r="C3651" s="135" t="s">
        <v>369</v>
      </c>
      <c r="D3651" t="s">
        <v>5763</v>
      </c>
      <c r="E3651" t="s">
        <v>5773</v>
      </c>
      <c r="F3651" s="129" t="s">
        <v>5773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</v>
      </c>
      <c r="R3651" s="130" t="s">
        <v>746</v>
      </c>
      <c r="S3651" s="129"/>
    </row>
    <row r="3652" spans="1:19" hidden="1">
      <c r="A3652" s="135" t="s">
        <v>5775</v>
      </c>
      <c r="B3652" s="138" t="str">
        <f>IFERROR(VLOOKUP(Proc[[#This Row],[App]],Table2[],3,0),"open")</f>
        <v>open</v>
      </c>
      <c r="C3652" s="138" t="s">
        <v>369</v>
      </c>
      <c r="D3652" t="s">
        <v>5764</v>
      </c>
      <c r="E3652" t="s">
        <v>5773</v>
      </c>
      <c r="F3652" s="129" t="s">
        <v>5773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</v>
      </c>
      <c r="R3652" s="130" t="s">
        <v>746</v>
      </c>
      <c r="S3652" s="129"/>
    </row>
    <row r="3653" spans="1:19" hidden="1">
      <c r="A3653" s="135" t="s">
        <v>5775</v>
      </c>
      <c r="B3653" s="138" t="str">
        <f>IFERROR(VLOOKUP(Proc[[#This Row],[App]],Table2[],3,0),"open")</f>
        <v>open</v>
      </c>
      <c r="C3653" s="138" t="s">
        <v>369</v>
      </c>
      <c r="D3653" t="s">
        <v>5765</v>
      </c>
      <c r="E3653" t="s">
        <v>5773</v>
      </c>
      <c r="F3653" s="129" t="s">
        <v>5773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</v>
      </c>
      <c r="R3653" s="130" t="s">
        <v>746</v>
      </c>
      <c r="S3653" s="129"/>
    </row>
    <row r="3654" spans="1:19" hidden="1">
      <c r="A3654" s="135" t="s">
        <v>5775</v>
      </c>
      <c r="B3654" s="138" t="str">
        <f>IFERROR(VLOOKUP(Proc[[#This Row],[App]],Table2[],3,0),"open")</f>
        <v>open</v>
      </c>
      <c r="C3654" s="138" t="s">
        <v>369</v>
      </c>
      <c r="D3654" t="s">
        <v>5766</v>
      </c>
      <c r="E3654" t="s">
        <v>5773</v>
      </c>
      <c r="F3654" s="129" t="s">
        <v>5773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</v>
      </c>
      <c r="R3654" s="130" t="s">
        <v>746</v>
      </c>
      <c r="S3654" s="129"/>
    </row>
    <row r="3655" spans="1:19" hidden="1">
      <c r="A3655" s="135" t="s">
        <v>5775</v>
      </c>
      <c r="B3655" s="138" t="str">
        <f>IFERROR(VLOOKUP(Proc[[#This Row],[App]],Table2[],3,0),"open")</f>
        <v>open</v>
      </c>
      <c r="C3655" s="138" t="s">
        <v>369</v>
      </c>
      <c r="D3655" t="s">
        <v>5767</v>
      </c>
      <c r="E3655" t="s">
        <v>5773</v>
      </c>
      <c r="F3655" s="129" t="s">
        <v>5773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</v>
      </c>
      <c r="R3655" s="130" t="s">
        <v>746</v>
      </c>
      <c r="S3655" s="129"/>
    </row>
    <row r="3656" spans="1:19" hidden="1">
      <c r="A3656" s="135" t="s">
        <v>5775</v>
      </c>
      <c r="B3656" s="138" t="str">
        <f>IFERROR(VLOOKUP(Proc[[#This Row],[App]],Table2[],3,0),"open")</f>
        <v>open</v>
      </c>
      <c r="C3656" s="138" t="s">
        <v>369</v>
      </c>
      <c r="D3656" t="s">
        <v>5768</v>
      </c>
      <c r="E3656" t="s">
        <v>5773</v>
      </c>
      <c r="F3656" s="129" t="s">
        <v>5773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</v>
      </c>
      <c r="R3656" s="130" t="s">
        <v>746</v>
      </c>
      <c r="S3656" s="129"/>
    </row>
    <row r="3657" spans="1:19" hidden="1">
      <c r="A3657" s="135" t="s">
        <v>5775</v>
      </c>
      <c r="B3657" s="138" t="str">
        <f>IFERROR(VLOOKUP(Proc[[#This Row],[App]],Table2[],3,0),"open")</f>
        <v>open</v>
      </c>
      <c r="C3657" s="138" t="s">
        <v>369</v>
      </c>
      <c r="D3657" t="s">
        <v>5769</v>
      </c>
      <c r="E3657" t="s">
        <v>5773</v>
      </c>
      <c r="F3657" s="129" t="s">
        <v>5773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</v>
      </c>
      <c r="R3657" s="130" t="s">
        <v>746</v>
      </c>
      <c r="S3657" s="129"/>
    </row>
    <row r="3658" spans="1:19" hidden="1">
      <c r="A3658" s="135" t="s">
        <v>5775</v>
      </c>
      <c r="B3658" s="138" t="str">
        <f>IFERROR(VLOOKUP(Proc[[#This Row],[App]],Table2[],3,0),"open")</f>
        <v>open</v>
      </c>
      <c r="C3658" s="135" t="s">
        <v>369</v>
      </c>
      <c r="D3658" t="s">
        <v>5770</v>
      </c>
      <c r="E3658" t="s">
        <v>5774</v>
      </c>
      <c r="F3658" s="129" t="s">
        <v>5774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</v>
      </c>
      <c r="R3658" s="130" t="s">
        <v>746</v>
      </c>
      <c r="S3658" s="129"/>
    </row>
    <row r="3659" spans="1:19" hidden="1">
      <c r="A3659" s="135" t="s">
        <v>5775</v>
      </c>
      <c r="B3659" s="138" t="str">
        <f>IFERROR(VLOOKUP(Proc[[#This Row],[App]],Table2[],3,0),"open")</f>
        <v>open</v>
      </c>
      <c r="C3659" s="135" t="s">
        <v>369</v>
      </c>
      <c r="D3659" t="s">
        <v>5771</v>
      </c>
      <c r="E3659" t="s">
        <v>5774</v>
      </c>
      <c r="F3659" s="129" t="s">
        <v>5774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</v>
      </c>
      <c r="R3659" s="130" t="s">
        <v>746</v>
      </c>
      <c r="S3659" s="129"/>
    </row>
    <row r="3660" spans="1:19" hidden="1">
      <c r="A3660" s="135" t="s">
        <v>5775</v>
      </c>
      <c r="B3660" s="138" t="str">
        <f>IFERROR(VLOOKUP(Proc[[#This Row],[App]],Table2[],3,0),"open")</f>
        <v>open</v>
      </c>
      <c r="C3660" s="135" t="s">
        <v>369</v>
      </c>
      <c r="D3660" t="s">
        <v>5772</v>
      </c>
      <c r="E3660" t="s">
        <v>5774</v>
      </c>
      <c r="F3660" s="129" t="s">
        <v>5774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</v>
      </c>
      <c r="R3660" s="130" t="s">
        <v>746</v>
      </c>
      <c r="S3660" s="129"/>
    </row>
    <row r="3661" spans="1:19" hidden="1">
      <c r="A3661" t="s">
        <v>5777</v>
      </c>
      <c r="B3661" s="138" t="str">
        <f>IFERROR(VLOOKUP(Proc[[#This Row],[App]],Table2[],3,0),"open")</f>
        <v>ok</v>
      </c>
      <c r="C3661" s="138" t="s">
        <v>369</v>
      </c>
      <c r="D3661" t="s">
        <v>5778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</v>
      </c>
      <c r="R3661" s="130" t="s">
        <v>489</v>
      </c>
      <c r="S3661" s="129"/>
    </row>
    <row r="3662" spans="1:19" hidden="1">
      <c r="A3662" s="135" t="s">
        <v>5777</v>
      </c>
      <c r="B3662" s="138" t="str">
        <f>IFERROR(VLOOKUP(Proc[[#This Row],[App]],Table2[],3,0),"open")</f>
        <v>ok</v>
      </c>
      <c r="C3662" s="138" t="s">
        <v>369</v>
      </c>
      <c r="D3662" t="s">
        <v>5779</v>
      </c>
      <c r="E3662" t="s">
        <v>5805</v>
      </c>
      <c r="F3662" s="129" t="s">
        <v>5805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</v>
      </c>
      <c r="R3662" s="131" t="s">
        <v>489</v>
      </c>
      <c r="S3662" s="129"/>
    </row>
    <row r="3663" spans="1:19" hidden="1">
      <c r="A3663" s="135" t="s">
        <v>5777</v>
      </c>
      <c r="B3663" s="138" t="str">
        <f>IFERROR(VLOOKUP(Proc[[#This Row],[App]],Table2[],3,0),"open")</f>
        <v>ok</v>
      </c>
      <c r="C3663" s="138" t="s">
        <v>369</v>
      </c>
      <c r="D3663" t="s">
        <v>5780</v>
      </c>
      <c r="E3663" t="s">
        <v>5806</v>
      </c>
      <c r="F3663" s="129" t="s">
        <v>5806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</v>
      </c>
      <c r="R3663" s="131" t="s">
        <v>489</v>
      </c>
      <c r="S3663" s="129"/>
    </row>
    <row r="3664" spans="1:19" hidden="1">
      <c r="A3664" s="135" t="s">
        <v>5777</v>
      </c>
      <c r="B3664" s="138" t="str">
        <f>IFERROR(VLOOKUP(Proc[[#This Row],[App]],Table2[],3,0),"open")</f>
        <v>ok</v>
      </c>
      <c r="C3664" s="138" t="s">
        <v>369</v>
      </c>
      <c r="D3664" t="s">
        <v>5781</v>
      </c>
      <c r="E3664" t="s">
        <v>5806</v>
      </c>
      <c r="F3664" s="129" t="s">
        <v>5806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</v>
      </c>
      <c r="R3664" s="131" t="s">
        <v>489</v>
      </c>
      <c r="S3664" s="129"/>
    </row>
    <row r="3665" spans="1:19" hidden="1">
      <c r="A3665" s="135" t="s">
        <v>5777</v>
      </c>
      <c r="B3665" s="138" t="str">
        <f>IFERROR(VLOOKUP(Proc[[#This Row],[App]],Table2[],3,0),"open")</f>
        <v>ok</v>
      </c>
      <c r="C3665" s="138" t="s">
        <v>369</v>
      </c>
      <c r="D3665" t="s">
        <v>5782</v>
      </c>
      <c r="E3665" t="s">
        <v>5806</v>
      </c>
      <c r="F3665" s="129" t="s">
        <v>5806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</v>
      </c>
      <c r="R3665" s="131" t="s">
        <v>489</v>
      </c>
      <c r="S3665" s="129"/>
    </row>
    <row r="3666" spans="1:19" hidden="1">
      <c r="A3666" s="135" t="s">
        <v>5777</v>
      </c>
      <c r="B3666" s="138" t="str">
        <f>IFERROR(VLOOKUP(Proc[[#This Row],[App]],Table2[],3,0),"open")</f>
        <v>ok</v>
      </c>
      <c r="C3666" s="138" t="s">
        <v>369</v>
      </c>
      <c r="D3666" t="s">
        <v>5783</v>
      </c>
      <c r="E3666" t="s">
        <v>5807</v>
      </c>
      <c r="F3666" s="129" t="s">
        <v>5807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</v>
      </c>
      <c r="R3666" s="131" t="s">
        <v>489</v>
      </c>
      <c r="S3666" s="129"/>
    </row>
    <row r="3667" spans="1:19" hidden="1">
      <c r="A3667" s="135" t="s">
        <v>5777</v>
      </c>
      <c r="B3667" s="138" t="str">
        <f>IFERROR(VLOOKUP(Proc[[#This Row],[App]],Table2[],3,0),"open")</f>
        <v>ok</v>
      </c>
      <c r="C3667" s="138" t="s">
        <v>369</v>
      </c>
      <c r="D3667" t="s">
        <v>5784</v>
      </c>
      <c r="E3667" t="s">
        <v>5807</v>
      </c>
      <c r="F3667" s="129" t="s">
        <v>5807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</v>
      </c>
      <c r="R3667" s="131" t="s">
        <v>489</v>
      </c>
      <c r="S3667" s="129"/>
    </row>
    <row r="3668" spans="1:19" hidden="1">
      <c r="A3668" s="135" t="s">
        <v>5777</v>
      </c>
      <c r="B3668" s="138" t="str">
        <f>IFERROR(VLOOKUP(Proc[[#This Row],[App]],Table2[],3,0),"open")</f>
        <v>ok</v>
      </c>
      <c r="C3668" s="138" t="s">
        <v>369</v>
      </c>
      <c r="D3668" t="s">
        <v>5785</v>
      </c>
      <c r="E3668" t="s">
        <v>5808</v>
      </c>
      <c r="F3668" s="129" t="s">
        <v>5808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</v>
      </c>
      <c r="R3668" s="131" t="s">
        <v>489</v>
      </c>
      <c r="S3668" s="129"/>
    </row>
    <row r="3669" spans="1:19" hidden="1">
      <c r="A3669" s="135" t="s">
        <v>5777</v>
      </c>
      <c r="B3669" s="138" t="str">
        <f>IFERROR(VLOOKUP(Proc[[#This Row],[App]],Table2[],3,0),"open")</f>
        <v>ok</v>
      </c>
      <c r="C3669" s="138" t="s">
        <v>369</v>
      </c>
      <c r="D3669" t="s">
        <v>5786</v>
      </c>
      <c r="E3669" t="s">
        <v>5808</v>
      </c>
      <c r="F3669" s="129" t="s">
        <v>5808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</v>
      </c>
      <c r="R3669" s="131" t="s">
        <v>489</v>
      </c>
      <c r="S3669" s="129"/>
    </row>
    <row r="3670" spans="1:19" hidden="1">
      <c r="A3670" s="135" t="s">
        <v>5777</v>
      </c>
      <c r="B3670" s="138" t="str">
        <f>IFERROR(VLOOKUP(Proc[[#This Row],[App]],Table2[],3,0),"open")</f>
        <v>ok</v>
      </c>
      <c r="C3670" s="138" t="s">
        <v>369</v>
      </c>
      <c r="D3670" t="s">
        <v>5787</v>
      </c>
      <c r="E3670" t="s">
        <v>5809</v>
      </c>
      <c r="F3670" s="129" t="s">
        <v>5809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</v>
      </c>
      <c r="R3670" s="131" t="s">
        <v>489</v>
      </c>
      <c r="S3670" s="129"/>
    </row>
    <row r="3671" spans="1:19" hidden="1">
      <c r="A3671" s="135" t="s">
        <v>5777</v>
      </c>
      <c r="B3671" s="138" t="str">
        <f>IFERROR(VLOOKUP(Proc[[#This Row],[App]],Table2[],3,0),"open")</f>
        <v>ok</v>
      </c>
      <c r="C3671" s="138" t="s">
        <v>369</v>
      </c>
      <c r="D3671" t="s">
        <v>5788</v>
      </c>
      <c r="E3671" t="s">
        <v>5810</v>
      </c>
      <c r="F3671" s="129" t="s">
        <v>5810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</v>
      </c>
      <c r="R3671" s="131" t="s">
        <v>489</v>
      </c>
      <c r="S3671" s="129"/>
    </row>
    <row r="3672" spans="1:19" hidden="1">
      <c r="A3672" s="135" t="s">
        <v>5777</v>
      </c>
      <c r="B3672" s="138" t="str">
        <f>IFERROR(VLOOKUP(Proc[[#This Row],[App]],Table2[],3,0),"open")</f>
        <v>ok</v>
      </c>
      <c r="C3672" s="138" t="s">
        <v>369</v>
      </c>
      <c r="D3672" t="s">
        <v>5789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</v>
      </c>
      <c r="R3672" s="131" t="s">
        <v>489</v>
      </c>
      <c r="S3672" s="129"/>
    </row>
    <row r="3673" spans="1:19" hidden="1">
      <c r="A3673" s="135" t="s">
        <v>5777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5811</v>
      </c>
      <c r="F3673" s="129" t="s">
        <v>5811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</v>
      </c>
      <c r="R3673" s="131" t="s">
        <v>489</v>
      </c>
      <c r="S3673" s="129"/>
    </row>
    <row r="3674" spans="1:19" hidden="1">
      <c r="A3674" s="135" t="s">
        <v>5777</v>
      </c>
      <c r="B3674" s="138" t="str">
        <f>IFERROR(VLOOKUP(Proc[[#This Row],[App]],Table2[],3,0),"open")</f>
        <v>ok</v>
      </c>
      <c r="C3674" s="138" t="s">
        <v>369</v>
      </c>
      <c r="D3674" t="s">
        <v>5790</v>
      </c>
      <c r="E3674" t="s">
        <v>5812</v>
      </c>
      <c r="F3674" s="129" t="s">
        <v>5812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</v>
      </c>
      <c r="R3674" s="131" t="s">
        <v>489</v>
      </c>
      <c r="S3674" s="129"/>
    </row>
    <row r="3675" spans="1:19" hidden="1">
      <c r="A3675" s="135" t="s">
        <v>5777</v>
      </c>
      <c r="B3675" s="138" t="str">
        <f>IFERROR(VLOOKUP(Proc[[#This Row],[App]],Table2[],3,0),"open")</f>
        <v>ok</v>
      </c>
      <c r="C3675" s="138" t="s">
        <v>369</v>
      </c>
      <c r="D3675" t="s">
        <v>5791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</v>
      </c>
      <c r="R3675" s="131" t="s">
        <v>489</v>
      </c>
      <c r="S3675" s="129"/>
    </row>
    <row r="3676" spans="1:19" hidden="1">
      <c r="A3676" s="135" t="s">
        <v>5777</v>
      </c>
      <c r="B3676" s="138" t="str">
        <f>IFERROR(VLOOKUP(Proc[[#This Row],[App]],Table2[],3,0),"open")</f>
        <v>ok</v>
      </c>
      <c r="C3676" s="138" t="s">
        <v>369</v>
      </c>
      <c r="D3676" t="s">
        <v>5792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</v>
      </c>
      <c r="R3676" s="131" t="s">
        <v>489</v>
      </c>
      <c r="S3676" s="129"/>
    </row>
    <row r="3677" spans="1:19" hidden="1">
      <c r="A3677" s="135" t="s">
        <v>5777</v>
      </c>
      <c r="B3677" s="138" t="str">
        <f>IFERROR(VLOOKUP(Proc[[#This Row],[App]],Table2[],3,0),"open")</f>
        <v>ok</v>
      </c>
      <c r="C3677" s="138" t="s">
        <v>369</v>
      </c>
      <c r="D3677" t="s">
        <v>5793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</v>
      </c>
      <c r="R3677" s="131" t="s">
        <v>489</v>
      </c>
      <c r="S3677" s="129"/>
    </row>
    <row r="3678" spans="1:19" hidden="1">
      <c r="A3678" s="135" t="s">
        <v>5777</v>
      </c>
      <c r="B3678" s="138" t="str">
        <f>IFERROR(VLOOKUP(Proc[[#This Row],[App]],Table2[],3,0),"open")</f>
        <v>ok</v>
      </c>
      <c r="C3678" s="138" t="s">
        <v>369</v>
      </c>
      <c r="D3678" t="s">
        <v>5794</v>
      </c>
      <c r="E3678" t="s">
        <v>5813</v>
      </c>
      <c r="F3678" s="129" t="s">
        <v>5813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</v>
      </c>
      <c r="R3678" s="131" t="s">
        <v>489</v>
      </c>
      <c r="S3678" s="129"/>
    </row>
    <row r="3679" spans="1:19" hidden="1">
      <c r="A3679" s="135" t="s">
        <v>5777</v>
      </c>
      <c r="B3679" s="138" t="str">
        <f>IFERROR(VLOOKUP(Proc[[#This Row],[App]],Table2[],3,0),"open")</f>
        <v>ok</v>
      </c>
      <c r="C3679" s="138" t="s">
        <v>369</v>
      </c>
      <c r="D3679" t="s">
        <v>5795</v>
      </c>
      <c r="E3679" t="s">
        <v>5813</v>
      </c>
      <c r="F3679" s="129" t="s">
        <v>5813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</v>
      </c>
      <c r="R3679" s="131" t="s">
        <v>489</v>
      </c>
      <c r="S3679" s="129"/>
    </row>
    <row r="3680" spans="1:19" hidden="1">
      <c r="A3680" s="135" t="s">
        <v>5777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</v>
      </c>
      <c r="R3680" s="131" t="s">
        <v>489</v>
      </c>
      <c r="S3680" s="129"/>
    </row>
    <row r="3681" spans="1:19" hidden="1">
      <c r="A3681" s="135" t="s">
        <v>5777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</v>
      </c>
      <c r="R3681" s="131" t="s">
        <v>489</v>
      </c>
      <c r="S3681" s="129"/>
    </row>
    <row r="3682" spans="1:19" hidden="1">
      <c r="A3682" s="135" t="s">
        <v>5777</v>
      </c>
      <c r="B3682" s="138" t="str">
        <f>IFERROR(VLOOKUP(Proc[[#This Row],[App]],Table2[],3,0),"open")</f>
        <v>ok</v>
      </c>
      <c r="C3682" s="138" t="s">
        <v>369</v>
      </c>
      <c r="D3682" t="s">
        <v>5796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</v>
      </c>
      <c r="R3682" s="131" t="s">
        <v>489</v>
      </c>
      <c r="S3682" s="129"/>
    </row>
    <row r="3683" spans="1:19" hidden="1">
      <c r="A3683" s="135" t="s">
        <v>5777</v>
      </c>
      <c r="B3683" s="138" t="str">
        <f>IFERROR(VLOOKUP(Proc[[#This Row],[App]],Table2[],3,0),"open")</f>
        <v>ok</v>
      </c>
      <c r="C3683" s="138" t="s">
        <v>369</v>
      </c>
      <c r="D3683" t="s">
        <v>5797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</v>
      </c>
      <c r="R3683" s="131" t="s">
        <v>489</v>
      </c>
      <c r="S3683" s="129"/>
    </row>
    <row r="3684" spans="1:19" hidden="1">
      <c r="A3684" s="135" t="s">
        <v>5777</v>
      </c>
      <c r="B3684" s="138" t="str">
        <f>IFERROR(VLOOKUP(Proc[[#This Row],[App]],Table2[],3,0),"open")</f>
        <v>ok</v>
      </c>
      <c r="C3684" s="138" t="s">
        <v>369</v>
      </c>
      <c r="D3684" t="s">
        <v>5798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</v>
      </c>
      <c r="R3684" s="131" t="s">
        <v>489</v>
      </c>
      <c r="S3684" s="129"/>
    </row>
    <row r="3685" spans="1:19" hidden="1">
      <c r="A3685" s="135" t="s">
        <v>5777</v>
      </c>
      <c r="B3685" s="138" t="str">
        <f>IFERROR(VLOOKUP(Proc[[#This Row],[App]],Table2[],3,0),"open")</f>
        <v>ok</v>
      </c>
      <c r="C3685" s="138" t="s">
        <v>369</v>
      </c>
      <c r="D3685" t="s">
        <v>5799</v>
      </c>
      <c r="E3685" t="s">
        <v>5814</v>
      </c>
      <c r="F3685" s="129" t="s">
        <v>5814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</v>
      </c>
      <c r="R3685" s="131" t="s">
        <v>489</v>
      </c>
      <c r="S3685" s="129"/>
    </row>
    <row r="3686" spans="1:19" hidden="1">
      <c r="A3686" s="135" t="s">
        <v>5777</v>
      </c>
      <c r="B3686" s="138" t="str">
        <f>IFERROR(VLOOKUP(Proc[[#This Row],[App]],Table2[],3,0),"open")</f>
        <v>ok</v>
      </c>
      <c r="C3686" s="138" t="s">
        <v>369</v>
      </c>
      <c r="D3686" t="s">
        <v>5800</v>
      </c>
      <c r="E3686" t="s">
        <v>5815</v>
      </c>
      <c r="F3686" s="129" t="s">
        <v>5815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</v>
      </c>
      <c r="R3686" s="131" t="s">
        <v>489</v>
      </c>
      <c r="S3686" s="129"/>
    </row>
    <row r="3687" spans="1:19" hidden="1">
      <c r="A3687" s="135" t="s">
        <v>5777</v>
      </c>
      <c r="B3687" s="138" t="str">
        <f>IFERROR(VLOOKUP(Proc[[#This Row],[App]],Table2[],3,0),"open")</f>
        <v>ok</v>
      </c>
      <c r="C3687" s="138" t="s">
        <v>369</v>
      </c>
      <c r="D3687" t="s">
        <v>5801</v>
      </c>
      <c r="E3687" t="s">
        <v>5815</v>
      </c>
      <c r="F3687" s="129" t="s">
        <v>5815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</v>
      </c>
      <c r="R3687" s="131" t="s">
        <v>489</v>
      </c>
      <c r="S3687" s="129"/>
    </row>
    <row r="3688" spans="1:19" hidden="1">
      <c r="A3688" s="135" t="s">
        <v>5777</v>
      </c>
      <c r="B3688" s="138" t="str">
        <f>IFERROR(VLOOKUP(Proc[[#This Row],[App]],Table2[],3,0),"open")</f>
        <v>ok</v>
      </c>
      <c r="C3688" s="138" t="s">
        <v>369</v>
      </c>
      <c r="D3688" t="s">
        <v>5802</v>
      </c>
      <c r="E3688" t="s">
        <v>5816</v>
      </c>
      <c r="F3688" s="129" t="s">
        <v>5816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</v>
      </c>
      <c r="R3688" s="131" t="s">
        <v>489</v>
      </c>
      <c r="S3688" s="129"/>
    </row>
    <row r="3689" spans="1:19" hidden="1">
      <c r="A3689" s="135" t="s">
        <v>5777</v>
      </c>
      <c r="B3689" s="138" t="str">
        <f>IFERROR(VLOOKUP(Proc[[#This Row],[App]],Table2[],3,0),"open")</f>
        <v>ok</v>
      </c>
      <c r="C3689" s="138" t="s">
        <v>369</v>
      </c>
      <c r="D3689" t="s">
        <v>5803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</v>
      </c>
      <c r="R3689" s="131" t="s">
        <v>489</v>
      </c>
      <c r="S3689" s="129"/>
    </row>
    <row r="3690" spans="1:19" hidden="1">
      <c r="A3690" s="135" t="s">
        <v>5777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5817</v>
      </c>
      <c r="F3690" s="129" t="s">
        <v>5817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</v>
      </c>
      <c r="R3690" s="131" t="s">
        <v>489</v>
      </c>
      <c r="S3690" s="129"/>
    </row>
    <row r="3691" spans="1:19" hidden="1">
      <c r="A3691" s="135" t="s">
        <v>5777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</v>
      </c>
      <c r="R3691" s="131" t="s">
        <v>489</v>
      </c>
      <c r="S3691" s="129"/>
    </row>
    <row r="3692" spans="1:19" hidden="1">
      <c r="A3692" s="135" t="s">
        <v>5777</v>
      </c>
      <c r="B3692" s="138" t="str">
        <f>IFERROR(VLOOKUP(Proc[[#This Row],[App]],Table2[],3,0),"open")</f>
        <v>ok</v>
      </c>
      <c r="C3692" s="138" t="s">
        <v>369</v>
      </c>
      <c r="D3692" t="s">
        <v>5804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</v>
      </c>
      <c r="R3692" s="131" t="s">
        <v>489</v>
      </c>
      <c r="S3692" s="129"/>
    </row>
    <row r="3693" spans="1:19" hidden="1">
      <c r="A3693" s="135" t="s">
        <v>5777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</v>
      </c>
      <c r="R3693" s="131" t="s">
        <v>489</v>
      </c>
      <c r="S3693" s="129"/>
    </row>
    <row r="3694" spans="1:19" hidden="1">
      <c r="A3694" s="135" t="s">
        <v>5777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</v>
      </c>
      <c r="R3694" s="131" t="s">
        <v>489</v>
      </c>
      <c r="S3694" s="129"/>
    </row>
    <row r="3695" spans="1:19" hidden="1">
      <c r="A3695" s="135" t="s">
        <v>5777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</v>
      </c>
      <c r="R3695" s="131" t="s">
        <v>489</v>
      </c>
      <c r="S3695" s="129"/>
    </row>
    <row r="3696" spans="1:19" hidden="1">
      <c r="A3696" t="s">
        <v>5818</v>
      </c>
      <c r="B3696" s="138" t="str">
        <f>IFERROR(VLOOKUP(Proc[[#This Row],[App]],Table2[],3,0),"open")</f>
        <v>ok</v>
      </c>
      <c r="C3696" s="138" t="s">
        <v>369</v>
      </c>
      <c r="D3696" t="s">
        <v>5819</v>
      </c>
      <c r="E3696" t="s">
        <v>5851</v>
      </c>
      <c r="F3696" s="129" t="s">
        <v>5851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on track</v>
      </c>
      <c r="Q3696" s="3">
        <f ca="1">IF(Proc[[#This Row],[DateClosed]]="",ABS(NETWORKDAYS(Proc[[#This Row],[DateOpened]],TODAY()))-1,ABS(NETWORKDAYS(Proc[[#This Row],[DateOpened]],Proc[[#This Row],[DateClosed]]))-1)</f>
        <v>5</v>
      </c>
      <c r="R3696" s="131" t="s">
        <v>489</v>
      </c>
      <c r="S3696" s="129"/>
    </row>
    <row r="3697" spans="1:19" hidden="1">
      <c r="A3697" s="135" t="s">
        <v>5818</v>
      </c>
      <c r="B3697" s="138" t="str">
        <f>IFERROR(VLOOKUP(Proc[[#This Row],[App]],Table2[],3,0),"open")</f>
        <v>ok</v>
      </c>
      <c r="C3697" s="138" t="s">
        <v>369</v>
      </c>
      <c r="D3697" t="s">
        <v>5820</v>
      </c>
      <c r="E3697" t="s">
        <v>5851</v>
      </c>
      <c r="F3697" s="129" t="s">
        <v>5851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on track</v>
      </c>
      <c r="Q3697" s="3">
        <f ca="1">IF(Proc[[#This Row],[DateClosed]]="",ABS(NETWORKDAYS(Proc[[#This Row],[DateOpened]],TODAY()))-1,ABS(NETWORKDAYS(Proc[[#This Row],[DateOpened]],Proc[[#This Row],[DateClosed]]))-1)</f>
        <v>5</v>
      </c>
      <c r="R3697" s="131" t="s">
        <v>489</v>
      </c>
      <c r="S3697" s="129"/>
    </row>
    <row r="3698" spans="1:19" hidden="1">
      <c r="A3698" s="135" t="s">
        <v>5818</v>
      </c>
      <c r="B3698" s="138" t="str">
        <f>IFERROR(VLOOKUP(Proc[[#This Row],[App]],Table2[],3,0),"open")</f>
        <v>ok</v>
      </c>
      <c r="C3698" s="138" t="s">
        <v>369</v>
      </c>
      <c r="D3698" t="s">
        <v>5821</v>
      </c>
      <c r="E3698" t="s">
        <v>5852</v>
      </c>
      <c r="F3698" s="129" t="s">
        <v>5852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on track</v>
      </c>
      <c r="Q3698" s="3">
        <f ca="1">IF(Proc[[#This Row],[DateClosed]]="",ABS(NETWORKDAYS(Proc[[#This Row],[DateOpened]],TODAY()))-1,ABS(NETWORKDAYS(Proc[[#This Row],[DateOpened]],Proc[[#This Row],[DateClosed]]))-1)</f>
        <v>5</v>
      </c>
      <c r="R3698" s="131" t="s">
        <v>489</v>
      </c>
      <c r="S3698" s="129"/>
    </row>
    <row r="3699" spans="1:19" hidden="1">
      <c r="A3699" s="135" t="s">
        <v>5818</v>
      </c>
      <c r="B3699" s="138" t="str">
        <f>IFERROR(VLOOKUP(Proc[[#This Row],[App]],Table2[],3,0),"open")</f>
        <v>ok</v>
      </c>
      <c r="C3699" s="138" t="s">
        <v>369</v>
      </c>
      <c r="D3699" t="s">
        <v>5822</v>
      </c>
      <c r="E3699" t="s">
        <v>5853</v>
      </c>
      <c r="F3699" s="129" t="s">
        <v>5853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on track</v>
      </c>
      <c r="Q3699" s="3">
        <f ca="1">IF(Proc[[#This Row],[DateClosed]]="",ABS(NETWORKDAYS(Proc[[#This Row],[DateOpened]],TODAY()))-1,ABS(NETWORKDAYS(Proc[[#This Row],[DateOpened]],Proc[[#This Row],[DateClosed]]))-1)</f>
        <v>5</v>
      </c>
      <c r="R3699" s="131" t="s">
        <v>489</v>
      </c>
      <c r="S3699" s="129"/>
    </row>
    <row r="3700" spans="1:19" hidden="1">
      <c r="A3700" s="135" t="s">
        <v>5818</v>
      </c>
      <c r="B3700" s="138" t="str">
        <f>IFERROR(VLOOKUP(Proc[[#This Row],[App]],Table2[],3,0),"open")</f>
        <v>ok</v>
      </c>
      <c r="C3700" s="138" t="s">
        <v>369</v>
      </c>
      <c r="D3700" t="s">
        <v>5823</v>
      </c>
      <c r="E3700" t="s">
        <v>5853</v>
      </c>
      <c r="F3700" s="129" t="s">
        <v>5853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on track</v>
      </c>
      <c r="Q3700" s="3">
        <f ca="1">IF(Proc[[#This Row],[DateClosed]]="",ABS(NETWORKDAYS(Proc[[#This Row],[DateOpened]],TODAY()))-1,ABS(NETWORKDAYS(Proc[[#This Row],[DateOpened]],Proc[[#This Row],[DateClosed]]))-1)</f>
        <v>5</v>
      </c>
      <c r="R3700" s="131" t="s">
        <v>489</v>
      </c>
      <c r="S3700" s="129"/>
    </row>
    <row r="3701" spans="1:19" hidden="1">
      <c r="A3701" s="135" t="s">
        <v>5818</v>
      </c>
      <c r="B3701" s="138" t="str">
        <f>IFERROR(VLOOKUP(Proc[[#This Row],[App]],Table2[],3,0),"open")</f>
        <v>ok</v>
      </c>
      <c r="C3701" s="138" t="s">
        <v>369</v>
      </c>
      <c r="D3701" t="s">
        <v>5824</v>
      </c>
      <c r="E3701" t="s">
        <v>5853</v>
      </c>
      <c r="F3701" s="129" t="s">
        <v>5853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on track</v>
      </c>
      <c r="Q3701" s="3">
        <f ca="1">IF(Proc[[#This Row],[DateClosed]]="",ABS(NETWORKDAYS(Proc[[#This Row],[DateOpened]],TODAY()))-1,ABS(NETWORKDAYS(Proc[[#This Row],[DateOpened]],Proc[[#This Row],[DateClosed]]))-1)</f>
        <v>5</v>
      </c>
      <c r="R3701" s="131" t="s">
        <v>489</v>
      </c>
      <c r="S3701" s="129"/>
    </row>
    <row r="3702" spans="1:19" hidden="1">
      <c r="A3702" s="135" t="s">
        <v>5818</v>
      </c>
      <c r="B3702" s="138" t="str">
        <f>IFERROR(VLOOKUP(Proc[[#This Row],[App]],Table2[],3,0),"open")</f>
        <v>ok</v>
      </c>
      <c r="C3702" s="138" t="s">
        <v>369</v>
      </c>
      <c r="D3702" t="s">
        <v>5825</v>
      </c>
      <c r="E3702" t="s">
        <v>5853</v>
      </c>
      <c r="F3702" s="129" t="s">
        <v>5853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on track</v>
      </c>
      <c r="Q3702" s="3">
        <f ca="1">IF(Proc[[#This Row],[DateClosed]]="",ABS(NETWORKDAYS(Proc[[#This Row],[DateOpened]],TODAY()))-1,ABS(NETWORKDAYS(Proc[[#This Row],[DateOpened]],Proc[[#This Row],[DateClosed]]))-1)</f>
        <v>5</v>
      </c>
      <c r="R3702" s="131" t="s">
        <v>489</v>
      </c>
      <c r="S3702" s="129"/>
    </row>
    <row r="3703" spans="1:19" hidden="1">
      <c r="A3703" s="135" t="s">
        <v>5818</v>
      </c>
      <c r="B3703" s="138" t="str">
        <f>IFERROR(VLOOKUP(Proc[[#This Row],[App]],Table2[],3,0),"open")</f>
        <v>ok</v>
      </c>
      <c r="C3703" s="138" t="s">
        <v>369</v>
      </c>
      <c r="D3703" t="s">
        <v>5826</v>
      </c>
      <c r="E3703" t="s">
        <v>5853</v>
      </c>
      <c r="F3703" s="129" t="s">
        <v>5853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on track</v>
      </c>
      <c r="Q3703" s="3">
        <f ca="1">IF(Proc[[#This Row],[DateClosed]]="",ABS(NETWORKDAYS(Proc[[#This Row],[DateOpened]],TODAY()))-1,ABS(NETWORKDAYS(Proc[[#This Row],[DateOpened]],Proc[[#This Row],[DateClosed]]))-1)</f>
        <v>5</v>
      </c>
      <c r="R3703" s="131" t="s">
        <v>489</v>
      </c>
      <c r="S3703" s="129"/>
    </row>
    <row r="3704" spans="1:19" hidden="1">
      <c r="A3704" s="135" t="s">
        <v>5818</v>
      </c>
      <c r="B3704" s="138" t="str">
        <f>IFERROR(VLOOKUP(Proc[[#This Row],[App]],Table2[],3,0),"open")</f>
        <v>ok</v>
      </c>
      <c r="C3704" s="138" t="s">
        <v>369</v>
      </c>
      <c r="D3704" t="s">
        <v>5827</v>
      </c>
      <c r="E3704" t="s">
        <v>5853</v>
      </c>
      <c r="F3704" s="129" t="s">
        <v>5853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on track</v>
      </c>
      <c r="Q3704" s="3">
        <f ca="1">IF(Proc[[#This Row],[DateClosed]]="",ABS(NETWORKDAYS(Proc[[#This Row],[DateOpened]],TODAY()))-1,ABS(NETWORKDAYS(Proc[[#This Row],[DateOpened]],Proc[[#This Row],[DateClosed]]))-1)</f>
        <v>5</v>
      </c>
      <c r="R3704" s="131" t="s">
        <v>489</v>
      </c>
      <c r="S3704" s="129"/>
    </row>
    <row r="3705" spans="1:19" hidden="1">
      <c r="A3705" s="135" t="s">
        <v>5818</v>
      </c>
      <c r="B3705" s="138" t="str">
        <f>IFERROR(VLOOKUP(Proc[[#This Row],[App]],Table2[],3,0),"open")</f>
        <v>ok</v>
      </c>
      <c r="C3705" s="138" t="s">
        <v>369</v>
      </c>
      <c r="D3705" t="s">
        <v>5828</v>
      </c>
      <c r="E3705" t="s">
        <v>5853</v>
      </c>
      <c r="F3705" s="129" t="s">
        <v>5853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on track</v>
      </c>
      <c r="Q3705" s="3">
        <f ca="1">IF(Proc[[#This Row],[DateClosed]]="",ABS(NETWORKDAYS(Proc[[#This Row],[DateOpened]],TODAY()))-1,ABS(NETWORKDAYS(Proc[[#This Row],[DateOpened]],Proc[[#This Row],[DateClosed]]))-1)</f>
        <v>5</v>
      </c>
      <c r="R3705" s="131" t="s">
        <v>489</v>
      </c>
      <c r="S3705" s="129"/>
    </row>
    <row r="3706" spans="1:19" hidden="1">
      <c r="A3706" s="135" t="s">
        <v>5818</v>
      </c>
      <c r="B3706" s="138" t="str">
        <f>IFERROR(VLOOKUP(Proc[[#This Row],[App]],Table2[],3,0),"open")</f>
        <v>ok</v>
      </c>
      <c r="C3706" s="138" t="s">
        <v>369</v>
      </c>
      <c r="D3706" t="s">
        <v>5829</v>
      </c>
      <c r="E3706" t="s">
        <v>5853</v>
      </c>
      <c r="F3706" s="129" t="s">
        <v>5853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on track</v>
      </c>
      <c r="Q3706" s="3">
        <f ca="1">IF(Proc[[#This Row],[DateClosed]]="",ABS(NETWORKDAYS(Proc[[#This Row],[DateOpened]],TODAY()))-1,ABS(NETWORKDAYS(Proc[[#This Row],[DateOpened]],Proc[[#This Row],[DateClosed]]))-1)</f>
        <v>5</v>
      </c>
      <c r="R3706" s="131" t="s">
        <v>489</v>
      </c>
      <c r="S3706" s="129"/>
    </row>
    <row r="3707" spans="1:19" hidden="1">
      <c r="A3707" s="135" t="s">
        <v>5818</v>
      </c>
      <c r="B3707" s="138" t="str">
        <f>IFERROR(VLOOKUP(Proc[[#This Row],[App]],Table2[],3,0),"open")</f>
        <v>ok</v>
      </c>
      <c r="C3707" s="138" t="s">
        <v>369</v>
      </c>
      <c r="D3707" t="s">
        <v>5830</v>
      </c>
      <c r="E3707" t="s">
        <v>5853</v>
      </c>
      <c r="F3707" s="129" t="s">
        <v>5853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on track</v>
      </c>
      <c r="Q3707" s="3">
        <f ca="1">IF(Proc[[#This Row],[DateClosed]]="",ABS(NETWORKDAYS(Proc[[#This Row],[DateOpened]],TODAY()))-1,ABS(NETWORKDAYS(Proc[[#This Row],[DateOpened]],Proc[[#This Row],[DateClosed]]))-1)</f>
        <v>5</v>
      </c>
      <c r="R3707" s="131" t="s">
        <v>489</v>
      </c>
      <c r="S3707" s="129"/>
    </row>
    <row r="3708" spans="1:19" hidden="1">
      <c r="A3708" s="135" t="s">
        <v>5818</v>
      </c>
      <c r="B3708" s="138" t="str">
        <f>IFERROR(VLOOKUP(Proc[[#This Row],[App]],Table2[],3,0),"open")</f>
        <v>ok</v>
      </c>
      <c r="C3708" s="138" t="s">
        <v>369</v>
      </c>
      <c r="D3708" t="s">
        <v>5831</v>
      </c>
      <c r="E3708" t="s">
        <v>5853</v>
      </c>
      <c r="F3708" s="129" t="s">
        <v>5853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on track</v>
      </c>
      <c r="Q3708" s="3">
        <f ca="1">IF(Proc[[#This Row],[DateClosed]]="",ABS(NETWORKDAYS(Proc[[#This Row],[DateOpened]],TODAY()))-1,ABS(NETWORKDAYS(Proc[[#This Row],[DateOpened]],Proc[[#This Row],[DateClosed]]))-1)</f>
        <v>5</v>
      </c>
      <c r="R3708" s="131" t="s">
        <v>489</v>
      </c>
      <c r="S3708" s="129"/>
    </row>
    <row r="3709" spans="1:19" hidden="1">
      <c r="A3709" s="135" t="s">
        <v>5818</v>
      </c>
      <c r="B3709" s="138" t="str">
        <f>IFERROR(VLOOKUP(Proc[[#This Row],[App]],Table2[],3,0),"open")</f>
        <v>ok</v>
      </c>
      <c r="C3709" s="138" t="s">
        <v>369</v>
      </c>
      <c r="D3709" t="s">
        <v>5832</v>
      </c>
      <c r="E3709" t="s">
        <v>5853</v>
      </c>
      <c r="F3709" s="129" t="s">
        <v>5853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on track</v>
      </c>
      <c r="Q3709" s="3">
        <f ca="1">IF(Proc[[#This Row],[DateClosed]]="",ABS(NETWORKDAYS(Proc[[#This Row],[DateOpened]],TODAY()))-1,ABS(NETWORKDAYS(Proc[[#This Row],[DateOpened]],Proc[[#This Row],[DateClosed]]))-1)</f>
        <v>5</v>
      </c>
      <c r="R3709" s="131" t="s">
        <v>489</v>
      </c>
      <c r="S3709" s="129"/>
    </row>
    <row r="3710" spans="1:19" hidden="1">
      <c r="A3710" s="135" t="s">
        <v>5818</v>
      </c>
      <c r="B3710" s="138" t="str">
        <f>IFERROR(VLOOKUP(Proc[[#This Row],[App]],Table2[],3,0),"open")</f>
        <v>ok</v>
      </c>
      <c r="C3710" s="138" t="s">
        <v>369</v>
      </c>
      <c r="D3710" t="s">
        <v>5833</v>
      </c>
      <c r="E3710" t="s">
        <v>5853</v>
      </c>
      <c r="F3710" s="129" t="s">
        <v>5853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on track</v>
      </c>
      <c r="Q3710" s="3">
        <f ca="1">IF(Proc[[#This Row],[DateClosed]]="",ABS(NETWORKDAYS(Proc[[#This Row],[DateOpened]],TODAY()))-1,ABS(NETWORKDAYS(Proc[[#This Row],[DateOpened]],Proc[[#This Row],[DateClosed]]))-1)</f>
        <v>5</v>
      </c>
      <c r="R3710" s="131" t="s">
        <v>489</v>
      </c>
      <c r="S3710" s="129"/>
    </row>
    <row r="3711" spans="1:19" hidden="1">
      <c r="A3711" s="135" t="s">
        <v>5818</v>
      </c>
      <c r="B3711" s="138" t="str">
        <f>IFERROR(VLOOKUP(Proc[[#This Row],[App]],Table2[],3,0),"open")</f>
        <v>ok</v>
      </c>
      <c r="C3711" s="138" t="s">
        <v>369</v>
      </c>
      <c r="D3711" t="s">
        <v>5834</v>
      </c>
      <c r="E3711" t="s">
        <v>5853</v>
      </c>
      <c r="F3711" s="129" t="s">
        <v>5853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on track</v>
      </c>
      <c r="Q3711" s="3">
        <f ca="1">IF(Proc[[#This Row],[DateClosed]]="",ABS(NETWORKDAYS(Proc[[#This Row],[DateOpened]],TODAY()))-1,ABS(NETWORKDAYS(Proc[[#This Row],[DateOpened]],Proc[[#This Row],[DateClosed]]))-1)</f>
        <v>5</v>
      </c>
      <c r="R3711" s="131" t="s">
        <v>489</v>
      </c>
      <c r="S3711" s="129"/>
    </row>
    <row r="3712" spans="1:19" hidden="1">
      <c r="A3712" s="135" t="s">
        <v>5818</v>
      </c>
      <c r="B3712" s="138" t="str">
        <f>IFERROR(VLOOKUP(Proc[[#This Row],[App]],Table2[],3,0),"open")</f>
        <v>ok</v>
      </c>
      <c r="C3712" s="138" t="s">
        <v>369</v>
      </c>
      <c r="D3712" t="s">
        <v>5835</v>
      </c>
      <c r="E3712" t="s">
        <v>5853</v>
      </c>
      <c r="F3712" s="129" t="s">
        <v>5853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on track</v>
      </c>
      <c r="Q3712" s="3">
        <f ca="1">IF(Proc[[#This Row],[DateClosed]]="",ABS(NETWORKDAYS(Proc[[#This Row],[DateOpened]],TODAY()))-1,ABS(NETWORKDAYS(Proc[[#This Row],[DateOpened]],Proc[[#This Row],[DateClosed]]))-1)</f>
        <v>5</v>
      </c>
      <c r="R3712" s="131" t="s">
        <v>489</v>
      </c>
      <c r="S3712" s="129"/>
    </row>
    <row r="3713" spans="1:19" hidden="1">
      <c r="A3713" s="135" t="s">
        <v>5818</v>
      </c>
      <c r="B3713" s="138" t="str">
        <f>IFERROR(VLOOKUP(Proc[[#This Row],[App]],Table2[],3,0),"open")</f>
        <v>ok</v>
      </c>
      <c r="C3713" s="138" t="s">
        <v>369</v>
      </c>
      <c r="D3713" t="s">
        <v>5827</v>
      </c>
      <c r="E3713" t="s">
        <v>5853</v>
      </c>
      <c r="F3713" s="129" t="s">
        <v>5853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on track</v>
      </c>
      <c r="Q3713" s="3">
        <f ca="1">IF(Proc[[#This Row],[DateClosed]]="",ABS(NETWORKDAYS(Proc[[#This Row],[DateOpened]],TODAY()))-1,ABS(NETWORKDAYS(Proc[[#This Row],[DateOpened]],Proc[[#This Row],[DateClosed]]))-1)</f>
        <v>5</v>
      </c>
      <c r="R3713" s="131" t="s">
        <v>489</v>
      </c>
      <c r="S3713" s="129"/>
    </row>
    <row r="3714" spans="1:19" hidden="1">
      <c r="A3714" s="135" t="s">
        <v>5818</v>
      </c>
      <c r="B3714" s="138" t="str">
        <f>IFERROR(VLOOKUP(Proc[[#This Row],[App]],Table2[],3,0),"open")</f>
        <v>ok</v>
      </c>
      <c r="C3714" s="138" t="s">
        <v>369</v>
      </c>
      <c r="D3714" t="s">
        <v>5836</v>
      </c>
      <c r="E3714" t="s">
        <v>5853</v>
      </c>
      <c r="F3714" s="129" t="s">
        <v>5853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on track</v>
      </c>
      <c r="Q3714" s="3">
        <f ca="1">IF(Proc[[#This Row],[DateClosed]]="",ABS(NETWORKDAYS(Proc[[#This Row],[DateOpened]],TODAY()))-1,ABS(NETWORKDAYS(Proc[[#This Row],[DateOpened]],Proc[[#This Row],[DateClosed]]))-1)</f>
        <v>5</v>
      </c>
      <c r="R3714" s="131" t="s">
        <v>489</v>
      </c>
      <c r="S3714" s="129"/>
    </row>
    <row r="3715" spans="1:19" hidden="1">
      <c r="A3715" s="135" t="s">
        <v>5818</v>
      </c>
      <c r="B3715" s="138" t="str">
        <f>IFERROR(VLOOKUP(Proc[[#This Row],[App]],Table2[],3,0),"open")</f>
        <v>ok</v>
      </c>
      <c r="C3715" s="138" t="s">
        <v>369</v>
      </c>
      <c r="D3715" t="s">
        <v>5837</v>
      </c>
      <c r="E3715" t="s">
        <v>5853</v>
      </c>
      <c r="F3715" s="129" t="s">
        <v>5853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on track</v>
      </c>
      <c r="Q3715" s="3">
        <f ca="1">IF(Proc[[#This Row],[DateClosed]]="",ABS(NETWORKDAYS(Proc[[#This Row],[DateOpened]],TODAY()))-1,ABS(NETWORKDAYS(Proc[[#This Row],[DateOpened]],Proc[[#This Row],[DateClosed]]))-1)</f>
        <v>5</v>
      </c>
      <c r="R3715" s="131" t="s">
        <v>489</v>
      </c>
      <c r="S3715" s="129"/>
    </row>
    <row r="3716" spans="1:19" hidden="1">
      <c r="A3716" s="135" t="s">
        <v>5818</v>
      </c>
      <c r="B3716" s="138" t="str">
        <f>IFERROR(VLOOKUP(Proc[[#This Row],[App]],Table2[],3,0),"open")</f>
        <v>ok</v>
      </c>
      <c r="C3716" s="138" t="s">
        <v>369</v>
      </c>
      <c r="D3716" t="s">
        <v>5838</v>
      </c>
      <c r="E3716" t="s">
        <v>5854</v>
      </c>
      <c r="F3716" s="129" t="s">
        <v>5854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on track</v>
      </c>
      <c r="Q3716" s="3">
        <f ca="1">IF(Proc[[#This Row],[DateClosed]]="",ABS(NETWORKDAYS(Proc[[#This Row],[DateOpened]],TODAY()))-1,ABS(NETWORKDAYS(Proc[[#This Row],[DateOpened]],Proc[[#This Row],[DateClosed]]))-1)</f>
        <v>5</v>
      </c>
      <c r="R3716" s="131" t="s">
        <v>489</v>
      </c>
      <c r="S3716" s="129"/>
    </row>
    <row r="3717" spans="1:19" hidden="1">
      <c r="A3717" s="135" t="s">
        <v>5818</v>
      </c>
      <c r="B3717" s="138" t="str">
        <f>IFERROR(VLOOKUP(Proc[[#This Row],[App]],Table2[],3,0),"open")</f>
        <v>ok</v>
      </c>
      <c r="C3717" s="138" t="s">
        <v>369</v>
      </c>
      <c r="D3717" t="s">
        <v>5839</v>
      </c>
      <c r="E3717" t="s">
        <v>5855</v>
      </c>
      <c r="F3717" s="129" t="s">
        <v>5855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on track</v>
      </c>
      <c r="Q3717" s="3">
        <f ca="1">IF(Proc[[#This Row],[DateClosed]]="",ABS(NETWORKDAYS(Proc[[#This Row],[DateOpened]],TODAY()))-1,ABS(NETWORKDAYS(Proc[[#This Row],[DateOpened]],Proc[[#This Row],[DateClosed]]))-1)</f>
        <v>5</v>
      </c>
      <c r="R3717" s="131" t="s">
        <v>489</v>
      </c>
      <c r="S3717" s="129"/>
    </row>
    <row r="3718" spans="1:19" hidden="1">
      <c r="A3718" s="135" t="s">
        <v>5818</v>
      </c>
      <c r="B3718" s="138" t="str">
        <f>IFERROR(VLOOKUP(Proc[[#This Row],[App]],Table2[],3,0),"open")</f>
        <v>ok</v>
      </c>
      <c r="C3718" s="138" t="s">
        <v>369</v>
      </c>
      <c r="D3718" t="s">
        <v>5840</v>
      </c>
      <c r="E3718" t="s">
        <v>5853</v>
      </c>
      <c r="F3718" s="129" t="s">
        <v>5853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on track</v>
      </c>
      <c r="Q3718" s="3">
        <f ca="1">IF(Proc[[#This Row],[DateClosed]]="",ABS(NETWORKDAYS(Proc[[#This Row],[DateOpened]],TODAY()))-1,ABS(NETWORKDAYS(Proc[[#This Row],[DateOpened]],Proc[[#This Row],[DateClosed]]))-1)</f>
        <v>5</v>
      </c>
      <c r="R3718" s="131" t="s">
        <v>489</v>
      </c>
      <c r="S3718" s="129"/>
    </row>
    <row r="3719" spans="1:19" hidden="1">
      <c r="A3719" s="135" t="s">
        <v>5818</v>
      </c>
      <c r="B3719" s="138" t="str">
        <f>IFERROR(VLOOKUP(Proc[[#This Row],[App]],Table2[],3,0),"open")</f>
        <v>ok</v>
      </c>
      <c r="C3719" s="138" t="s">
        <v>369</v>
      </c>
      <c r="D3719" t="s">
        <v>5841</v>
      </c>
      <c r="E3719" t="s">
        <v>5853</v>
      </c>
      <c r="F3719" s="129" t="s">
        <v>5853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on track</v>
      </c>
      <c r="Q3719" s="3">
        <f ca="1">IF(Proc[[#This Row],[DateClosed]]="",ABS(NETWORKDAYS(Proc[[#This Row],[DateOpened]],TODAY()))-1,ABS(NETWORKDAYS(Proc[[#This Row],[DateOpened]],Proc[[#This Row],[DateClosed]]))-1)</f>
        <v>5</v>
      </c>
      <c r="R3719" s="131" t="s">
        <v>489</v>
      </c>
      <c r="S3719" s="129"/>
    </row>
    <row r="3720" spans="1:19" hidden="1">
      <c r="A3720" s="135" t="s">
        <v>5818</v>
      </c>
      <c r="B3720" s="138" t="str">
        <f>IFERROR(VLOOKUP(Proc[[#This Row],[App]],Table2[],3,0),"open")</f>
        <v>ok</v>
      </c>
      <c r="C3720" s="138" t="s">
        <v>369</v>
      </c>
      <c r="D3720" t="s">
        <v>5831</v>
      </c>
      <c r="E3720" t="s">
        <v>5853</v>
      </c>
      <c r="F3720" s="129" t="s">
        <v>5853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on track</v>
      </c>
      <c r="Q3720" s="3">
        <f ca="1">IF(Proc[[#This Row],[DateClosed]]="",ABS(NETWORKDAYS(Proc[[#This Row],[DateOpened]],TODAY()))-1,ABS(NETWORKDAYS(Proc[[#This Row],[DateOpened]],Proc[[#This Row],[DateClosed]]))-1)</f>
        <v>5</v>
      </c>
      <c r="R3720" s="131" t="s">
        <v>489</v>
      </c>
      <c r="S3720" s="129"/>
    </row>
    <row r="3721" spans="1:19" hidden="1">
      <c r="A3721" s="135" t="s">
        <v>5818</v>
      </c>
      <c r="B3721" s="138" t="str">
        <f>IFERROR(VLOOKUP(Proc[[#This Row],[App]],Table2[],3,0),"open")</f>
        <v>ok</v>
      </c>
      <c r="C3721" s="138" t="s">
        <v>369</v>
      </c>
      <c r="D3721" t="s">
        <v>5842</v>
      </c>
      <c r="E3721" t="s">
        <v>5853</v>
      </c>
      <c r="F3721" s="129" t="s">
        <v>5853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on track</v>
      </c>
      <c r="Q3721" s="3">
        <f ca="1">IF(Proc[[#This Row],[DateClosed]]="",ABS(NETWORKDAYS(Proc[[#This Row],[DateOpened]],TODAY()))-1,ABS(NETWORKDAYS(Proc[[#This Row],[DateOpened]],Proc[[#This Row],[DateClosed]]))-1)</f>
        <v>5</v>
      </c>
      <c r="R3721" s="131" t="s">
        <v>489</v>
      </c>
      <c r="S3721" s="129"/>
    </row>
    <row r="3722" spans="1:19" hidden="1">
      <c r="A3722" s="135" t="s">
        <v>5818</v>
      </c>
      <c r="B3722" s="138" t="str">
        <f>IFERROR(VLOOKUP(Proc[[#This Row],[App]],Table2[],3,0),"open")</f>
        <v>ok</v>
      </c>
      <c r="C3722" s="138" t="s">
        <v>369</v>
      </c>
      <c r="D3722" t="s">
        <v>5843</v>
      </c>
      <c r="E3722" t="s">
        <v>5853</v>
      </c>
      <c r="F3722" s="129" t="s">
        <v>5853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on track</v>
      </c>
      <c r="Q3722" s="3">
        <f ca="1">IF(Proc[[#This Row],[DateClosed]]="",ABS(NETWORKDAYS(Proc[[#This Row],[DateOpened]],TODAY()))-1,ABS(NETWORKDAYS(Proc[[#This Row],[DateOpened]],Proc[[#This Row],[DateClosed]]))-1)</f>
        <v>5</v>
      </c>
      <c r="R3722" s="131" t="s">
        <v>489</v>
      </c>
      <c r="S3722" s="129"/>
    </row>
    <row r="3723" spans="1:19" hidden="1">
      <c r="A3723" s="135" t="s">
        <v>5818</v>
      </c>
      <c r="B3723" s="138" t="str">
        <f>IFERROR(VLOOKUP(Proc[[#This Row],[App]],Table2[],3,0),"open")</f>
        <v>ok</v>
      </c>
      <c r="C3723" s="138" t="s">
        <v>369</v>
      </c>
      <c r="D3723" t="s">
        <v>5833</v>
      </c>
      <c r="E3723" t="s">
        <v>5853</v>
      </c>
      <c r="F3723" s="129" t="s">
        <v>5853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on track</v>
      </c>
      <c r="Q3723" s="3">
        <f ca="1">IF(Proc[[#This Row],[DateClosed]]="",ABS(NETWORKDAYS(Proc[[#This Row],[DateOpened]],TODAY()))-1,ABS(NETWORKDAYS(Proc[[#This Row],[DateOpened]],Proc[[#This Row],[DateClosed]]))-1)</f>
        <v>5</v>
      </c>
      <c r="R3723" s="131" t="s">
        <v>489</v>
      </c>
      <c r="S3723" s="129"/>
    </row>
    <row r="3724" spans="1:19" hidden="1">
      <c r="A3724" s="135" t="s">
        <v>5818</v>
      </c>
      <c r="B3724" s="138" t="str">
        <f>IFERROR(VLOOKUP(Proc[[#This Row],[App]],Table2[],3,0),"open")</f>
        <v>ok</v>
      </c>
      <c r="C3724" s="138" t="s">
        <v>369</v>
      </c>
      <c r="D3724" t="s">
        <v>5844</v>
      </c>
      <c r="E3724" t="s">
        <v>5853</v>
      </c>
      <c r="F3724" s="129" t="s">
        <v>5853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on track</v>
      </c>
      <c r="Q3724" s="3">
        <f ca="1">IF(Proc[[#This Row],[DateClosed]]="",ABS(NETWORKDAYS(Proc[[#This Row],[DateOpened]],TODAY()))-1,ABS(NETWORKDAYS(Proc[[#This Row],[DateOpened]],Proc[[#This Row],[DateClosed]]))-1)</f>
        <v>5</v>
      </c>
      <c r="R3724" s="131" t="s">
        <v>489</v>
      </c>
      <c r="S3724" s="129"/>
    </row>
    <row r="3725" spans="1:19" hidden="1">
      <c r="A3725" s="135" t="s">
        <v>5818</v>
      </c>
      <c r="B3725" s="138" t="str">
        <f>IFERROR(VLOOKUP(Proc[[#This Row],[App]],Table2[],3,0),"open")</f>
        <v>ok</v>
      </c>
      <c r="C3725" s="138" t="s">
        <v>369</v>
      </c>
      <c r="D3725" t="s">
        <v>5823</v>
      </c>
      <c r="E3725" t="s">
        <v>5853</v>
      </c>
      <c r="F3725" s="129" t="s">
        <v>5853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on track</v>
      </c>
      <c r="Q3725" s="3">
        <f ca="1">IF(Proc[[#This Row],[DateClosed]]="",ABS(NETWORKDAYS(Proc[[#This Row],[DateOpened]],TODAY()))-1,ABS(NETWORKDAYS(Proc[[#This Row],[DateOpened]],Proc[[#This Row],[DateClosed]]))-1)</f>
        <v>5</v>
      </c>
      <c r="R3725" s="131" t="s">
        <v>489</v>
      </c>
      <c r="S3725" s="129"/>
    </row>
    <row r="3726" spans="1:19" hidden="1">
      <c r="A3726" s="135" t="s">
        <v>5818</v>
      </c>
      <c r="B3726" s="138" t="str">
        <f>IFERROR(VLOOKUP(Proc[[#This Row],[App]],Table2[],3,0),"open")</f>
        <v>ok</v>
      </c>
      <c r="C3726" s="138" t="s">
        <v>369</v>
      </c>
      <c r="D3726" t="s">
        <v>5845</v>
      </c>
      <c r="E3726" t="s">
        <v>5853</v>
      </c>
      <c r="F3726" s="129" t="s">
        <v>5853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on track</v>
      </c>
      <c r="Q3726" s="3">
        <f ca="1">IF(Proc[[#This Row],[DateClosed]]="",ABS(NETWORKDAYS(Proc[[#This Row],[DateOpened]],TODAY()))-1,ABS(NETWORKDAYS(Proc[[#This Row],[DateOpened]],Proc[[#This Row],[DateClosed]]))-1)</f>
        <v>5</v>
      </c>
      <c r="R3726" s="131" t="s">
        <v>489</v>
      </c>
      <c r="S3726" s="129"/>
    </row>
    <row r="3727" spans="1:19" hidden="1">
      <c r="A3727" s="135" t="s">
        <v>5818</v>
      </c>
      <c r="B3727" s="138" t="str">
        <f>IFERROR(VLOOKUP(Proc[[#This Row],[App]],Table2[],3,0),"open")</f>
        <v>ok</v>
      </c>
      <c r="C3727" s="138" t="s">
        <v>369</v>
      </c>
      <c r="D3727" t="s">
        <v>5846</v>
      </c>
      <c r="E3727" t="s">
        <v>5853</v>
      </c>
      <c r="F3727" s="129" t="s">
        <v>5853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on track</v>
      </c>
      <c r="Q3727" s="3">
        <f ca="1">IF(Proc[[#This Row],[DateClosed]]="",ABS(NETWORKDAYS(Proc[[#This Row],[DateOpened]],TODAY()))-1,ABS(NETWORKDAYS(Proc[[#This Row],[DateOpened]],Proc[[#This Row],[DateClosed]]))-1)</f>
        <v>5</v>
      </c>
      <c r="R3727" s="131" t="s">
        <v>489</v>
      </c>
      <c r="S3727" s="129"/>
    </row>
    <row r="3728" spans="1:19" hidden="1">
      <c r="A3728" s="135" t="s">
        <v>5818</v>
      </c>
      <c r="B3728" s="138" t="str">
        <f>IFERROR(VLOOKUP(Proc[[#This Row],[App]],Table2[],3,0),"open")</f>
        <v>ok</v>
      </c>
      <c r="C3728" s="138" t="s">
        <v>369</v>
      </c>
      <c r="D3728" t="s">
        <v>5847</v>
      </c>
      <c r="E3728" t="s">
        <v>5856</v>
      </c>
      <c r="F3728" s="129" t="s">
        <v>5856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on track</v>
      </c>
      <c r="Q3728" s="3">
        <f ca="1">IF(Proc[[#This Row],[DateClosed]]="",ABS(NETWORKDAYS(Proc[[#This Row],[DateOpened]],TODAY()))-1,ABS(NETWORKDAYS(Proc[[#This Row],[DateOpened]],Proc[[#This Row],[DateClosed]]))-1)</f>
        <v>5</v>
      </c>
      <c r="R3728" s="131" t="s">
        <v>489</v>
      </c>
      <c r="S3728" s="129"/>
    </row>
    <row r="3729" spans="1:19" hidden="1">
      <c r="A3729" s="135" t="s">
        <v>5818</v>
      </c>
      <c r="B3729" s="138" t="str">
        <f>IFERROR(VLOOKUP(Proc[[#This Row],[App]],Table2[],3,0),"open")</f>
        <v>ok</v>
      </c>
      <c r="C3729" s="138" t="s">
        <v>369</v>
      </c>
      <c r="D3729" t="s">
        <v>5848</v>
      </c>
      <c r="E3729" t="s">
        <v>5853</v>
      </c>
      <c r="F3729" s="129" t="s">
        <v>5853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on track</v>
      </c>
      <c r="Q3729" s="3">
        <f ca="1">IF(Proc[[#This Row],[DateClosed]]="",ABS(NETWORKDAYS(Proc[[#This Row],[DateOpened]],TODAY()))-1,ABS(NETWORKDAYS(Proc[[#This Row],[DateOpened]],Proc[[#This Row],[DateClosed]]))-1)</f>
        <v>5</v>
      </c>
      <c r="R3729" s="131" t="s">
        <v>489</v>
      </c>
      <c r="S3729" s="129"/>
    </row>
    <row r="3730" spans="1:19" hidden="1">
      <c r="A3730" s="135" t="s">
        <v>5818</v>
      </c>
      <c r="B3730" s="138" t="str">
        <f>IFERROR(VLOOKUP(Proc[[#This Row],[App]],Table2[],3,0),"open")</f>
        <v>ok</v>
      </c>
      <c r="C3730" s="138" t="s">
        <v>369</v>
      </c>
      <c r="D3730" t="s">
        <v>5849</v>
      </c>
      <c r="E3730" t="s">
        <v>5857</v>
      </c>
      <c r="F3730" s="129" t="s">
        <v>5857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on track</v>
      </c>
      <c r="Q3730" s="3">
        <f ca="1">IF(Proc[[#This Row],[DateClosed]]="",ABS(NETWORKDAYS(Proc[[#This Row],[DateOpened]],TODAY()))-1,ABS(NETWORKDAYS(Proc[[#This Row],[DateOpened]],Proc[[#This Row],[DateClosed]]))-1)</f>
        <v>5</v>
      </c>
      <c r="R3730" s="131" t="s">
        <v>489</v>
      </c>
      <c r="S3730" s="129"/>
    </row>
    <row r="3731" spans="1:19" hidden="1">
      <c r="A3731" s="135" t="s">
        <v>5818</v>
      </c>
      <c r="B3731" s="138" t="str">
        <f>IFERROR(VLOOKUP(Proc[[#This Row],[App]],Table2[],3,0),"open")</f>
        <v>ok</v>
      </c>
      <c r="C3731" s="138" t="s">
        <v>369</v>
      </c>
      <c r="D3731" t="s">
        <v>5850</v>
      </c>
      <c r="E3731" t="s">
        <v>5857</v>
      </c>
      <c r="F3731" s="129" t="s">
        <v>5857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on track</v>
      </c>
      <c r="Q3731" s="3">
        <f ca="1">IF(Proc[[#This Row],[DateClosed]]="",ABS(NETWORKDAYS(Proc[[#This Row],[DateOpened]],TODAY()))-1,ABS(NETWORKDAYS(Proc[[#This Row],[DateOpened]],Proc[[#This Row],[DateClosed]]))-1)</f>
        <v>5</v>
      </c>
      <c r="R3731" s="131" t="s">
        <v>489</v>
      </c>
      <c r="S3731" s="129"/>
    </row>
    <row r="3732" spans="1:19" hidden="1">
      <c r="A3732" t="s">
        <v>5858</v>
      </c>
      <c r="B3732" s="138" t="str">
        <f>IFERROR(VLOOKUP(Proc[[#This Row],[App]],Table2[],3,0),"open")</f>
        <v>ok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on track</v>
      </c>
      <c r="Q3732" s="3">
        <f ca="1">IF(Proc[[#This Row],[DateClosed]]="",ABS(NETWORKDAYS(Proc[[#This Row],[DateOpened]],TODAY()))-1,ABS(NETWORKDAYS(Proc[[#This Row],[DateOpened]],Proc[[#This Row],[DateClosed]]))-1)</f>
        <v>5</v>
      </c>
      <c r="R3732" s="131" t="s">
        <v>489</v>
      </c>
      <c r="S3732" s="129"/>
    </row>
    <row r="3733" spans="1:19" hidden="1">
      <c r="A3733" s="135" t="s">
        <v>5858</v>
      </c>
      <c r="B3733" s="138" t="str">
        <f>IFERROR(VLOOKUP(Proc[[#This Row],[App]],Table2[],3,0),"open")</f>
        <v>ok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on track</v>
      </c>
      <c r="Q3733" s="3">
        <f ca="1">IF(Proc[[#This Row],[DateClosed]]="",ABS(NETWORKDAYS(Proc[[#This Row],[DateOpened]],TODAY()))-1,ABS(NETWORKDAYS(Proc[[#This Row],[DateOpened]],Proc[[#This Row],[DateClosed]]))-1)</f>
        <v>5</v>
      </c>
      <c r="R3733" s="131" t="s">
        <v>489</v>
      </c>
      <c r="S3733" s="129"/>
    </row>
    <row r="3734" spans="1:19" hidden="1">
      <c r="A3734" t="s">
        <v>5859</v>
      </c>
      <c r="B3734" s="138" t="str">
        <f>IFERROR(VLOOKUP(Proc[[#This Row],[App]],Table2[],3,0),"open")</f>
        <v>ok</v>
      </c>
      <c r="C3734" s="138" t="s">
        <v>369</v>
      </c>
      <c r="D3734" t="s">
        <v>5860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on track</v>
      </c>
      <c r="Q3734" s="3">
        <f ca="1">IF(Proc[[#This Row],[DateClosed]]="",ABS(NETWORKDAYS(Proc[[#This Row],[DateOpened]],TODAY()))-1,ABS(NETWORKDAYS(Proc[[#This Row],[DateOpened]],Proc[[#This Row],[DateClosed]]))-1)</f>
        <v>5</v>
      </c>
      <c r="R3734" s="136" t="s">
        <v>1013</v>
      </c>
      <c r="S3734" s="129"/>
    </row>
    <row r="3735" spans="1:19" hidden="1">
      <c r="A3735" s="135" t="s">
        <v>5859</v>
      </c>
      <c r="B3735" s="138" t="str">
        <f>IFERROR(VLOOKUP(Proc[[#This Row],[App]],Table2[],3,0),"open")</f>
        <v>ok</v>
      </c>
      <c r="C3735" s="138" t="s">
        <v>369</v>
      </c>
      <c r="D3735" t="s">
        <v>5861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on track</v>
      </c>
      <c r="Q3735" s="3">
        <f ca="1">IF(Proc[[#This Row],[DateClosed]]="",ABS(NETWORKDAYS(Proc[[#This Row],[DateOpened]],TODAY()))-1,ABS(NETWORKDAYS(Proc[[#This Row],[DateOpened]],Proc[[#This Row],[DateClosed]]))-1)</f>
        <v>5</v>
      </c>
      <c r="R3735" s="136" t="s">
        <v>1013</v>
      </c>
      <c r="S3735" s="129"/>
    </row>
    <row r="3736" spans="1:19" hidden="1">
      <c r="A3736" s="135" t="s">
        <v>5859</v>
      </c>
      <c r="B3736" s="138" t="str">
        <f>IFERROR(VLOOKUP(Proc[[#This Row],[App]],Table2[],3,0),"open")</f>
        <v>ok</v>
      </c>
      <c r="C3736" s="138" t="s">
        <v>369</v>
      </c>
      <c r="D3736" t="s">
        <v>5862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on track</v>
      </c>
      <c r="Q3736" s="3">
        <f ca="1">IF(Proc[[#This Row],[DateClosed]]="",ABS(NETWORKDAYS(Proc[[#This Row],[DateOpened]],TODAY()))-1,ABS(NETWORKDAYS(Proc[[#This Row],[DateOpened]],Proc[[#This Row],[DateClosed]]))-1)</f>
        <v>5</v>
      </c>
      <c r="R3736" s="136" t="s">
        <v>1013</v>
      </c>
      <c r="S3736" s="129"/>
    </row>
    <row r="3737" spans="1:19" hidden="1">
      <c r="A3737" s="135" t="s">
        <v>5859</v>
      </c>
      <c r="B3737" s="138" t="str">
        <f>IFERROR(VLOOKUP(Proc[[#This Row],[App]],Table2[],3,0),"open")</f>
        <v>ok</v>
      </c>
      <c r="C3737" s="138" t="s">
        <v>369</v>
      </c>
      <c r="D3737" t="s">
        <v>5863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on track</v>
      </c>
      <c r="Q3737" s="3">
        <f ca="1">IF(Proc[[#This Row],[DateClosed]]="",ABS(NETWORKDAYS(Proc[[#This Row],[DateOpened]],TODAY()))-1,ABS(NETWORKDAYS(Proc[[#This Row],[DateOpened]],Proc[[#This Row],[DateClosed]]))-1)</f>
        <v>5</v>
      </c>
      <c r="R3737" s="136" t="s">
        <v>1013</v>
      </c>
      <c r="S3737" s="129"/>
    </row>
    <row r="3738" spans="1:19" hidden="1">
      <c r="A3738" s="135" t="s">
        <v>5859</v>
      </c>
      <c r="B3738" s="138" t="str">
        <f>IFERROR(VLOOKUP(Proc[[#This Row],[App]],Table2[],3,0),"open")</f>
        <v>ok</v>
      </c>
      <c r="C3738" s="138" t="s">
        <v>369</v>
      </c>
      <c r="D3738" t="s">
        <v>5864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on track</v>
      </c>
      <c r="Q3738" s="3">
        <f ca="1">IF(Proc[[#This Row],[DateClosed]]="",ABS(NETWORKDAYS(Proc[[#This Row],[DateOpened]],TODAY()))-1,ABS(NETWORKDAYS(Proc[[#This Row],[DateOpened]],Proc[[#This Row],[DateClosed]]))-1)</f>
        <v>5</v>
      </c>
      <c r="R3738" s="136" t="s">
        <v>1013</v>
      </c>
      <c r="S3738" s="129"/>
    </row>
    <row r="3739" spans="1:19" hidden="1">
      <c r="A3739" s="135" t="s">
        <v>5859</v>
      </c>
      <c r="B3739" s="138" t="str">
        <f>IFERROR(VLOOKUP(Proc[[#This Row],[App]],Table2[],3,0),"open")</f>
        <v>ok</v>
      </c>
      <c r="C3739" s="138" t="s">
        <v>369</v>
      </c>
      <c r="D3739" t="s">
        <v>5865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on track</v>
      </c>
      <c r="Q3739" s="3">
        <f ca="1">IF(Proc[[#This Row],[DateClosed]]="",ABS(NETWORKDAYS(Proc[[#This Row],[DateOpened]],TODAY()))-1,ABS(NETWORKDAYS(Proc[[#This Row],[DateOpened]],Proc[[#This Row],[DateClosed]]))-1)</f>
        <v>5</v>
      </c>
      <c r="R3739" s="136" t="s">
        <v>1013</v>
      </c>
      <c r="S3739" s="129"/>
    </row>
    <row r="3740" spans="1:19" hidden="1">
      <c r="A3740" s="135" t="s">
        <v>5859</v>
      </c>
      <c r="B3740" s="138" t="str">
        <f>IFERROR(VLOOKUP(Proc[[#This Row],[App]],Table2[],3,0),"open")</f>
        <v>ok</v>
      </c>
      <c r="C3740" s="138" t="s">
        <v>369</v>
      </c>
      <c r="D3740" t="s">
        <v>5866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on track</v>
      </c>
      <c r="Q3740" s="3">
        <f ca="1">IF(Proc[[#This Row],[DateClosed]]="",ABS(NETWORKDAYS(Proc[[#This Row],[DateOpened]],TODAY()))-1,ABS(NETWORKDAYS(Proc[[#This Row],[DateOpened]],Proc[[#This Row],[DateClosed]]))-1)</f>
        <v>5</v>
      </c>
      <c r="R3740" s="136" t="s">
        <v>1013</v>
      </c>
      <c r="S3740" s="129"/>
    </row>
    <row r="3741" spans="1:19" hidden="1">
      <c r="A3741" s="135" t="s">
        <v>5859</v>
      </c>
      <c r="B3741" s="138" t="str">
        <f>IFERROR(VLOOKUP(Proc[[#This Row],[App]],Table2[],3,0),"open")</f>
        <v>ok</v>
      </c>
      <c r="C3741" s="138" t="s">
        <v>369</v>
      </c>
      <c r="D3741" t="s">
        <v>5867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on track</v>
      </c>
      <c r="Q3741" s="3">
        <f ca="1">IF(Proc[[#This Row],[DateClosed]]="",ABS(NETWORKDAYS(Proc[[#This Row],[DateOpened]],TODAY()))-1,ABS(NETWORKDAYS(Proc[[#This Row],[DateOpened]],Proc[[#This Row],[DateClosed]]))-1)</f>
        <v>5</v>
      </c>
      <c r="R3741" s="136" t="s">
        <v>1013</v>
      </c>
      <c r="S3741" s="129"/>
    </row>
    <row r="3742" spans="1:19" hidden="1">
      <c r="A3742" s="135" t="s">
        <v>5859</v>
      </c>
      <c r="B3742" s="138" t="str">
        <f>IFERROR(VLOOKUP(Proc[[#This Row],[App]],Table2[],3,0),"open")</f>
        <v>ok</v>
      </c>
      <c r="C3742" s="138" t="s">
        <v>369</v>
      </c>
      <c r="D3742" t="s">
        <v>5868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on track</v>
      </c>
      <c r="Q3742" s="3">
        <f ca="1">IF(Proc[[#This Row],[DateClosed]]="",ABS(NETWORKDAYS(Proc[[#This Row],[DateOpened]],TODAY()))-1,ABS(NETWORKDAYS(Proc[[#This Row],[DateOpened]],Proc[[#This Row],[DateClosed]]))-1)</f>
        <v>5</v>
      </c>
      <c r="R3742" s="136" t="s">
        <v>1013</v>
      </c>
      <c r="S3742" s="129"/>
    </row>
    <row r="3743" spans="1:19" hidden="1">
      <c r="A3743" s="135" t="s">
        <v>5859</v>
      </c>
      <c r="B3743" s="138" t="str">
        <f>IFERROR(VLOOKUP(Proc[[#This Row],[App]],Table2[],3,0),"open")</f>
        <v>ok</v>
      </c>
      <c r="C3743" s="138" t="s">
        <v>369</v>
      </c>
      <c r="D3743" t="s">
        <v>5869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on track</v>
      </c>
      <c r="Q3743" s="3">
        <f ca="1">IF(Proc[[#This Row],[DateClosed]]="",ABS(NETWORKDAYS(Proc[[#This Row],[DateOpened]],TODAY()))-1,ABS(NETWORKDAYS(Proc[[#This Row],[DateOpened]],Proc[[#This Row],[DateClosed]]))-1)</f>
        <v>5</v>
      </c>
      <c r="R3743" s="136" t="s">
        <v>1013</v>
      </c>
      <c r="S3743" s="129"/>
    </row>
    <row r="3744" spans="1:19" hidden="1">
      <c r="A3744" s="135" t="s">
        <v>5859</v>
      </c>
      <c r="B3744" s="138" t="str">
        <f>IFERROR(VLOOKUP(Proc[[#This Row],[App]],Table2[],3,0),"open")</f>
        <v>ok</v>
      </c>
      <c r="C3744" s="138" t="s">
        <v>369</v>
      </c>
      <c r="D3744" t="s">
        <v>5870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on track</v>
      </c>
      <c r="Q3744" s="3">
        <f ca="1">IF(Proc[[#This Row],[DateClosed]]="",ABS(NETWORKDAYS(Proc[[#This Row],[DateOpened]],TODAY()))-1,ABS(NETWORKDAYS(Proc[[#This Row],[DateOpened]],Proc[[#This Row],[DateClosed]]))-1)</f>
        <v>5</v>
      </c>
      <c r="R3744" s="136" t="s">
        <v>1013</v>
      </c>
      <c r="S3744" s="129"/>
    </row>
    <row r="3745" spans="1:19" hidden="1">
      <c r="A3745" s="135" t="s">
        <v>5859</v>
      </c>
      <c r="B3745" s="138" t="str">
        <f>IFERROR(VLOOKUP(Proc[[#This Row],[App]],Table2[],3,0),"open")</f>
        <v>ok</v>
      </c>
      <c r="C3745" s="138" t="s">
        <v>369</v>
      </c>
      <c r="D3745" t="s">
        <v>5871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on track</v>
      </c>
      <c r="Q3745" s="3">
        <f ca="1">IF(Proc[[#This Row],[DateClosed]]="",ABS(NETWORKDAYS(Proc[[#This Row],[DateOpened]],TODAY()))-1,ABS(NETWORKDAYS(Proc[[#This Row],[DateOpened]],Proc[[#This Row],[DateClosed]]))-1)</f>
        <v>5</v>
      </c>
      <c r="R3745" s="136" t="s">
        <v>1013</v>
      </c>
      <c r="S3745" s="129"/>
    </row>
    <row r="3746" spans="1:19" hidden="1">
      <c r="A3746" s="135" t="s">
        <v>5859</v>
      </c>
      <c r="B3746" s="138" t="str">
        <f>IFERROR(VLOOKUP(Proc[[#This Row],[App]],Table2[],3,0),"open")</f>
        <v>ok</v>
      </c>
      <c r="C3746" s="138" t="s">
        <v>369</v>
      </c>
      <c r="D3746" t="s">
        <v>5872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on track</v>
      </c>
      <c r="Q3746" s="3">
        <f ca="1">IF(Proc[[#This Row],[DateClosed]]="",ABS(NETWORKDAYS(Proc[[#This Row],[DateOpened]],TODAY()))-1,ABS(NETWORKDAYS(Proc[[#This Row],[DateOpened]],Proc[[#This Row],[DateClosed]]))-1)</f>
        <v>5</v>
      </c>
      <c r="R3746" s="136" t="s">
        <v>1013</v>
      </c>
      <c r="S3746" s="129"/>
    </row>
    <row r="3747" spans="1:19" hidden="1">
      <c r="A3747" s="135" t="s">
        <v>5859</v>
      </c>
      <c r="B3747" s="138" t="str">
        <f>IFERROR(VLOOKUP(Proc[[#This Row],[App]],Table2[],3,0),"open")</f>
        <v>ok</v>
      </c>
      <c r="C3747" s="138" t="s">
        <v>369</v>
      </c>
      <c r="D3747" t="s">
        <v>5873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on track</v>
      </c>
      <c r="Q3747" s="3">
        <f ca="1">IF(Proc[[#This Row],[DateClosed]]="",ABS(NETWORKDAYS(Proc[[#This Row],[DateOpened]],TODAY()))-1,ABS(NETWORKDAYS(Proc[[#This Row],[DateOpened]],Proc[[#This Row],[DateClosed]]))-1)</f>
        <v>5</v>
      </c>
      <c r="R3747" s="136" t="s">
        <v>1013</v>
      </c>
      <c r="S3747" s="129"/>
    </row>
    <row r="3748" spans="1:19" hidden="1">
      <c r="A3748" s="135" t="s">
        <v>5859</v>
      </c>
      <c r="B3748" s="138" t="str">
        <f>IFERROR(VLOOKUP(Proc[[#This Row],[App]],Table2[],3,0),"open")</f>
        <v>ok</v>
      </c>
      <c r="C3748" s="138" t="s">
        <v>369</v>
      </c>
      <c r="D3748" t="s">
        <v>5874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on track</v>
      </c>
      <c r="Q3748" s="3">
        <f ca="1">IF(Proc[[#This Row],[DateClosed]]="",ABS(NETWORKDAYS(Proc[[#This Row],[DateOpened]],TODAY()))-1,ABS(NETWORKDAYS(Proc[[#This Row],[DateOpened]],Proc[[#This Row],[DateClosed]]))-1)</f>
        <v>5</v>
      </c>
      <c r="R3748" s="136" t="s">
        <v>1013</v>
      </c>
      <c r="S3748" s="129"/>
    </row>
    <row r="3749" spans="1:19" hidden="1">
      <c r="A3749" s="135" t="s">
        <v>5859</v>
      </c>
      <c r="B3749" s="138" t="str">
        <f>IFERROR(VLOOKUP(Proc[[#This Row],[App]],Table2[],3,0),"open")</f>
        <v>ok</v>
      </c>
      <c r="C3749" s="138" t="s">
        <v>369</v>
      </c>
      <c r="D3749" t="s">
        <v>5875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on track</v>
      </c>
      <c r="Q3749" s="3">
        <f ca="1">IF(Proc[[#This Row],[DateClosed]]="",ABS(NETWORKDAYS(Proc[[#This Row],[DateOpened]],TODAY()))-1,ABS(NETWORKDAYS(Proc[[#This Row],[DateOpened]],Proc[[#This Row],[DateClosed]]))-1)</f>
        <v>5</v>
      </c>
      <c r="R3749" s="136" t="s">
        <v>1013</v>
      </c>
      <c r="S3749" s="129"/>
    </row>
    <row r="3750" spans="1:19" hidden="1">
      <c r="A3750" s="135" t="s">
        <v>5859</v>
      </c>
      <c r="B3750" s="138" t="str">
        <f>IFERROR(VLOOKUP(Proc[[#This Row],[App]],Table2[],3,0),"open")</f>
        <v>ok</v>
      </c>
      <c r="C3750" s="138" t="s">
        <v>369</v>
      </c>
      <c r="D3750" t="s">
        <v>5876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on track</v>
      </c>
      <c r="Q3750" s="3">
        <f ca="1">IF(Proc[[#This Row],[DateClosed]]="",ABS(NETWORKDAYS(Proc[[#This Row],[DateOpened]],TODAY()))-1,ABS(NETWORKDAYS(Proc[[#This Row],[DateOpened]],Proc[[#This Row],[DateClosed]]))-1)</f>
        <v>5</v>
      </c>
      <c r="R3750" s="136" t="s">
        <v>1013</v>
      </c>
      <c r="S3750" s="129"/>
    </row>
    <row r="3751" spans="1:19" hidden="1">
      <c r="A3751" s="135" t="s">
        <v>5859</v>
      </c>
      <c r="B3751" s="138" t="str">
        <f>IFERROR(VLOOKUP(Proc[[#This Row],[App]],Table2[],3,0),"open")</f>
        <v>ok</v>
      </c>
      <c r="C3751" s="138" t="s">
        <v>369</v>
      </c>
      <c r="D3751" t="s">
        <v>5877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on track</v>
      </c>
      <c r="Q3751" s="3">
        <f ca="1">IF(Proc[[#This Row],[DateClosed]]="",ABS(NETWORKDAYS(Proc[[#This Row],[DateOpened]],TODAY()))-1,ABS(NETWORKDAYS(Proc[[#This Row],[DateOpened]],Proc[[#This Row],[DateClosed]]))-1)</f>
        <v>5</v>
      </c>
      <c r="R3751" s="136" t="s">
        <v>1013</v>
      </c>
      <c r="S3751" s="129"/>
    </row>
    <row r="3752" spans="1:19" hidden="1">
      <c r="A3752" s="135" t="s">
        <v>5859</v>
      </c>
      <c r="B3752" s="138" t="str">
        <f>IFERROR(VLOOKUP(Proc[[#This Row],[App]],Table2[],3,0),"open")</f>
        <v>ok</v>
      </c>
      <c r="C3752" s="138" t="s">
        <v>369</v>
      </c>
      <c r="D3752" t="s">
        <v>5878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on track</v>
      </c>
      <c r="Q3752" s="3">
        <f ca="1">IF(Proc[[#This Row],[DateClosed]]="",ABS(NETWORKDAYS(Proc[[#This Row],[DateOpened]],TODAY()))-1,ABS(NETWORKDAYS(Proc[[#This Row],[DateOpened]],Proc[[#This Row],[DateClosed]]))-1)</f>
        <v>5</v>
      </c>
      <c r="R3752" s="136" t="s">
        <v>1013</v>
      </c>
      <c r="S3752" s="129"/>
    </row>
    <row r="3753" spans="1:19" hidden="1">
      <c r="A3753" s="135" t="s">
        <v>5859</v>
      </c>
      <c r="B3753" s="138" t="str">
        <f>IFERROR(VLOOKUP(Proc[[#This Row],[App]],Table2[],3,0),"open")</f>
        <v>ok</v>
      </c>
      <c r="C3753" s="138" t="s">
        <v>369</v>
      </c>
      <c r="D3753" t="s">
        <v>5879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on track</v>
      </c>
      <c r="Q3753" s="3">
        <f ca="1">IF(Proc[[#This Row],[DateClosed]]="",ABS(NETWORKDAYS(Proc[[#This Row],[DateOpened]],TODAY()))-1,ABS(NETWORKDAYS(Proc[[#This Row],[DateOpened]],Proc[[#This Row],[DateClosed]]))-1)</f>
        <v>5</v>
      </c>
      <c r="R3753" s="136" t="s">
        <v>1013</v>
      </c>
      <c r="S3753" s="129"/>
    </row>
    <row r="3754" spans="1:19" hidden="1">
      <c r="A3754" s="135" t="s">
        <v>5859</v>
      </c>
      <c r="B3754" s="138" t="str">
        <f>IFERROR(VLOOKUP(Proc[[#This Row],[App]],Table2[],3,0),"open")</f>
        <v>ok</v>
      </c>
      <c r="C3754" s="138" t="s">
        <v>369</v>
      </c>
      <c r="D3754" t="s">
        <v>5880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on track</v>
      </c>
      <c r="Q3754" s="3">
        <f ca="1">IF(Proc[[#This Row],[DateClosed]]="",ABS(NETWORKDAYS(Proc[[#This Row],[DateOpened]],TODAY()))-1,ABS(NETWORKDAYS(Proc[[#This Row],[DateOpened]],Proc[[#This Row],[DateClosed]]))-1)</f>
        <v>5</v>
      </c>
      <c r="R3754" s="136" t="s">
        <v>1013</v>
      </c>
      <c r="S3754" s="129"/>
    </row>
    <row r="3755" spans="1:19" hidden="1">
      <c r="A3755" s="135" t="s">
        <v>5859</v>
      </c>
      <c r="B3755" s="138" t="str">
        <f>IFERROR(VLOOKUP(Proc[[#This Row],[App]],Table2[],3,0),"open")</f>
        <v>ok</v>
      </c>
      <c r="C3755" s="138" t="s">
        <v>369</v>
      </c>
      <c r="D3755" t="s">
        <v>5881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on track</v>
      </c>
      <c r="Q3755" s="3">
        <f ca="1">IF(Proc[[#This Row],[DateClosed]]="",ABS(NETWORKDAYS(Proc[[#This Row],[DateOpened]],TODAY()))-1,ABS(NETWORKDAYS(Proc[[#This Row],[DateOpened]],Proc[[#This Row],[DateClosed]]))-1)</f>
        <v>5</v>
      </c>
      <c r="R3755" s="136" t="s">
        <v>1013</v>
      </c>
      <c r="S3755" s="129"/>
    </row>
    <row r="3756" spans="1:19" hidden="1">
      <c r="A3756" s="135" t="s">
        <v>5859</v>
      </c>
      <c r="B3756" s="138" t="str">
        <f>IFERROR(VLOOKUP(Proc[[#This Row],[App]],Table2[],3,0),"open")</f>
        <v>ok</v>
      </c>
      <c r="C3756" s="138" t="s">
        <v>369</v>
      </c>
      <c r="D3756" t="s">
        <v>5882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on track</v>
      </c>
      <c r="Q3756" s="3">
        <f ca="1">IF(Proc[[#This Row],[DateClosed]]="",ABS(NETWORKDAYS(Proc[[#This Row],[DateOpened]],TODAY()))-1,ABS(NETWORKDAYS(Proc[[#This Row],[DateOpened]],Proc[[#This Row],[DateClosed]]))-1)</f>
        <v>5</v>
      </c>
      <c r="R3756" s="136" t="s">
        <v>1013</v>
      </c>
      <c r="S3756" s="129"/>
    </row>
    <row r="3757" spans="1:19" hidden="1">
      <c r="A3757" s="135" t="s">
        <v>5859</v>
      </c>
      <c r="B3757" s="138" t="str">
        <f>IFERROR(VLOOKUP(Proc[[#This Row],[App]],Table2[],3,0),"open")</f>
        <v>ok</v>
      </c>
      <c r="C3757" s="138" t="s">
        <v>369</v>
      </c>
      <c r="D3757" t="s">
        <v>5883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on track</v>
      </c>
      <c r="Q3757" s="3">
        <f ca="1">IF(Proc[[#This Row],[DateClosed]]="",ABS(NETWORKDAYS(Proc[[#This Row],[DateOpened]],TODAY()))-1,ABS(NETWORKDAYS(Proc[[#This Row],[DateOpened]],Proc[[#This Row],[DateClosed]]))-1)</f>
        <v>5</v>
      </c>
      <c r="R3757" s="136" t="s">
        <v>1013</v>
      </c>
      <c r="S3757" s="129"/>
    </row>
    <row r="3758" spans="1:19" hidden="1">
      <c r="A3758" s="135" t="s">
        <v>5859</v>
      </c>
      <c r="B3758" s="138" t="str">
        <f>IFERROR(VLOOKUP(Proc[[#This Row],[App]],Table2[],3,0),"open")</f>
        <v>ok</v>
      </c>
      <c r="C3758" s="138" t="s">
        <v>369</v>
      </c>
      <c r="D3758" t="s">
        <v>5884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on track</v>
      </c>
      <c r="Q3758" s="3">
        <f ca="1">IF(Proc[[#This Row],[DateClosed]]="",ABS(NETWORKDAYS(Proc[[#This Row],[DateOpened]],TODAY()))-1,ABS(NETWORKDAYS(Proc[[#This Row],[DateOpened]],Proc[[#This Row],[DateClosed]]))-1)</f>
        <v>5</v>
      </c>
      <c r="R3758" s="136" t="s">
        <v>1013</v>
      </c>
      <c r="S3758" s="129"/>
    </row>
    <row r="3759" spans="1:19" hidden="1">
      <c r="A3759" s="135" t="s">
        <v>5859</v>
      </c>
      <c r="B3759" s="138" t="str">
        <f>IFERROR(VLOOKUP(Proc[[#This Row],[App]],Table2[],3,0),"open")</f>
        <v>ok</v>
      </c>
      <c r="C3759" s="138" t="s">
        <v>369</v>
      </c>
      <c r="D3759" t="s">
        <v>5885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on track</v>
      </c>
      <c r="Q3759" s="3">
        <f ca="1">IF(Proc[[#This Row],[DateClosed]]="",ABS(NETWORKDAYS(Proc[[#This Row],[DateOpened]],TODAY()))-1,ABS(NETWORKDAYS(Proc[[#This Row],[DateOpened]],Proc[[#This Row],[DateClosed]]))-1)</f>
        <v>5</v>
      </c>
      <c r="R3759" s="136" t="s">
        <v>1013</v>
      </c>
      <c r="S3759" s="129"/>
    </row>
    <row r="3760" spans="1:19" hidden="1">
      <c r="A3760" s="135" t="s">
        <v>5859</v>
      </c>
      <c r="B3760" s="138" t="str">
        <f>IFERROR(VLOOKUP(Proc[[#This Row],[App]],Table2[],3,0),"open")</f>
        <v>ok</v>
      </c>
      <c r="C3760" s="138" t="s">
        <v>369</v>
      </c>
      <c r="D3760" t="s">
        <v>5886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on track</v>
      </c>
      <c r="Q3760" s="3">
        <f ca="1">IF(Proc[[#This Row],[DateClosed]]="",ABS(NETWORKDAYS(Proc[[#This Row],[DateOpened]],TODAY()))-1,ABS(NETWORKDAYS(Proc[[#This Row],[DateOpened]],Proc[[#This Row],[DateClosed]]))-1)</f>
        <v>5</v>
      </c>
      <c r="R3760" s="136" t="s">
        <v>1013</v>
      </c>
      <c r="S3760" s="129"/>
    </row>
    <row r="3761" spans="1:19" hidden="1">
      <c r="A3761" s="135" t="s">
        <v>5859</v>
      </c>
      <c r="B3761" s="138" t="str">
        <f>IFERROR(VLOOKUP(Proc[[#This Row],[App]],Table2[],3,0),"open")</f>
        <v>ok</v>
      </c>
      <c r="C3761" s="138" t="s">
        <v>369</v>
      </c>
      <c r="D3761" t="s">
        <v>5887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on track</v>
      </c>
      <c r="Q3761" s="3">
        <f ca="1">IF(Proc[[#This Row],[DateClosed]]="",ABS(NETWORKDAYS(Proc[[#This Row],[DateOpened]],TODAY()))-1,ABS(NETWORKDAYS(Proc[[#This Row],[DateOpened]],Proc[[#This Row],[DateClosed]]))-1)</f>
        <v>5</v>
      </c>
      <c r="R3761" s="136" t="s">
        <v>1013</v>
      </c>
      <c r="S3761" s="129"/>
    </row>
    <row r="3762" spans="1:19" hidden="1">
      <c r="A3762" s="135" t="s">
        <v>5859</v>
      </c>
      <c r="B3762" s="138" t="str">
        <f>IFERROR(VLOOKUP(Proc[[#This Row],[App]],Table2[],3,0),"open")</f>
        <v>ok</v>
      </c>
      <c r="C3762" s="138" t="s">
        <v>369</v>
      </c>
      <c r="D3762" t="s">
        <v>5888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on track</v>
      </c>
      <c r="Q3762" s="3">
        <f ca="1">IF(Proc[[#This Row],[DateClosed]]="",ABS(NETWORKDAYS(Proc[[#This Row],[DateOpened]],TODAY()))-1,ABS(NETWORKDAYS(Proc[[#This Row],[DateOpened]],Proc[[#This Row],[DateClosed]]))-1)</f>
        <v>5</v>
      </c>
      <c r="R3762" s="136" t="s">
        <v>1013</v>
      </c>
      <c r="S3762" s="129"/>
    </row>
    <row r="3763" spans="1:19" hidden="1">
      <c r="A3763" s="135" t="s">
        <v>5859</v>
      </c>
      <c r="B3763" s="138" t="str">
        <f>IFERROR(VLOOKUP(Proc[[#This Row],[App]],Table2[],3,0),"open")</f>
        <v>ok</v>
      </c>
      <c r="C3763" s="138" t="s">
        <v>369</v>
      </c>
      <c r="D3763" t="s">
        <v>5889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on track</v>
      </c>
      <c r="Q3763" s="3">
        <f ca="1">IF(Proc[[#This Row],[DateClosed]]="",ABS(NETWORKDAYS(Proc[[#This Row],[DateOpened]],TODAY()))-1,ABS(NETWORKDAYS(Proc[[#This Row],[DateOpened]],Proc[[#This Row],[DateClosed]]))-1)</f>
        <v>5</v>
      </c>
      <c r="R3763" s="136" t="s">
        <v>1013</v>
      </c>
      <c r="S3763" s="129"/>
    </row>
    <row r="3764" spans="1:19" hidden="1">
      <c r="A3764" s="135" t="s">
        <v>5859</v>
      </c>
      <c r="B3764" s="138" t="str">
        <f>IFERROR(VLOOKUP(Proc[[#This Row],[App]],Table2[],3,0),"open")</f>
        <v>ok</v>
      </c>
      <c r="C3764" s="138" t="s">
        <v>369</v>
      </c>
      <c r="D3764" t="s">
        <v>5890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on track</v>
      </c>
      <c r="Q3764" s="3">
        <f ca="1">IF(Proc[[#This Row],[DateClosed]]="",ABS(NETWORKDAYS(Proc[[#This Row],[DateOpened]],TODAY()))-1,ABS(NETWORKDAYS(Proc[[#This Row],[DateOpened]],Proc[[#This Row],[DateClosed]]))-1)</f>
        <v>5</v>
      </c>
      <c r="R3764" s="136" t="s">
        <v>1013</v>
      </c>
      <c r="S3764" s="129"/>
    </row>
    <row r="3765" spans="1:19" hidden="1">
      <c r="A3765" s="135" t="s">
        <v>5859</v>
      </c>
      <c r="B3765" s="138" t="str">
        <f>IFERROR(VLOOKUP(Proc[[#This Row],[App]],Table2[],3,0),"open")</f>
        <v>ok</v>
      </c>
      <c r="C3765" s="138" t="s">
        <v>369</v>
      </c>
      <c r="D3765" t="s">
        <v>5891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on track</v>
      </c>
      <c r="Q3765" s="3">
        <f ca="1">IF(Proc[[#This Row],[DateClosed]]="",ABS(NETWORKDAYS(Proc[[#This Row],[DateOpened]],TODAY()))-1,ABS(NETWORKDAYS(Proc[[#This Row],[DateOpened]],Proc[[#This Row],[DateClosed]]))-1)</f>
        <v>5</v>
      </c>
      <c r="R3765" s="136" t="s">
        <v>1013</v>
      </c>
      <c r="S3765" s="129"/>
    </row>
    <row r="3766" spans="1:19" hidden="1">
      <c r="A3766" s="135" t="s">
        <v>5859</v>
      </c>
      <c r="B3766" s="138" t="str">
        <f>IFERROR(VLOOKUP(Proc[[#This Row],[App]],Table2[],3,0),"open")</f>
        <v>ok</v>
      </c>
      <c r="C3766" s="138" t="s">
        <v>369</v>
      </c>
      <c r="D3766" t="s">
        <v>5892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on track</v>
      </c>
      <c r="Q3766" s="3">
        <f ca="1">IF(Proc[[#This Row],[DateClosed]]="",ABS(NETWORKDAYS(Proc[[#This Row],[DateOpened]],TODAY()))-1,ABS(NETWORKDAYS(Proc[[#This Row],[DateOpened]],Proc[[#This Row],[DateClosed]]))-1)</f>
        <v>5</v>
      </c>
      <c r="R3766" s="136" t="s">
        <v>1013</v>
      </c>
      <c r="S3766" s="129"/>
    </row>
    <row r="3767" spans="1:19" hidden="1">
      <c r="A3767" s="135" t="s">
        <v>5859</v>
      </c>
      <c r="B3767" s="138" t="str">
        <f>IFERROR(VLOOKUP(Proc[[#This Row],[App]],Table2[],3,0),"open")</f>
        <v>ok</v>
      </c>
      <c r="C3767" s="138" t="s">
        <v>369</v>
      </c>
      <c r="D3767" t="s">
        <v>5893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on track</v>
      </c>
      <c r="Q3767" s="3">
        <f ca="1">IF(Proc[[#This Row],[DateClosed]]="",ABS(NETWORKDAYS(Proc[[#This Row],[DateOpened]],TODAY()))-1,ABS(NETWORKDAYS(Proc[[#This Row],[DateOpened]],Proc[[#This Row],[DateClosed]]))-1)</f>
        <v>5</v>
      </c>
      <c r="R3767" s="136" t="s">
        <v>1013</v>
      </c>
      <c r="S3767" s="129"/>
    </row>
    <row r="3768" spans="1:19" hidden="1">
      <c r="A3768" s="135" t="s">
        <v>5859</v>
      </c>
      <c r="B3768" s="138" t="str">
        <f>IFERROR(VLOOKUP(Proc[[#This Row],[App]],Table2[],3,0),"open")</f>
        <v>ok</v>
      </c>
      <c r="C3768" s="138" t="s">
        <v>369</v>
      </c>
      <c r="D3768" t="s">
        <v>5894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on track</v>
      </c>
      <c r="Q3768" s="3">
        <f ca="1">IF(Proc[[#This Row],[DateClosed]]="",ABS(NETWORKDAYS(Proc[[#This Row],[DateOpened]],TODAY()))-1,ABS(NETWORKDAYS(Proc[[#This Row],[DateOpened]],Proc[[#This Row],[DateClosed]]))-1)</f>
        <v>5</v>
      </c>
      <c r="R3768" s="136" t="s">
        <v>1013</v>
      </c>
      <c r="S3768" s="129"/>
    </row>
    <row r="3769" spans="1:19" hidden="1">
      <c r="A3769" s="135" t="s">
        <v>5859</v>
      </c>
      <c r="B3769" s="138" t="str">
        <f>IFERROR(VLOOKUP(Proc[[#This Row],[App]],Table2[],3,0),"open")</f>
        <v>ok</v>
      </c>
      <c r="C3769" s="138" t="s">
        <v>369</v>
      </c>
      <c r="D3769" t="s">
        <v>5895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on track</v>
      </c>
      <c r="Q3769" s="3">
        <f ca="1">IF(Proc[[#This Row],[DateClosed]]="",ABS(NETWORKDAYS(Proc[[#This Row],[DateOpened]],TODAY()))-1,ABS(NETWORKDAYS(Proc[[#This Row],[DateOpened]],Proc[[#This Row],[DateClosed]]))-1)</f>
        <v>5</v>
      </c>
      <c r="R3769" s="136" t="s">
        <v>1013</v>
      </c>
      <c r="S3769" s="129"/>
    </row>
    <row r="3770" spans="1:19" hidden="1">
      <c r="A3770" s="135" t="s">
        <v>5859</v>
      </c>
      <c r="B3770" s="138" t="str">
        <f>IFERROR(VLOOKUP(Proc[[#This Row],[App]],Table2[],3,0),"open")</f>
        <v>ok</v>
      </c>
      <c r="C3770" s="138" t="s">
        <v>369</v>
      </c>
      <c r="D3770" t="s">
        <v>5896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on track</v>
      </c>
      <c r="Q3770" s="3">
        <f ca="1">IF(Proc[[#This Row],[DateClosed]]="",ABS(NETWORKDAYS(Proc[[#This Row],[DateOpened]],TODAY()))-1,ABS(NETWORKDAYS(Proc[[#This Row],[DateOpened]],Proc[[#This Row],[DateClosed]]))-1)</f>
        <v>5</v>
      </c>
      <c r="R3770" s="136" t="s">
        <v>1013</v>
      </c>
      <c r="S3770" s="129"/>
    </row>
    <row r="3771" spans="1:19" hidden="1">
      <c r="A3771" s="135" t="s">
        <v>5859</v>
      </c>
      <c r="B3771" s="138" t="str">
        <f>IFERROR(VLOOKUP(Proc[[#This Row],[App]],Table2[],3,0),"open")</f>
        <v>ok</v>
      </c>
      <c r="C3771" s="138" t="s">
        <v>369</v>
      </c>
      <c r="D3771" t="s">
        <v>5897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on track</v>
      </c>
      <c r="Q3771" s="3">
        <f ca="1">IF(Proc[[#This Row],[DateClosed]]="",ABS(NETWORKDAYS(Proc[[#This Row],[DateOpened]],TODAY()))-1,ABS(NETWORKDAYS(Proc[[#This Row],[DateOpened]],Proc[[#This Row],[DateClosed]]))-1)</f>
        <v>5</v>
      </c>
      <c r="R3771" s="136" t="s">
        <v>1013</v>
      </c>
      <c r="S3771" s="129"/>
    </row>
    <row r="3772" spans="1:19" hidden="1">
      <c r="A3772" s="135" t="s">
        <v>5859</v>
      </c>
      <c r="B3772" s="138" t="str">
        <f>IFERROR(VLOOKUP(Proc[[#This Row],[App]],Table2[],3,0),"open")</f>
        <v>ok</v>
      </c>
      <c r="C3772" s="138" t="s">
        <v>369</v>
      </c>
      <c r="D3772" t="s">
        <v>5898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on track</v>
      </c>
      <c r="Q3772" s="3">
        <f ca="1">IF(Proc[[#This Row],[DateClosed]]="",ABS(NETWORKDAYS(Proc[[#This Row],[DateOpened]],TODAY()))-1,ABS(NETWORKDAYS(Proc[[#This Row],[DateOpened]],Proc[[#This Row],[DateClosed]]))-1)</f>
        <v>5</v>
      </c>
      <c r="R3772" s="136" t="s">
        <v>1013</v>
      </c>
      <c r="S3772" s="129"/>
    </row>
    <row r="3773" spans="1:19" hidden="1">
      <c r="A3773" s="135" t="s">
        <v>5859</v>
      </c>
      <c r="B3773" s="138" t="str">
        <f>IFERROR(VLOOKUP(Proc[[#This Row],[App]],Table2[],3,0),"open")</f>
        <v>ok</v>
      </c>
      <c r="C3773" s="138" t="s">
        <v>369</v>
      </c>
      <c r="D3773" t="s">
        <v>5899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on track</v>
      </c>
      <c r="Q3773" s="3">
        <f ca="1">IF(Proc[[#This Row],[DateClosed]]="",ABS(NETWORKDAYS(Proc[[#This Row],[DateOpened]],TODAY()))-1,ABS(NETWORKDAYS(Proc[[#This Row],[DateOpened]],Proc[[#This Row],[DateClosed]]))-1)</f>
        <v>5</v>
      </c>
      <c r="R3773" s="136" t="s">
        <v>1013</v>
      </c>
      <c r="S3773" s="129"/>
    </row>
    <row r="3774" spans="1:19" hidden="1">
      <c r="A3774" s="135" t="s">
        <v>5859</v>
      </c>
      <c r="B3774" s="138" t="str">
        <f>IFERROR(VLOOKUP(Proc[[#This Row],[App]],Table2[],3,0),"open")</f>
        <v>ok</v>
      </c>
      <c r="C3774" s="138" t="s">
        <v>369</v>
      </c>
      <c r="D3774" t="s">
        <v>5900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on track</v>
      </c>
      <c r="Q3774" s="3">
        <f ca="1">IF(Proc[[#This Row],[DateClosed]]="",ABS(NETWORKDAYS(Proc[[#This Row],[DateOpened]],TODAY()))-1,ABS(NETWORKDAYS(Proc[[#This Row],[DateOpened]],Proc[[#This Row],[DateClosed]]))-1)</f>
        <v>5</v>
      </c>
      <c r="R3774" s="136" t="s">
        <v>1013</v>
      </c>
      <c r="S3774" s="129"/>
    </row>
    <row r="3775" spans="1:19" hidden="1">
      <c r="A3775" s="135" t="s">
        <v>5859</v>
      </c>
      <c r="B3775" s="138" t="str">
        <f>IFERROR(VLOOKUP(Proc[[#This Row],[App]],Table2[],3,0),"open")</f>
        <v>ok</v>
      </c>
      <c r="C3775" s="138" t="s">
        <v>369</v>
      </c>
      <c r="D3775" t="s">
        <v>5901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on track</v>
      </c>
      <c r="Q3775" s="3">
        <f ca="1">IF(Proc[[#This Row],[DateClosed]]="",ABS(NETWORKDAYS(Proc[[#This Row],[DateOpened]],TODAY()))-1,ABS(NETWORKDAYS(Proc[[#This Row],[DateOpened]],Proc[[#This Row],[DateClosed]]))-1)</f>
        <v>5</v>
      </c>
      <c r="R3775" s="136" t="s">
        <v>1013</v>
      </c>
      <c r="S3775" s="129"/>
    </row>
    <row r="3776" spans="1:19" hidden="1">
      <c r="A3776" s="135" t="s">
        <v>5859</v>
      </c>
      <c r="B3776" s="138" t="str">
        <f>IFERROR(VLOOKUP(Proc[[#This Row],[App]],Table2[],3,0),"open")</f>
        <v>ok</v>
      </c>
      <c r="C3776" s="138" t="s">
        <v>369</v>
      </c>
      <c r="D3776" t="s">
        <v>5902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on track</v>
      </c>
      <c r="Q3776" s="3">
        <f ca="1">IF(Proc[[#This Row],[DateClosed]]="",ABS(NETWORKDAYS(Proc[[#This Row],[DateOpened]],TODAY()))-1,ABS(NETWORKDAYS(Proc[[#This Row],[DateOpened]],Proc[[#This Row],[DateClosed]]))-1)</f>
        <v>5</v>
      </c>
      <c r="R3776" s="136" t="s">
        <v>1013</v>
      </c>
      <c r="S3776" s="129"/>
    </row>
    <row r="3777" spans="1:19" hidden="1">
      <c r="A3777" s="135" t="s">
        <v>5859</v>
      </c>
      <c r="B3777" s="138" t="str">
        <f>IFERROR(VLOOKUP(Proc[[#This Row],[App]],Table2[],3,0),"open")</f>
        <v>ok</v>
      </c>
      <c r="C3777" s="138" t="s">
        <v>369</v>
      </c>
      <c r="D3777" t="s">
        <v>5903</v>
      </c>
      <c r="E3777" t="s">
        <v>5920</v>
      </c>
      <c r="F3777" s="129" t="s">
        <v>5920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on track</v>
      </c>
      <c r="Q3777" s="3">
        <f ca="1">IF(Proc[[#This Row],[DateClosed]]="",ABS(NETWORKDAYS(Proc[[#This Row],[DateOpened]],TODAY()))-1,ABS(NETWORKDAYS(Proc[[#This Row],[DateOpened]],Proc[[#This Row],[DateClosed]]))-1)</f>
        <v>5</v>
      </c>
      <c r="R3777" s="136" t="s">
        <v>1013</v>
      </c>
      <c r="S3777" s="129"/>
    </row>
    <row r="3778" spans="1:19" hidden="1">
      <c r="A3778" s="135" t="s">
        <v>5859</v>
      </c>
      <c r="B3778" s="138" t="str">
        <f>IFERROR(VLOOKUP(Proc[[#This Row],[App]],Table2[],3,0),"open")</f>
        <v>ok</v>
      </c>
      <c r="C3778" s="138" t="s">
        <v>369</v>
      </c>
      <c r="D3778" t="s">
        <v>5904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on track</v>
      </c>
      <c r="Q3778" s="3">
        <f ca="1">IF(Proc[[#This Row],[DateClosed]]="",ABS(NETWORKDAYS(Proc[[#This Row],[DateOpened]],TODAY()))-1,ABS(NETWORKDAYS(Proc[[#This Row],[DateOpened]],Proc[[#This Row],[DateClosed]]))-1)</f>
        <v>5</v>
      </c>
      <c r="R3778" s="136" t="s">
        <v>1013</v>
      </c>
      <c r="S3778" s="129"/>
    </row>
    <row r="3779" spans="1:19" hidden="1">
      <c r="A3779" s="135" t="s">
        <v>5859</v>
      </c>
      <c r="B3779" s="138" t="str">
        <f>IFERROR(VLOOKUP(Proc[[#This Row],[App]],Table2[],3,0),"open")</f>
        <v>ok</v>
      </c>
      <c r="C3779" s="138" t="s">
        <v>369</v>
      </c>
      <c r="D3779" t="s">
        <v>5905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on track</v>
      </c>
      <c r="Q3779" s="3">
        <f ca="1">IF(Proc[[#This Row],[DateClosed]]="",ABS(NETWORKDAYS(Proc[[#This Row],[DateOpened]],TODAY()))-1,ABS(NETWORKDAYS(Proc[[#This Row],[DateOpened]],Proc[[#This Row],[DateClosed]]))-1)</f>
        <v>5</v>
      </c>
      <c r="R3779" s="136" t="s">
        <v>1013</v>
      </c>
      <c r="S3779" s="129"/>
    </row>
    <row r="3780" spans="1:19" hidden="1">
      <c r="A3780" s="135" t="s">
        <v>5859</v>
      </c>
      <c r="B3780" s="138" t="str">
        <f>IFERROR(VLOOKUP(Proc[[#This Row],[App]],Table2[],3,0),"open")</f>
        <v>ok</v>
      </c>
      <c r="C3780" s="138" t="s">
        <v>369</v>
      </c>
      <c r="D3780" t="s">
        <v>5906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on track</v>
      </c>
      <c r="Q3780" s="3">
        <f ca="1">IF(Proc[[#This Row],[DateClosed]]="",ABS(NETWORKDAYS(Proc[[#This Row],[DateOpened]],TODAY()))-1,ABS(NETWORKDAYS(Proc[[#This Row],[DateOpened]],Proc[[#This Row],[DateClosed]]))-1)</f>
        <v>5</v>
      </c>
      <c r="R3780" s="136" t="s">
        <v>1013</v>
      </c>
      <c r="S3780" s="129"/>
    </row>
    <row r="3781" spans="1:19" hidden="1">
      <c r="A3781" s="135" t="s">
        <v>5859</v>
      </c>
      <c r="B3781" s="138" t="str">
        <f>IFERROR(VLOOKUP(Proc[[#This Row],[App]],Table2[],3,0),"open")</f>
        <v>ok</v>
      </c>
      <c r="C3781" s="138" t="s">
        <v>369</v>
      </c>
      <c r="D3781" t="s">
        <v>5907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on track</v>
      </c>
      <c r="Q3781" s="3">
        <f ca="1">IF(Proc[[#This Row],[DateClosed]]="",ABS(NETWORKDAYS(Proc[[#This Row],[DateOpened]],TODAY()))-1,ABS(NETWORKDAYS(Proc[[#This Row],[DateOpened]],Proc[[#This Row],[DateClosed]]))-1)</f>
        <v>5</v>
      </c>
      <c r="R3781" s="136" t="s">
        <v>1013</v>
      </c>
      <c r="S3781" s="129"/>
    </row>
    <row r="3782" spans="1:19" hidden="1">
      <c r="A3782" s="135" t="s">
        <v>5859</v>
      </c>
      <c r="B3782" s="138" t="str">
        <f>IFERROR(VLOOKUP(Proc[[#This Row],[App]],Table2[],3,0),"open")</f>
        <v>ok</v>
      </c>
      <c r="C3782" s="138" t="s">
        <v>369</v>
      </c>
      <c r="D3782" t="s">
        <v>5908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on track</v>
      </c>
      <c r="Q3782" s="3">
        <f ca="1">IF(Proc[[#This Row],[DateClosed]]="",ABS(NETWORKDAYS(Proc[[#This Row],[DateOpened]],TODAY()))-1,ABS(NETWORKDAYS(Proc[[#This Row],[DateOpened]],Proc[[#This Row],[DateClosed]]))-1)</f>
        <v>5</v>
      </c>
      <c r="R3782" s="136" t="s">
        <v>1013</v>
      </c>
      <c r="S3782" s="129"/>
    </row>
    <row r="3783" spans="1:19" hidden="1">
      <c r="A3783" s="135" t="s">
        <v>5859</v>
      </c>
      <c r="B3783" s="138" t="str">
        <f>IFERROR(VLOOKUP(Proc[[#This Row],[App]],Table2[],3,0),"open")</f>
        <v>ok</v>
      </c>
      <c r="C3783" s="138" t="s">
        <v>369</v>
      </c>
      <c r="D3783" t="s">
        <v>5909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on track</v>
      </c>
      <c r="Q3783" s="3">
        <f ca="1">IF(Proc[[#This Row],[DateClosed]]="",ABS(NETWORKDAYS(Proc[[#This Row],[DateOpened]],TODAY()))-1,ABS(NETWORKDAYS(Proc[[#This Row],[DateOpened]],Proc[[#This Row],[DateClosed]]))-1)</f>
        <v>5</v>
      </c>
      <c r="R3783" s="136" t="s">
        <v>1013</v>
      </c>
      <c r="S3783" s="129"/>
    </row>
    <row r="3784" spans="1:19" hidden="1">
      <c r="A3784" s="135" t="s">
        <v>5859</v>
      </c>
      <c r="B3784" s="138" t="str">
        <f>IFERROR(VLOOKUP(Proc[[#This Row],[App]],Table2[],3,0),"open")</f>
        <v>ok</v>
      </c>
      <c r="C3784" s="138" t="s">
        <v>369</v>
      </c>
      <c r="D3784" t="s">
        <v>5910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on track</v>
      </c>
      <c r="Q3784" s="3">
        <f ca="1">IF(Proc[[#This Row],[DateClosed]]="",ABS(NETWORKDAYS(Proc[[#This Row],[DateOpened]],TODAY()))-1,ABS(NETWORKDAYS(Proc[[#This Row],[DateOpened]],Proc[[#This Row],[DateClosed]]))-1)</f>
        <v>5</v>
      </c>
      <c r="R3784" s="136" t="s">
        <v>1013</v>
      </c>
      <c r="S3784" s="129"/>
    </row>
    <row r="3785" spans="1:19" hidden="1">
      <c r="A3785" s="135" t="s">
        <v>5859</v>
      </c>
      <c r="B3785" s="138" t="str">
        <f>IFERROR(VLOOKUP(Proc[[#This Row],[App]],Table2[],3,0),"open")</f>
        <v>ok</v>
      </c>
      <c r="C3785" s="138" t="s">
        <v>369</v>
      </c>
      <c r="D3785" t="s">
        <v>5911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on track</v>
      </c>
      <c r="Q3785" s="3">
        <f ca="1">IF(Proc[[#This Row],[DateClosed]]="",ABS(NETWORKDAYS(Proc[[#This Row],[DateOpened]],TODAY()))-1,ABS(NETWORKDAYS(Proc[[#This Row],[DateOpened]],Proc[[#This Row],[DateClosed]]))-1)</f>
        <v>5</v>
      </c>
      <c r="R3785" s="136" t="s">
        <v>1013</v>
      </c>
      <c r="S3785" s="129"/>
    </row>
    <row r="3786" spans="1:19" hidden="1">
      <c r="A3786" s="135" t="s">
        <v>5859</v>
      </c>
      <c r="B3786" s="138" t="str">
        <f>IFERROR(VLOOKUP(Proc[[#This Row],[App]],Table2[],3,0),"open")</f>
        <v>ok</v>
      </c>
      <c r="C3786" s="138" t="s">
        <v>369</v>
      </c>
      <c r="D3786" t="s">
        <v>5912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on track</v>
      </c>
      <c r="Q3786" s="3">
        <f ca="1">IF(Proc[[#This Row],[DateClosed]]="",ABS(NETWORKDAYS(Proc[[#This Row],[DateOpened]],TODAY()))-1,ABS(NETWORKDAYS(Proc[[#This Row],[DateOpened]],Proc[[#This Row],[DateClosed]]))-1)</f>
        <v>5</v>
      </c>
      <c r="R3786" s="136" t="s">
        <v>1013</v>
      </c>
      <c r="S3786" s="129"/>
    </row>
    <row r="3787" spans="1:19" hidden="1">
      <c r="A3787" s="135" t="s">
        <v>5859</v>
      </c>
      <c r="B3787" s="138" t="str">
        <f>IFERROR(VLOOKUP(Proc[[#This Row],[App]],Table2[],3,0),"open")</f>
        <v>ok</v>
      </c>
      <c r="C3787" s="138" t="s">
        <v>369</v>
      </c>
      <c r="D3787" t="s">
        <v>5913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on track</v>
      </c>
      <c r="Q3787" s="3">
        <f ca="1">IF(Proc[[#This Row],[DateClosed]]="",ABS(NETWORKDAYS(Proc[[#This Row],[DateOpened]],TODAY()))-1,ABS(NETWORKDAYS(Proc[[#This Row],[DateOpened]],Proc[[#This Row],[DateClosed]]))-1)</f>
        <v>5</v>
      </c>
      <c r="R3787" s="136" t="s">
        <v>1013</v>
      </c>
      <c r="S3787" s="129"/>
    </row>
    <row r="3788" spans="1:19" hidden="1">
      <c r="A3788" s="135" t="s">
        <v>5859</v>
      </c>
      <c r="B3788" s="138" t="str">
        <f>IFERROR(VLOOKUP(Proc[[#This Row],[App]],Table2[],3,0),"open")</f>
        <v>ok</v>
      </c>
      <c r="C3788" s="138" t="s">
        <v>369</v>
      </c>
      <c r="D3788" t="s">
        <v>5914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on track</v>
      </c>
      <c r="Q3788" s="3">
        <f ca="1">IF(Proc[[#This Row],[DateClosed]]="",ABS(NETWORKDAYS(Proc[[#This Row],[DateOpened]],TODAY()))-1,ABS(NETWORKDAYS(Proc[[#This Row],[DateOpened]],Proc[[#This Row],[DateClosed]]))-1)</f>
        <v>5</v>
      </c>
      <c r="R3788" s="136" t="s">
        <v>1013</v>
      </c>
      <c r="S3788" s="129"/>
    </row>
    <row r="3789" spans="1:19" hidden="1">
      <c r="A3789" s="135" t="s">
        <v>5859</v>
      </c>
      <c r="B3789" s="138" t="str">
        <f>IFERROR(VLOOKUP(Proc[[#This Row],[App]],Table2[],3,0),"open")</f>
        <v>ok</v>
      </c>
      <c r="C3789" s="138" t="s">
        <v>369</v>
      </c>
      <c r="D3789" t="s">
        <v>5915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on track</v>
      </c>
      <c r="Q3789" s="3">
        <f ca="1">IF(Proc[[#This Row],[DateClosed]]="",ABS(NETWORKDAYS(Proc[[#This Row],[DateOpened]],TODAY()))-1,ABS(NETWORKDAYS(Proc[[#This Row],[DateOpened]],Proc[[#This Row],[DateClosed]]))-1)</f>
        <v>5</v>
      </c>
      <c r="R3789" s="136" t="s">
        <v>1013</v>
      </c>
      <c r="S3789" s="129"/>
    </row>
    <row r="3790" spans="1:19" hidden="1">
      <c r="A3790" s="135" t="s">
        <v>5859</v>
      </c>
      <c r="B3790" s="138" t="str">
        <f>IFERROR(VLOOKUP(Proc[[#This Row],[App]],Table2[],3,0),"open")</f>
        <v>ok</v>
      </c>
      <c r="C3790" s="138" t="s">
        <v>369</v>
      </c>
      <c r="D3790" t="s">
        <v>5916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on track</v>
      </c>
      <c r="Q3790" s="3">
        <f ca="1">IF(Proc[[#This Row],[DateClosed]]="",ABS(NETWORKDAYS(Proc[[#This Row],[DateOpened]],TODAY()))-1,ABS(NETWORKDAYS(Proc[[#This Row],[DateOpened]],Proc[[#This Row],[DateClosed]]))-1)</f>
        <v>5</v>
      </c>
      <c r="R3790" s="136" t="s">
        <v>1013</v>
      </c>
      <c r="S3790" s="129"/>
    </row>
    <row r="3791" spans="1:19" hidden="1">
      <c r="A3791" s="135" t="s">
        <v>5859</v>
      </c>
      <c r="B3791" s="138" t="str">
        <f>IFERROR(VLOOKUP(Proc[[#This Row],[App]],Table2[],3,0),"open")</f>
        <v>ok</v>
      </c>
      <c r="C3791" s="138" t="s">
        <v>369</v>
      </c>
      <c r="D3791" t="s">
        <v>5917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on track</v>
      </c>
      <c r="Q3791" s="3">
        <f ca="1">IF(Proc[[#This Row],[DateClosed]]="",ABS(NETWORKDAYS(Proc[[#This Row],[DateOpened]],TODAY()))-1,ABS(NETWORKDAYS(Proc[[#This Row],[DateOpened]],Proc[[#This Row],[DateClosed]]))-1)</f>
        <v>5</v>
      </c>
      <c r="R3791" s="136" t="s">
        <v>1013</v>
      </c>
      <c r="S3791" s="129"/>
    </row>
    <row r="3792" spans="1:19" hidden="1">
      <c r="A3792" s="135" t="s">
        <v>5859</v>
      </c>
      <c r="B3792" s="138" t="str">
        <f>IFERROR(VLOOKUP(Proc[[#This Row],[App]],Table2[],3,0),"open")</f>
        <v>ok</v>
      </c>
      <c r="C3792" s="138" t="s">
        <v>369</v>
      </c>
      <c r="D3792" t="s">
        <v>5918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on track</v>
      </c>
      <c r="Q3792" s="3">
        <f ca="1">IF(Proc[[#This Row],[DateClosed]]="",ABS(NETWORKDAYS(Proc[[#This Row],[DateOpened]],TODAY()))-1,ABS(NETWORKDAYS(Proc[[#This Row],[DateOpened]],Proc[[#This Row],[DateClosed]]))-1)</f>
        <v>5</v>
      </c>
      <c r="R3792" s="136" t="s">
        <v>1013</v>
      </c>
      <c r="S3792" s="129"/>
    </row>
    <row r="3793" spans="1:19" hidden="1">
      <c r="A3793" s="135" t="s">
        <v>5859</v>
      </c>
      <c r="B3793" s="138" t="str">
        <f>IFERROR(VLOOKUP(Proc[[#This Row],[App]],Table2[],3,0),"open")</f>
        <v>ok</v>
      </c>
      <c r="C3793" s="138" t="s">
        <v>369</v>
      </c>
      <c r="D3793" t="s">
        <v>5919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on track</v>
      </c>
      <c r="Q3793" s="3">
        <f ca="1">IF(Proc[[#This Row],[DateClosed]]="",ABS(NETWORKDAYS(Proc[[#This Row],[DateOpened]],TODAY()))-1,ABS(NETWORKDAYS(Proc[[#This Row],[DateOpened]],Proc[[#This Row],[DateClosed]]))-1)</f>
        <v>5</v>
      </c>
      <c r="R3793" s="136" t="s">
        <v>1013</v>
      </c>
      <c r="S3793" s="129"/>
    </row>
    <row r="3794" spans="1:19" hidden="1">
      <c r="A3794" s="135" t="s">
        <v>5921</v>
      </c>
      <c r="B3794" s="138" t="str">
        <f>IFERROR(VLOOKUP(Proc[[#This Row],[App]],Table2[],3,0),"open")</f>
        <v>ok</v>
      </c>
      <c r="C3794" s="138" t="s">
        <v>369</v>
      </c>
      <c r="D3794" s="135" t="s">
        <v>5926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on track</v>
      </c>
      <c r="Q3794" s="3">
        <f ca="1">IF(Proc[[#This Row],[DateClosed]]="",ABS(NETWORKDAYS(Proc[[#This Row],[DateOpened]],TODAY()))-1,ABS(NETWORKDAYS(Proc[[#This Row],[DateOpened]],Proc[[#This Row],[DateClosed]]))-1)</f>
        <v>5</v>
      </c>
      <c r="R3794" s="136" t="s">
        <v>452</v>
      </c>
      <c r="S3794" s="129"/>
    </row>
    <row r="3795" spans="1:19" hidden="1">
      <c r="A3795" s="135" t="s">
        <v>5921</v>
      </c>
      <c r="B3795" s="138" t="str">
        <f>IFERROR(VLOOKUP(Proc[[#This Row],[App]],Table2[],3,0),"open")</f>
        <v>ok</v>
      </c>
      <c r="C3795" s="138" t="s">
        <v>369</v>
      </c>
      <c r="D3795" s="135" t="s">
        <v>5927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on track</v>
      </c>
      <c r="Q3795" s="3">
        <f ca="1">IF(Proc[[#This Row],[DateClosed]]="",ABS(NETWORKDAYS(Proc[[#This Row],[DateOpened]],TODAY()))-1,ABS(NETWORKDAYS(Proc[[#This Row],[DateOpened]],Proc[[#This Row],[DateClosed]]))-1)</f>
        <v>5</v>
      </c>
      <c r="R3795" s="136" t="s">
        <v>452</v>
      </c>
      <c r="S3795" s="129"/>
    </row>
    <row r="3796" spans="1:19" hidden="1">
      <c r="A3796" s="135" t="s">
        <v>5921</v>
      </c>
      <c r="B3796" s="138" t="str">
        <f>IFERROR(VLOOKUP(Proc[[#This Row],[App]],Table2[],3,0),"open")</f>
        <v>ok</v>
      </c>
      <c r="C3796" s="138" t="s">
        <v>369</v>
      </c>
      <c r="D3796" s="135" t="s">
        <v>5928</v>
      </c>
      <c r="E3796" t="s">
        <v>5922</v>
      </c>
      <c r="F3796" s="129" t="s">
        <v>5922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on track</v>
      </c>
      <c r="Q3796" s="3">
        <f ca="1">IF(Proc[[#This Row],[DateClosed]]="",ABS(NETWORKDAYS(Proc[[#This Row],[DateOpened]],TODAY()))-1,ABS(NETWORKDAYS(Proc[[#This Row],[DateOpened]],Proc[[#This Row],[DateClosed]]))-1)</f>
        <v>5</v>
      </c>
      <c r="R3796" s="136" t="s">
        <v>452</v>
      </c>
      <c r="S3796" s="129"/>
    </row>
    <row r="3797" spans="1:19" hidden="1">
      <c r="A3797" s="135" t="s">
        <v>5921</v>
      </c>
      <c r="B3797" s="138" t="str">
        <f>IFERROR(VLOOKUP(Proc[[#This Row],[App]],Table2[],3,0),"open")</f>
        <v>ok</v>
      </c>
      <c r="C3797" s="138" t="s">
        <v>369</v>
      </c>
      <c r="D3797" s="135" t="s">
        <v>5929</v>
      </c>
      <c r="E3797" t="s">
        <v>5922</v>
      </c>
      <c r="F3797" s="129" t="s">
        <v>5922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on track</v>
      </c>
      <c r="Q3797" s="3">
        <f ca="1">IF(Proc[[#This Row],[DateClosed]]="",ABS(NETWORKDAYS(Proc[[#This Row],[DateOpened]],TODAY()))-1,ABS(NETWORKDAYS(Proc[[#This Row],[DateOpened]],Proc[[#This Row],[DateClosed]]))-1)</f>
        <v>5</v>
      </c>
      <c r="R3797" s="136" t="s">
        <v>452</v>
      </c>
      <c r="S3797" s="129"/>
    </row>
    <row r="3798" spans="1:19" hidden="1">
      <c r="A3798" s="135" t="s">
        <v>5921</v>
      </c>
      <c r="B3798" s="138" t="str">
        <f>IFERROR(VLOOKUP(Proc[[#This Row],[App]],Table2[],3,0),"open")</f>
        <v>ok</v>
      </c>
      <c r="C3798" s="138" t="s">
        <v>369</v>
      </c>
      <c r="D3798" s="135" t="s">
        <v>5930</v>
      </c>
      <c r="E3798" t="s">
        <v>5922</v>
      </c>
      <c r="F3798" s="129" t="s">
        <v>5922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on track</v>
      </c>
      <c r="Q3798" s="3">
        <f ca="1">IF(Proc[[#This Row],[DateClosed]]="",ABS(NETWORKDAYS(Proc[[#This Row],[DateOpened]],TODAY()))-1,ABS(NETWORKDAYS(Proc[[#This Row],[DateOpened]],Proc[[#This Row],[DateClosed]]))-1)</f>
        <v>5</v>
      </c>
      <c r="R3798" s="136" t="s">
        <v>452</v>
      </c>
      <c r="S3798" s="129"/>
    </row>
    <row r="3799" spans="1:19" hidden="1">
      <c r="A3799" t="s">
        <v>5923</v>
      </c>
      <c r="B3799" s="138" t="str">
        <f>IFERROR(VLOOKUP(Proc[[#This Row],[App]],Table2[],3,0),"open")</f>
        <v>ok</v>
      </c>
      <c r="C3799" s="138" t="s">
        <v>369</v>
      </c>
      <c r="D3799" t="s">
        <v>5931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on track</v>
      </c>
      <c r="Q3799" s="3">
        <f ca="1">IF(Proc[[#This Row],[DateClosed]]="",ABS(NETWORKDAYS(Proc[[#This Row],[DateOpened]],TODAY()))-1,ABS(NETWORKDAYS(Proc[[#This Row],[DateOpened]],Proc[[#This Row],[DateClosed]]))-1)</f>
        <v>5</v>
      </c>
      <c r="R3799" s="136" t="s">
        <v>1013</v>
      </c>
      <c r="S3799" s="129"/>
    </row>
    <row r="3800" spans="1:19" hidden="1">
      <c r="A3800" s="135" t="s">
        <v>5923</v>
      </c>
      <c r="B3800" s="138" t="str">
        <f>IFERROR(VLOOKUP(Proc[[#This Row],[App]],Table2[],3,0),"open")</f>
        <v>ok</v>
      </c>
      <c r="C3800" s="138" t="s">
        <v>369</v>
      </c>
      <c r="D3800" t="s">
        <v>5932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on track</v>
      </c>
      <c r="Q3800" s="3">
        <f ca="1">IF(Proc[[#This Row],[DateClosed]]="",ABS(NETWORKDAYS(Proc[[#This Row],[DateOpened]],TODAY()))-1,ABS(NETWORKDAYS(Proc[[#This Row],[DateOpened]],Proc[[#This Row],[DateClosed]]))-1)</f>
        <v>5</v>
      </c>
      <c r="R3800" s="136" t="s">
        <v>1013</v>
      </c>
      <c r="S3800" s="129"/>
    </row>
    <row r="3801" spans="1:19" hidden="1">
      <c r="A3801" s="135" t="s">
        <v>5923</v>
      </c>
      <c r="B3801" s="138" t="str">
        <f>IFERROR(VLOOKUP(Proc[[#This Row],[App]],Table2[],3,0),"open")</f>
        <v>ok</v>
      </c>
      <c r="C3801" s="138" t="s">
        <v>369</v>
      </c>
      <c r="D3801" t="s">
        <v>5933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on track</v>
      </c>
      <c r="Q3801" s="3">
        <f ca="1">IF(Proc[[#This Row],[DateClosed]]="",ABS(NETWORKDAYS(Proc[[#This Row],[DateOpened]],TODAY()))-1,ABS(NETWORKDAYS(Proc[[#This Row],[DateOpened]],Proc[[#This Row],[DateClosed]]))-1)</f>
        <v>5</v>
      </c>
      <c r="R3801" s="136" t="s">
        <v>1013</v>
      </c>
      <c r="S3801" s="129"/>
    </row>
    <row r="3802" spans="1:19" hidden="1">
      <c r="A3802" s="135" t="s">
        <v>5923</v>
      </c>
      <c r="B3802" s="138" t="str">
        <f>IFERROR(VLOOKUP(Proc[[#This Row],[App]],Table2[],3,0),"open")</f>
        <v>ok</v>
      </c>
      <c r="C3802" s="138" t="s">
        <v>369</v>
      </c>
      <c r="D3802" t="s">
        <v>5934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on track</v>
      </c>
      <c r="Q3802" s="3">
        <f ca="1">IF(Proc[[#This Row],[DateClosed]]="",ABS(NETWORKDAYS(Proc[[#This Row],[DateOpened]],TODAY()))-1,ABS(NETWORKDAYS(Proc[[#This Row],[DateOpened]],Proc[[#This Row],[DateClosed]]))-1)</f>
        <v>5</v>
      </c>
      <c r="R3802" s="136" t="s">
        <v>1013</v>
      </c>
      <c r="S3802" s="129"/>
    </row>
    <row r="3803" spans="1:19" hidden="1">
      <c r="A3803" s="135" t="s">
        <v>5923</v>
      </c>
      <c r="B3803" s="138" t="str">
        <f>IFERROR(VLOOKUP(Proc[[#This Row],[App]],Table2[],3,0),"open")</f>
        <v>ok</v>
      </c>
      <c r="C3803" s="138" t="s">
        <v>369</v>
      </c>
      <c r="D3803" t="s">
        <v>5935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on track</v>
      </c>
      <c r="Q3803" s="3">
        <f ca="1">IF(Proc[[#This Row],[DateClosed]]="",ABS(NETWORKDAYS(Proc[[#This Row],[DateOpened]],TODAY()))-1,ABS(NETWORKDAYS(Proc[[#This Row],[DateOpened]],Proc[[#This Row],[DateClosed]]))-1)</f>
        <v>5</v>
      </c>
      <c r="R3803" s="136" t="s">
        <v>1013</v>
      </c>
      <c r="S3803" s="129"/>
    </row>
    <row r="3804" spans="1:19" hidden="1">
      <c r="A3804" s="135" t="s">
        <v>5923</v>
      </c>
      <c r="B3804" s="138" t="str">
        <f>IFERROR(VLOOKUP(Proc[[#This Row],[App]],Table2[],3,0),"open")</f>
        <v>ok</v>
      </c>
      <c r="C3804" s="138" t="s">
        <v>369</v>
      </c>
      <c r="D3804" t="s">
        <v>5936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on track</v>
      </c>
      <c r="Q3804" s="3">
        <f ca="1">IF(Proc[[#This Row],[DateClosed]]="",ABS(NETWORKDAYS(Proc[[#This Row],[DateOpened]],TODAY()))-1,ABS(NETWORKDAYS(Proc[[#This Row],[DateOpened]],Proc[[#This Row],[DateClosed]]))-1)</f>
        <v>5</v>
      </c>
      <c r="R3804" s="136" t="s">
        <v>1013</v>
      </c>
      <c r="S3804" s="129"/>
    </row>
    <row r="3805" spans="1:19" hidden="1">
      <c r="A3805" s="135" t="s">
        <v>5923</v>
      </c>
      <c r="B3805" s="138" t="str">
        <f>IFERROR(VLOOKUP(Proc[[#This Row],[App]],Table2[],3,0),"open")</f>
        <v>ok</v>
      </c>
      <c r="C3805" s="138" t="s">
        <v>369</v>
      </c>
      <c r="D3805" t="s">
        <v>5937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on track</v>
      </c>
      <c r="Q3805" s="3">
        <f ca="1">IF(Proc[[#This Row],[DateClosed]]="",ABS(NETWORKDAYS(Proc[[#This Row],[DateOpened]],TODAY()))-1,ABS(NETWORKDAYS(Proc[[#This Row],[DateOpened]],Proc[[#This Row],[DateClosed]]))-1)</f>
        <v>5</v>
      </c>
      <c r="R3805" s="136" t="s">
        <v>1013</v>
      </c>
      <c r="S3805" s="129"/>
    </row>
    <row r="3806" spans="1:19" hidden="1">
      <c r="A3806" s="135" t="s">
        <v>5923</v>
      </c>
      <c r="B3806" s="138" t="str">
        <f>IFERROR(VLOOKUP(Proc[[#This Row],[App]],Table2[],3,0),"open")</f>
        <v>ok</v>
      </c>
      <c r="C3806" s="138" t="s">
        <v>369</v>
      </c>
      <c r="D3806" t="s">
        <v>5938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on track</v>
      </c>
      <c r="Q3806" s="3">
        <f ca="1">IF(Proc[[#This Row],[DateClosed]]="",ABS(NETWORKDAYS(Proc[[#This Row],[DateOpened]],TODAY()))-1,ABS(NETWORKDAYS(Proc[[#This Row],[DateOpened]],Proc[[#This Row],[DateClosed]]))-1)</f>
        <v>5</v>
      </c>
      <c r="R3806" s="136" t="s">
        <v>1013</v>
      </c>
      <c r="S3806" s="129"/>
    </row>
    <row r="3807" spans="1:19" hidden="1">
      <c r="A3807" s="135" t="s">
        <v>5923</v>
      </c>
      <c r="B3807" s="138" t="str">
        <f>IFERROR(VLOOKUP(Proc[[#This Row],[App]],Table2[],3,0),"open")</f>
        <v>ok</v>
      </c>
      <c r="C3807" s="138" t="s">
        <v>369</v>
      </c>
      <c r="D3807" t="s">
        <v>5939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on track</v>
      </c>
      <c r="Q3807" s="3">
        <f ca="1">IF(Proc[[#This Row],[DateClosed]]="",ABS(NETWORKDAYS(Proc[[#This Row],[DateOpened]],TODAY()))-1,ABS(NETWORKDAYS(Proc[[#This Row],[DateOpened]],Proc[[#This Row],[DateClosed]]))-1)</f>
        <v>5</v>
      </c>
      <c r="R3807" s="136" t="s">
        <v>1013</v>
      </c>
      <c r="S3807" s="129"/>
    </row>
    <row r="3808" spans="1:19" hidden="1">
      <c r="A3808" s="135" t="s">
        <v>5923</v>
      </c>
      <c r="B3808" s="138" t="str">
        <f>IFERROR(VLOOKUP(Proc[[#This Row],[App]],Table2[],3,0),"open")</f>
        <v>ok</v>
      </c>
      <c r="C3808" s="138" t="s">
        <v>369</v>
      </c>
      <c r="D3808" t="s">
        <v>5940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on track</v>
      </c>
      <c r="Q3808" s="3">
        <f ca="1">IF(Proc[[#This Row],[DateClosed]]="",ABS(NETWORKDAYS(Proc[[#This Row],[DateOpened]],TODAY()))-1,ABS(NETWORKDAYS(Proc[[#This Row],[DateOpened]],Proc[[#This Row],[DateClosed]]))-1)</f>
        <v>5</v>
      </c>
      <c r="R3808" s="136" t="s">
        <v>1013</v>
      </c>
      <c r="S3808" s="129"/>
    </row>
    <row r="3809" spans="1:19" hidden="1">
      <c r="A3809" s="135" t="s">
        <v>5923</v>
      </c>
      <c r="B3809" s="138" t="str">
        <f>IFERROR(VLOOKUP(Proc[[#This Row],[App]],Table2[],3,0),"open")</f>
        <v>ok</v>
      </c>
      <c r="C3809" s="138" t="s">
        <v>369</v>
      </c>
      <c r="D3809" t="s">
        <v>5941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on track</v>
      </c>
      <c r="Q3809" s="3">
        <f ca="1">IF(Proc[[#This Row],[DateClosed]]="",ABS(NETWORKDAYS(Proc[[#This Row],[DateOpened]],TODAY()))-1,ABS(NETWORKDAYS(Proc[[#This Row],[DateOpened]],Proc[[#This Row],[DateClosed]]))-1)</f>
        <v>5</v>
      </c>
      <c r="R3809" s="136" t="s">
        <v>1013</v>
      </c>
      <c r="S3809" s="129"/>
    </row>
    <row r="3810" spans="1:19" hidden="1">
      <c r="A3810" s="135" t="s">
        <v>5923</v>
      </c>
      <c r="B3810" s="138" t="str">
        <f>IFERROR(VLOOKUP(Proc[[#This Row],[App]],Table2[],3,0),"open")</f>
        <v>ok</v>
      </c>
      <c r="C3810" s="138" t="s">
        <v>369</v>
      </c>
      <c r="D3810" t="s">
        <v>5942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on track</v>
      </c>
      <c r="Q3810" s="3">
        <f ca="1">IF(Proc[[#This Row],[DateClosed]]="",ABS(NETWORKDAYS(Proc[[#This Row],[DateOpened]],TODAY()))-1,ABS(NETWORKDAYS(Proc[[#This Row],[DateOpened]],Proc[[#This Row],[DateClosed]]))-1)</f>
        <v>5</v>
      </c>
      <c r="R3810" s="136" t="s">
        <v>1013</v>
      </c>
      <c r="S3810" s="129"/>
    </row>
    <row r="3811" spans="1:19" hidden="1">
      <c r="A3811" s="135" t="s">
        <v>5923</v>
      </c>
      <c r="B3811" s="138" t="str">
        <f>IFERROR(VLOOKUP(Proc[[#This Row],[App]],Table2[],3,0),"open")</f>
        <v>ok</v>
      </c>
      <c r="C3811" s="138" t="s">
        <v>369</v>
      </c>
      <c r="D3811" t="s">
        <v>5943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on track</v>
      </c>
      <c r="Q3811" s="3">
        <f ca="1">IF(Proc[[#This Row],[DateClosed]]="",ABS(NETWORKDAYS(Proc[[#This Row],[DateOpened]],TODAY()))-1,ABS(NETWORKDAYS(Proc[[#This Row],[DateOpened]],Proc[[#This Row],[DateClosed]]))-1)</f>
        <v>5</v>
      </c>
      <c r="R3811" s="136" t="s">
        <v>1013</v>
      </c>
      <c r="S3811" s="129"/>
    </row>
    <row r="3812" spans="1:19" hidden="1">
      <c r="A3812" s="135" t="s">
        <v>5923</v>
      </c>
      <c r="B3812" s="138" t="str">
        <f>IFERROR(VLOOKUP(Proc[[#This Row],[App]],Table2[],3,0),"open")</f>
        <v>ok</v>
      </c>
      <c r="C3812" s="138" t="s">
        <v>369</v>
      </c>
      <c r="D3812" t="s">
        <v>5944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on track</v>
      </c>
      <c r="Q3812" s="3">
        <f ca="1">IF(Proc[[#This Row],[DateClosed]]="",ABS(NETWORKDAYS(Proc[[#This Row],[DateOpened]],TODAY()))-1,ABS(NETWORKDAYS(Proc[[#This Row],[DateOpened]],Proc[[#This Row],[DateClosed]]))-1)</f>
        <v>5</v>
      </c>
      <c r="R3812" s="136" t="s">
        <v>1013</v>
      </c>
      <c r="S3812" s="129"/>
    </row>
    <row r="3813" spans="1:19" hidden="1">
      <c r="A3813" s="135" t="s">
        <v>5923</v>
      </c>
      <c r="B3813" s="138" t="str">
        <f>IFERROR(VLOOKUP(Proc[[#This Row],[App]],Table2[],3,0),"open")</f>
        <v>ok</v>
      </c>
      <c r="C3813" s="138" t="s">
        <v>369</v>
      </c>
      <c r="D3813" t="s">
        <v>5945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on track</v>
      </c>
      <c r="Q3813" s="3">
        <f ca="1">IF(Proc[[#This Row],[DateClosed]]="",ABS(NETWORKDAYS(Proc[[#This Row],[DateOpened]],TODAY()))-1,ABS(NETWORKDAYS(Proc[[#This Row],[DateOpened]],Proc[[#This Row],[DateClosed]]))-1)</f>
        <v>5</v>
      </c>
      <c r="R3813" s="136" t="s">
        <v>1013</v>
      </c>
      <c r="S3813" s="129"/>
    </row>
    <row r="3814" spans="1:19" hidden="1">
      <c r="A3814" s="135" t="s">
        <v>5923</v>
      </c>
      <c r="B3814" s="138" t="str">
        <f>IFERROR(VLOOKUP(Proc[[#This Row],[App]],Table2[],3,0),"open")</f>
        <v>ok</v>
      </c>
      <c r="C3814" s="138" t="s">
        <v>369</v>
      </c>
      <c r="D3814" t="s">
        <v>5946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on track</v>
      </c>
      <c r="Q3814" s="3">
        <f ca="1">IF(Proc[[#This Row],[DateClosed]]="",ABS(NETWORKDAYS(Proc[[#This Row],[DateOpened]],TODAY()))-1,ABS(NETWORKDAYS(Proc[[#This Row],[DateOpened]],Proc[[#This Row],[DateClosed]]))-1)</f>
        <v>5</v>
      </c>
      <c r="R3814" s="136" t="s">
        <v>1013</v>
      </c>
      <c r="S3814" s="129"/>
    </row>
    <row r="3815" spans="1:19" hidden="1">
      <c r="A3815" s="135" t="s">
        <v>5923</v>
      </c>
      <c r="B3815" s="138" t="str">
        <f>IFERROR(VLOOKUP(Proc[[#This Row],[App]],Table2[],3,0),"open")</f>
        <v>ok</v>
      </c>
      <c r="C3815" s="138" t="s">
        <v>369</v>
      </c>
      <c r="D3815" t="s">
        <v>5947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on track</v>
      </c>
      <c r="Q3815" s="3">
        <f ca="1">IF(Proc[[#This Row],[DateClosed]]="",ABS(NETWORKDAYS(Proc[[#This Row],[DateOpened]],TODAY()))-1,ABS(NETWORKDAYS(Proc[[#This Row],[DateOpened]],Proc[[#This Row],[DateClosed]]))-1)</f>
        <v>5</v>
      </c>
      <c r="R3815" s="136" t="s">
        <v>1013</v>
      </c>
      <c r="S3815" s="129"/>
    </row>
    <row r="3816" spans="1:19" hidden="1">
      <c r="A3816" s="135" t="s">
        <v>5923</v>
      </c>
      <c r="B3816" s="138" t="str">
        <f>IFERROR(VLOOKUP(Proc[[#This Row],[App]],Table2[],3,0),"open")</f>
        <v>ok</v>
      </c>
      <c r="C3816" s="138" t="s">
        <v>369</v>
      </c>
      <c r="D3816" t="s">
        <v>5924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on track</v>
      </c>
      <c r="Q3816" s="3">
        <f ca="1">IF(Proc[[#This Row],[DateClosed]]="",ABS(NETWORKDAYS(Proc[[#This Row],[DateOpened]],TODAY()))-1,ABS(NETWORKDAYS(Proc[[#This Row],[DateOpened]],Proc[[#This Row],[DateClosed]]))-1)</f>
        <v>5</v>
      </c>
      <c r="R3816" s="136" t="s">
        <v>1013</v>
      </c>
      <c r="S3816" s="129"/>
    </row>
    <row r="3817" spans="1:19" hidden="1">
      <c r="A3817" s="135" t="s">
        <v>5923</v>
      </c>
      <c r="B3817" s="138" t="str">
        <f>IFERROR(VLOOKUP(Proc[[#This Row],[App]],Table2[],3,0),"open")</f>
        <v>ok</v>
      </c>
      <c r="C3817" s="135" t="s">
        <v>369</v>
      </c>
      <c r="D3817" t="s">
        <v>5925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on track</v>
      </c>
      <c r="Q3817" s="3">
        <f ca="1">IF(Proc[[#This Row],[DateClosed]]="",ABS(NETWORKDAYS(Proc[[#This Row],[DateOpened]],TODAY()))-1,ABS(NETWORKDAYS(Proc[[#This Row],[DateOpened]],Proc[[#This Row],[DateClosed]]))-1)</f>
        <v>5</v>
      </c>
      <c r="R3817" s="136" t="s">
        <v>1013</v>
      </c>
      <c r="S3817" s="129"/>
    </row>
    <row r="3818" spans="1:19" hidden="1">
      <c r="A3818" s="135" t="s">
        <v>6090</v>
      </c>
      <c r="B3818" s="138" t="str">
        <f>IFERROR(VLOOKUP(Proc[[#This Row],[App]],Table2[],3,0),"open")</f>
        <v>open</v>
      </c>
      <c r="C3818" s="138" t="s">
        <v>369</v>
      </c>
      <c r="D3818" t="s">
        <v>5949</v>
      </c>
      <c r="E3818" t="s">
        <v>6063</v>
      </c>
      <c r="F3818" s="129" t="s">
        <v>6063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on track</v>
      </c>
      <c r="Q3818" s="3">
        <f ca="1">IF(Proc[[#This Row],[DateClosed]]="",ABS(NETWORKDAYS(Proc[[#This Row],[DateOpened]],TODAY()))-1,ABS(NETWORKDAYS(Proc[[#This Row],[DateOpened]],Proc[[#This Row],[DateClosed]]))-1)</f>
        <v>5</v>
      </c>
      <c r="R3818" s="136" t="s">
        <v>6091</v>
      </c>
      <c r="S3818" s="129"/>
    </row>
    <row r="3819" spans="1:19" hidden="1">
      <c r="A3819" s="135" t="s">
        <v>6090</v>
      </c>
      <c r="B3819" s="138" t="str">
        <f>IFERROR(VLOOKUP(Proc[[#This Row],[App]],Table2[],3,0),"open")</f>
        <v>open</v>
      </c>
      <c r="C3819" s="138" t="s">
        <v>369</v>
      </c>
      <c r="D3819" t="s">
        <v>5950</v>
      </c>
      <c r="E3819" t="s">
        <v>6063</v>
      </c>
      <c r="F3819" s="129" t="s">
        <v>6063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on track</v>
      </c>
      <c r="Q3819" s="3">
        <f ca="1">IF(Proc[[#This Row],[DateClosed]]="",ABS(NETWORKDAYS(Proc[[#This Row],[DateOpened]],TODAY()))-1,ABS(NETWORKDAYS(Proc[[#This Row],[DateOpened]],Proc[[#This Row],[DateClosed]]))-1)</f>
        <v>5</v>
      </c>
      <c r="R3819" s="136" t="s">
        <v>6091</v>
      </c>
      <c r="S3819" s="129"/>
    </row>
    <row r="3820" spans="1:19" hidden="1">
      <c r="A3820" s="135" t="s">
        <v>6090</v>
      </c>
      <c r="B3820" s="138" t="str">
        <f>IFERROR(VLOOKUP(Proc[[#This Row],[App]],Table2[],3,0),"open")</f>
        <v>open</v>
      </c>
      <c r="C3820" s="138" t="s">
        <v>369</v>
      </c>
      <c r="D3820" t="s">
        <v>5951</v>
      </c>
      <c r="E3820" t="s">
        <v>6063</v>
      </c>
      <c r="F3820" s="129" t="s">
        <v>6063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on track</v>
      </c>
      <c r="Q3820" s="3">
        <f ca="1">IF(Proc[[#This Row],[DateClosed]]="",ABS(NETWORKDAYS(Proc[[#This Row],[DateOpened]],TODAY()))-1,ABS(NETWORKDAYS(Proc[[#This Row],[DateOpened]],Proc[[#This Row],[DateClosed]]))-1)</f>
        <v>5</v>
      </c>
      <c r="R3820" s="136" t="s">
        <v>6091</v>
      </c>
      <c r="S3820" s="129"/>
    </row>
    <row r="3821" spans="1:19" hidden="1">
      <c r="A3821" s="135" t="s">
        <v>6090</v>
      </c>
      <c r="B3821" s="138" t="str">
        <f>IFERROR(VLOOKUP(Proc[[#This Row],[App]],Table2[],3,0),"open")</f>
        <v>open</v>
      </c>
      <c r="C3821" s="138" t="s">
        <v>369</v>
      </c>
      <c r="D3821" t="s">
        <v>5952</v>
      </c>
      <c r="E3821" t="s">
        <v>6064</v>
      </c>
      <c r="F3821" s="129" t="s">
        <v>6064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on track</v>
      </c>
      <c r="Q3821" s="3">
        <f ca="1">IF(Proc[[#This Row],[DateClosed]]="",ABS(NETWORKDAYS(Proc[[#This Row],[DateOpened]],TODAY()))-1,ABS(NETWORKDAYS(Proc[[#This Row],[DateOpened]],Proc[[#This Row],[DateClosed]]))-1)</f>
        <v>5</v>
      </c>
      <c r="R3821" s="136" t="s">
        <v>6091</v>
      </c>
      <c r="S3821" s="129"/>
    </row>
    <row r="3822" spans="1:19" hidden="1">
      <c r="A3822" s="135" t="s">
        <v>6090</v>
      </c>
      <c r="B3822" s="138" t="str">
        <f>IFERROR(VLOOKUP(Proc[[#This Row],[App]],Table2[],3,0),"open")</f>
        <v>open</v>
      </c>
      <c r="C3822" s="138" t="s">
        <v>369</v>
      </c>
      <c r="D3822" t="s">
        <v>5953</v>
      </c>
      <c r="E3822" t="s">
        <v>6065</v>
      </c>
      <c r="F3822" s="129" t="s">
        <v>6065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on track</v>
      </c>
      <c r="Q3822" s="3">
        <f ca="1">IF(Proc[[#This Row],[DateClosed]]="",ABS(NETWORKDAYS(Proc[[#This Row],[DateOpened]],TODAY()))-1,ABS(NETWORKDAYS(Proc[[#This Row],[DateOpened]],Proc[[#This Row],[DateClosed]]))-1)</f>
        <v>5</v>
      </c>
      <c r="R3822" s="136" t="s">
        <v>6091</v>
      </c>
      <c r="S3822" s="129"/>
    </row>
    <row r="3823" spans="1:19" hidden="1">
      <c r="A3823" s="135" t="s">
        <v>6090</v>
      </c>
      <c r="B3823" s="138" t="str">
        <f>IFERROR(VLOOKUP(Proc[[#This Row],[App]],Table2[],3,0),"open")</f>
        <v>open</v>
      </c>
      <c r="C3823" s="138" t="s">
        <v>369</v>
      </c>
      <c r="D3823" t="s">
        <v>5954</v>
      </c>
      <c r="E3823" t="s">
        <v>6065</v>
      </c>
      <c r="F3823" s="129" t="s">
        <v>6065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on track</v>
      </c>
      <c r="Q3823" s="3">
        <f ca="1">IF(Proc[[#This Row],[DateClosed]]="",ABS(NETWORKDAYS(Proc[[#This Row],[DateOpened]],TODAY()))-1,ABS(NETWORKDAYS(Proc[[#This Row],[DateOpened]],Proc[[#This Row],[DateClosed]]))-1)</f>
        <v>5</v>
      </c>
      <c r="R3823" s="136" t="s">
        <v>6091</v>
      </c>
      <c r="S3823" s="129"/>
    </row>
    <row r="3824" spans="1:19" hidden="1">
      <c r="A3824" s="135" t="s">
        <v>6090</v>
      </c>
      <c r="B3824" s="138" t="str">
        <f>IFERROR(VLOOKUP(Proc[[#This Row],[App]],Table2[],3,0),"open")</f>
        <v>open</v>
      </c>
      <c r="C3824" s="138" t="s">
        <v>369</v>
      </c>
      <c r="D3824" t="s">
        <v>5955</v>
      </c>
      <c r="E3824" t="s">
        <v>6066</v>
      </c>
      <c r="F3824" s="129" t="s">
        <v>6066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on track</v>
      </c>
      <c r="Q3824" s="3">
        <f ca="1">IF(Proc[[#This Row],[DateClosed]]="",ABS(NETWORKDAYS(Proc[[#This Row],[DateOpened]],TODAY()))-1,ABS(NETWORKDAYS(Proc[[#This Row],[DateOpened]],Proc[[#This Row],[DateClosed]]))-1)</f>
        <v>5</v>
      </c>
      <c r="R3824" s="136" t="s">
        <v>6091</v>
      </c>
      <c r="S3824" s="129"/>
    </row>
    <row r="3825" spans="1:19" hidden="1">
      <c r="A3825" s="135" t="s">
        <v>6090</v>
      </c>
      <c r="B3825" s="138" t="str">
        <f>IFERROR(VLOOKUP(Proc[[#This Row],[App]],Table2[],3,0),"open")</f>
        <v>open</v>
      </c>
      <c r="C3825" s="138" t="s">
        <v>369</v>
      </c>
      <c r="D3825" t="s">
        <v>5956</v>
      </c>
      <c r="E3825" t="s">
        <v>6066</v>
      </c>
      <c r="F3825" s="129" t="s">
        <v>6066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on track</v>
      </c>
      <c r="Q3825" s="3">
        <f ca="1">IF(Proc[[#This Row],[DateClosed]]="",ABS(NETWORKDAYS(Proc[[#This Row],[DateOpened]],TODAY()))-1,ABS(NETWORKDAYS(Proc[[#This Row],[DateOpened]],Proc[[#This Row],[DateClosed]]))-1)</f>
        <v>5</v>
      </c>
      <c r="R3825" s="136" t="s">
        <v>6091</v>
      </c>
      <c r="S3825" s="129"/>
    </row>
    <row r="3826" spans="1:19" hidden="1">
      <c r="A3826" s="135" t="s">
        <v>6090</v>
      </c>
      <c r="B3826" s="138" t="str">
        <f>IFERROR(VLOOKUP(Proc[[#This Row],[App]],Table2[],3,0),"open")</f>
        <v>open</v>
      </c>
      <c r="C3826" s="138" t="s">
        <v>370</v>
      </c>
      <c r="D3826" t="s">
        <v>5957</v>
      </c>
      <c r="E3826" t="s">
        <v>6067</v>
      </c>
      <c r="F3826" s="129" t="s">
        <v>6107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on track</v>
      </c>
      <c r="Q3826" s="3">
        <f ca="1">IF(Proc[[#This Row],[DateClosed]]="",ABS(NETWORKDAYS(Proc[[#This Row],[DateOpened]],TODAY()))-1,ABS(NETWORKDAYS(Proc[[#This Row],[DateOpened]],Proc[[#This Row],[DateClosed]]))-1)</f>
        <v>5</v>
      </c>
      <c r="R3826" s="136" t="s">
        <v>6091</v>
      </c>
      <c r="S3826" s="129"/>
    </row>
    <row r="3827" spans="1:19" hidden="1">
      <c r="A3827" s="135" t="s">
        <v>6090</v>
      </c>
      <c r="B3827" s="138" t="str">
        <f>IFERROR(VLOOKUP(Proc[[#This Row],[App]],Table2[],3,0),"open")</f>
        <v>open</v>
      </c>
      <c r="C3827" s="138" t="s">
        <v>369</v>
      </c>
      <c r="D3827" t="s">
        <v>5958</v>
      </c>
      <c r="E3827" t="s">
        <v>6068</v>
      </c>
      <c r="F3827" s="138" t="s">
        <v>6068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on track</v>
      </c>
      <c r="Q3827" s="3">
        <f ca="1">IF(Proc[[#This Row],[DateClosed]]="",ABS(NETWORKDAYS(Proc[[#This Row],[DateOpened]],TODAY()))-1,ABS(NETWORKDAYS(Proc[[#This Row],[DateOpened]],Proc[[#This Row],[DateClosed]]))-1)</f>
        <v>5</v>
      </c>
      <c r="R3827" s="136" t="s">
        <v>6091</v>
      </c>
      <c r="S3827" s="129"/>
    </row>
    <row r="3828" spans="1:19" hidden="1">
      <c r="A3828" s="135" t="s">
        <v>6090</v>
      </c>
      <c r="B3828" s="138" t="str">
        <f>IFERROR(VLOOKUP(Proc[[#This Row],[App]],Table2[],3,0),"open")</f>
        <v>open</v>
      </c>
      <c r="C3828" s="138" t="s">
        <v>369</v>
      </c>
      <c r="D3828" t="s">
        <v>5959</v>
      </c>
      <c r="E3828" t="s">
        <v>6069</v>
      </c>
      <c r="F3828" s="129" t="s">
        <v>6069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on track</v>
      </c>
      <c r="Q3828" s="3">
        <f ca="1">IF(Proc[[#This Row],[DateClosed]]="",ABS(NETWORKDAYS(Proc[[#This Row],[DateOpened]],TODAY()))-1,ABS(NETWORKDAYS(Proc[[#This Row],[DateOpened]],Proc[[#This Row],[DateClosed]]))-1)</f>
        <v>5</v>
      </c>
      <c r="R3828" s="136" t="s">
        <v>6091</v>
      </c>
      <c r="S3828" s="129"/>
    </row>
    <row r="3829" spans="1:19" hidden="1">
      <c r="A3829" s="135" t="s">
        <v>6090</v>
      </c>
      <c r="B3829" s="138" t="str">
        <f>IFERROR(VLOOKUP(Proc[[#This Row],[App]],Table2[],3,0),"open")</f>
        <v>open</v>
      </c>
      <c r="C3829" s="138" t="s">
        <v>369</v>
      </c>
      <c r="D3829" t="s">
        <v>5960</v>
      </c>
      <c r="E3829" t="s">
        <v>6066</v>
      </c>
      <c r="F3829" s="129" t="s">
        <v>6066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on track</v>
      </c>
      <c r="Q3829" s="3">
        <f ca="1">IF(Proc[[#This Row],[DateClosed]]="",ABS(NETWORKDAYS(Proc[[#This Row],[DateOpened]],TODAY()))-1,ABS(NETWORKDAYS(Proc[[#This Row],[DateOpened]],Proc[[#This Row],[DateClosed]]))-1)</f>
        <v>5</v>
      </c>
      <c r="R3829" s="136" t="s">
        <v>6091</v>
      </c>
      <c r="S3829" s="129"/>
    </row>
    <row r="3830" spans="1:19" hidden="1">
      <c r="A3830" s="135" t="s">
        <v>6090</v>
      </c>
      <c r="B3830" s="138" t="str">
        <f>IFERROR(VLOOKUP(Proc[[#This Row],[App]],Table2[],3,0),"open")</f>
        <v>open</v>
      </c>
      <c r="C3830" s="138" t="s">
        <v>369</v>
      </c>
      <c r="D3830" t="s">
        <v>5961</v>
      </c>
      <c r="E3830" t="s">
        <v>6070</v>
      </c>
      <c r="F3830" s="129" t="s">
        <v>6070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on track</v>
      </c>
      <c r="Q3830" s="3">
        <f ca="1">IF(Proc[[#This Row],[DateClosed]]="",ABS(NETWORKDAYS(Proc[[#This Row],[DateOpened]],TODAY()))-1,ABS(NETWORKDAYS(Proc[[#This Row],[DateOpened]],Proc[[#This Row],[DateClosed]]))-1)</f>
        <v>5</v>
      </c>
      <c r="R3830" s="136" t="s">
        <v>6091</v>
      </c>
      <c r="S3830" s="129"/>
    </row>
    <row r="3831" spans="1:19" hidden="1">
      <c r="A3831" s="135" t="s">
        <v>6090</v>
      </c>
      <c r="B3831" s="138" t="str">
        <f>IFERROR(VLOOKUP(Proc[[#This Row],[App]],Table2[],3,0),"open")</f>
        <v>open</v>
      </c>
      <c r="C3831" s="138" t="s">
        <v>369</v>
      </c>
      <c r="D3831" t="s">
        <v>5962</v>
      </c>
      <c r="E3831" t="s">
        <v>6070</v>
      </c>
      <c r="F3831" s="129" t="s">
        <v>6070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on track</v>
      </c>
      <c r="Q3831" s="3">
        <f ca="1">IF(Proc[[#This Row],[DateClosed]]="",ABS(NETWORKDAYS(Proc[[#This Row],[DateOpened]],TODAY()))-1,ABS(NETWORKDAYS(Proc[[#This Row],[DateOpened]],Proc[[#This Row],[DateClosed]]))-1)</f>
        <v>5</v>
      </c>
      <c r="R3831" s="136" t="s">
        <v>6091</v>
      </c>
      <c r="S3831" s="129"/>
    </row>
    <row r="3832" spans="1:19" hidden="1">
      <c r="A3832" s="135" t="s">
        <v>6090</v>
      </c>
      <c r="B3832" s="138" t="str">
        <f>IFERROR(VLOOKUP(Proc[[#This Row],[App]],Table2[],3,0),"open")</f>
        <v>open</v>
      </c>
      <c r="C3832" s="138" t="s">
        <v>369</v>
      </c>
      <c r="D3832" t="s">
        <v>5963</v>
      </c>
      <c r="E3832" t="s">
        <v>6070</v>
      </c>
      <c r="F3832" s="129" t="s">
        <v>6070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on track</v>
      </c>
      <c r="Q3832" s="3">
        <f ca="1">IF(Proc[[#This Row],[DateClosed]]="",ABS(NETWORKDAYS(Proc[[#This Row],[DateOpened]],TODAY()))-1,ABS(NETWORKDAYS(Proc[[#This Row],[DateOpened]],Proc[[#This Row],[DateClosed]]))-1)</f>
        <v>5</v>
      </c>
      <c r="R3832" s="136" t="s">
        <v>6091</v>
      </c>
      <c r="S3832" s="129"/>
    </row>
    <row r="3833" spans="1:19" hidden="1">
      <c r="A3833" s="135" t="s">
        <v>6090</v>
      </c>
      <c r="B3833" s="138" t="str">
        <f>IFERROR(VLOOKUP(Proc[[#This Row],[App]],Table2[],3,0),"open")</f>
        <v>open</v>
      </c>
      <c r="C3833" s="138" t="s">
        <v>369</v>
      </c>
      <c r="D3833" t="s">
        <v>5964</v>
      </c>
      <c r="E3833" t="s">
        <v>6070</v>
      </c>
      <c r="F3833" s="129" t="s">
        <v>6070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on track</v>
      </c>
      <c r="Q3833" s="3">
        <f ca="1">IF(Proc[[#This Row],[DateClosed]]="",ABS(NETWORKDAYS(Proc[[#This Row],[DateOpened]],TODAY()))-1,ABS(NETWORKDAYS(Proc[[#This Row],[DateOpened]],Proc[[#This Row],[DateClosed]]))-1)</f>
        <v>5</v>
      </c>
      <c r="R3833" s="136" t="s">
        <v>6091</v>
      </c>
      <c r="S3833" s="129"/>
    </row>
    <row r="3834" spans="1:19" hidden="1">
      <c r="A3834" s="135" t="s">
        <v>6090</v>
      </c>
      <c r="B3834" s="138" t="str">
        <f>IFERROR(VLOOKUP(Proc[[#This Row],[App]],Table2[],3,0),"open")</f>
        <v>open</v>
      </c>
      <c r="C3834" s="138" t="s">
        <v>369</v>
      </c>
      <c r="D3834" t="s">
        <v>5965</v>
      </c>
      <c r="E3834" t="s">
        <v>6071</v>
      </c>
      <c r="F3834" s="129" t="s">
        <v>6071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on track</v>
      </c>
      <c r="Q3834" s="3">
        <f ca="1">IF(Proc[[#This Row],[DateClosed]]="",ABS(NETWORKDAYS(Proc[[#This Row],[DateOpened]],TODAY()))-1,ABS(NETWORKDAYS(Proc[[#This Row],[DateOpened]],Proc[[#This Row],[DateClosed]]))-1)</f>
        <v>5</v>
      </c>
      <c r="R3834" s="136" t="s">
        <v>6091</v>
      </c>
      <c r="S3834" s="129"/>
    </row>
    <row r="3835" spans="1:19" hidden="1">
      <c r="A3835" s="135" t="s">
        <v>6090</v>
      </c>
      <c r="B3835" s="138" t="str">
        <f>IFERROR(VLOOKUP(Proc[[#This Row],[App]],Table2[],3,0),"open")</f>
        <v>open</v>
      </c>
      <c r="C3835" s="138" t="s">
        <v>369</v>
      </c>
      <c r="D3835" t="s">
        <v>5966</v>
      </c>
      <c r="E3835" t="s">
        <v>6072</v>
      </c>
      <c r="F3835" s="129" t="s">
        <v>6072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on track</v>
      </c>
      <c r="Q3835" s="3">
        <f ca="1">IF(Proc[[#This Row],[DateClosed]]="",ABS(NETWORKDAYS(Proc[[#This Row],[DateOpened]],TODAY()))-1,ABS(NETWORKDAYS(Proc[[#This Row],[DateOpened]],Proc[[#This Row],[DateClosed]]))-1)</f>
        <v>5</v>
      </c>
      <c r="R3835" s="136" t="s">
        <v>6091</v>
      </c>
      <c r="S3835" s="129"/>
    </row>
    <row r="3836" spans="1:19" hidden="1">
      <c r="A3836" s="135" t="s">
        <v>6090</v>
      </c>
      <c r="B3836" s="138" t="str">
        <f>IFERROR(VLOOKUP(Proc[[#This Row],[App]],Table2[],3,0),"open")</f>
        <v>open</v>
      </c>
      <c r="C3836" s="138" t="s">
        <v>369</v>
      </c>
      <c r="D3836" t="s">
        <v>5967</v>
      </c>
      <c r="E3836" t="s">
        <v>6071</v>
      </c>
      <c r="F3836" s="129" t="s">
        <v>6071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on track</v>
      </c>
      <c r="Q3836" s="3">
        <f ca="1">IF(Proc[[#This Row],[DateClosed]]="",ABS(NETWORKDAYS(Proc[[#This Row],[DateOpened]],TODAY()))-1,ABS(NETWORKDAYS(Proc[[#This Row],[DateOpened]],Proc[[#This Row],[DateClosed]]))-1)</f>
        <v>5</v>
      </c>
      <c r="R3836" s="136" t="s">
        <v>6091</v>
      </c>
      <c r="S3836" s="129"/>
    </row>
    <row r="3837" spans="1:19" hidden="1">
      <c r="A3837" s="135" t="s">
        <v>6090</v>
      </c>
      <c r="B3837" s="138" t="str">
        <f>IFERROR(VLOOKUP(Proc[[#This Row],[App]],Table2[],3,0),"open")</f>
        <v>open</v>
      </c>
      <c r="C3837" s="138" t="s">
        <v>369</v>
      </c>
      <c r="D3837" t="s">
        <v>5968</v>
      </c>
      <c r="E3837" t="s">
        <v>6071</v>
      </c>
      <c r="F3837" s="129" t="s">
        <v>6071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on track</v>
      </c>
      <c r="Q3837" s="3">
        <f ca="1">IF(Proc[[#This Row],[DateClosed]]="",ABS(NETWORKDAYS(Proc[[#This Row],[DateOpened]],TODAY()))-1,ABS(NETWORKDAYS(Proc[[#This Row],[DateOpened]],Proc[[#This Row],[DateClosed]]))-1)</f>
        <v>5</v>
      </c>
      <c r="R3837" s="136" t="s">
        <v>6091</v>
      </c>
      <c r="S3837" s="129"/>
    </row>
    <row r="3838" spans="1:19" hidden="1">
      <c r="A3838" s="135" t="s">
        <v>6090</v>
      </c>
      <c r="B3838" s="138" t="str">
        <f>IFERROR(VLOOKUP(Proc[[#This Row],[App]],Table2[],3,0),"open")</f>
        <v>open</v>
      </c>
      <c r="C3838" s="138" t="s">
        <v>369</v>
      </c>
      <c r="D3838" t="s">
        <v>5969</v>
      </c>
      <c r="E3838" t="s">
        <v>6073</v>
      </c>
      <c r="F3838" s="129" t="s">
        <v>6073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on track</v>
      </c>
      <c r="Q3838" s="3">
        <f ca="1">IF(Proc[[#This Row],[DateClosed]]="",ABS(NETWORKDAYS(Proc[[#This Row],[DateOpened]],TODAY()))-1,ABS(NETWORKDAYS(Proc[[#This Row],[DateOpened]],Proc[[#This Row],[DateClosed]]))-1)</f>
        <v>5</v>
      </c>
      <c r="R3838" s="136" t="s">
        <v>6091</v>
      </c>
      <c r="S3838" s="129"/>
    </row>
    <row r="3839" spans="1:19" hidden="1">
      <c r="A3839" s="135" t="s">
        <v>6090</v>
      </c>
      <c r="B3839" s="138" t="str">
        <f>IFERROR(VLOOKUP(Proc[[#This Row],[App]],Table2[],3,0),"open")</f>
        <v>open</v>
      </c>
      <c r="C3839" s="138" t="s">
        <v>369</v>
      </c>
      <c r="D3839" t="s">
        <v>5970</v>
      </c>
      <c r="E3839" t="s">
        <v>6073</v>
      </c>
      <c r="F3839" s="129" t="s">
        <v>6073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on track</v>
      </c>
      <c r="Q3839" s="3">
        <f ca="1">IF(Proc[[#This Row],[DateClosed]]="",ABS(NETWORKDAYS(Proc[[#This Row],[DateOpened]],TODAY()))-1,ABS(NETWORKDAYS(Proc[[#This Row],[DateOpened]],Proc[[#This Row],[DateClosed]]))-1)</f>
        <v>5</v>
      </c>
      <c r="R3839" s="136" t="s">
        <v>6091</v>
      </c>
      <c r="S3839" s="129"/>
    </row>
    <row r="3840" spans="1:19" hidden="1">
      <c r="A3840" s="135" t="s">
        <v>6090</v>
      </c>
      <c r="B3840" s="138" t="str">
        <f>IFERROR(VLOOKUP(Proc[[#This Row],[App]],Table2[],3,0),"open")</f>
        <v>open</v>
      </c>
      <c r="C3840" s="138" t="s">
        <v>369</v>
      </c>
      <c r="D3840" t="s">
        <v>5971</v>
      </c>
      <c r="E3840" t="s">
        <v>6070</v>
      </c>
      <c r="F3840" s="129" t="s">
        <v>6070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on track</v>
      </c>
      <c r="Q3840" s="3">
        <f ca="1">IF(Proc[[#This Row],[DateClosed]]="",ABS(NETWORKDAYS(Proc[[#This Row],[DateOpened]],TODAY()))-1,ABS(NETWORKDAYS(Proc[[#This Row],[DateOpened]],Proc[[#This Row],[DateClosed]]))-1)</f>
        <v>5</v>
      </c>
      <c r="R3840" s="136" t="s">
        <v>6091</v>
      </c>
      <c r="S3840" s="129"/>
    </row>
    <row r="3841" spans="1:19" hidden="1">
      <c r="A3841" s="135" t="s">
        <v>6090</v>
      </c>
      <c r="B3841" s="138" t="str">
        <f>IFERROR(VLOOKUP(Proc[[#This Row],[App]],Table2[],3,0),"open")</f>
        <v>open</v>
      </c>
      <c r="C3841" s="138" t="s">
        <v>369</v>
      </c>
      <c r="D3841" t="s">
        <v>5972</v>
      </c>
      <c r="E3841" t="s">
        <v>6074</v>
      </c>
      <c r="F3841" s="129" t="s">
        <v>6074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on track</v>
      </c>
      <c r="Q3841" s="3">
        <f ca="1">IF(Proc[[#This Row],[DateClosed]]="",ABS(NETWORKDAYS(Proc[[#This Row],[DateOpened]],TODAY()))-1,ABS(NETWORKDAYS(Proc[[#This Row],[DateOpened]],Proc[[#This Row],[DateClosed]]))-1)</f>
        <v>5</v>
      </c>
      <c r="R3841" s="136" t="s">
        <v>6091</v>
      </c>
      <c r="S3841" s="129"/>
    </row>
    <row r="3842" spans="1:19" hidden="1">
      <c r="A3842" s="135" t="s">
        <v>6090</v>
      </c>
      <c r="B3842" s="138" t="str">
        <f>IFERROR(VLOOKUP(Proc[[#This Row],[App]],Table2[],3,0),"open")</f>
        <v>open</v>
      </c>
      <c r="C3842" s="138" t="s">
        <v>369</v>
      </c>
      <c r="D3842" t="s">
        <v>5973</v>
      </c>
      <c r="E3842" t="s">
        <v>6074</v>
      </c>
      <c r="F3842" s="129" t="s">
        <v>6074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on track</v>
      </c>
      <c r="Q3842" s="3">
        <f ca="1">IF(Proc[[#This Row],[DateClosed]]="",ABS(NETWORKDAYS(Proc[[#This Row],[DateOpened]],TODAY()))-1,ABS(NETWORKDAYS(Proc[[#This Row],[DateOpened]],Proc[[#This Row],[DateClosed]]))-1)</f>
        <v>5</v>
      </c>
      <c r="R3842" s="136" t="s">
        <v>6091</v>
      </c>
      <c r="S3842" s="129"/>
    </row>
    <row r="3843" spans="1:19" hidden="1">
      <c r="A3843" s="135" t="s">
        <v>6090</v>
      </c>
      <c r="B3843" s="138" t="str">
        <f>IFERROR(VLOOKUP(Proc[[#This Row],[App]],Table2[],3,0),"open")</f>
        <v>open</v>
      </c>
      <c r="C3843" s="138" t="s">
        <v>369</v>
      </c>
      <c r="D3843" t="s">
        <v>5974</v>
      </c>
      <c r="E3843" t="s">
        <v>6063</v>
      </c>
      <c r="F3843" s="129" t="s">
        <v>6063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on track</v>
      </c>
      <c r="Q3843" s="3">
        <f ca="1">IF(Proc[[#This Row],[DateClosed]]="",ABS(NETWORKDAYS(Proc[[#This Row],[DateOpened]],TODAY()))-1,ABS(NETWORKDAYS(Proc[[#This Row],[DateOpened]],Proc[[#This Row],[DateClosed]]))-1)</f>
        <v>5</v>
      </c>
      <c r="R3843" s="136" t="s">
        <v>6091</v>
      </c>
      <c r="S3843" s="129"/>
    </row>
    <row r="3844" spans="1:19" hidden="1">
      <c r="A3844" s="135" t="s">
        <v>6090</v>
      </c>
      <c r="B3844" s="138" t="str">
        <f>IFERROR(VLOOKUP(Proc[[#This Row],[App]],Table2[],3,0),"open")</f>
        <v>open</v>
      </c>
      <c r="C3844" s="138" t="s">
        <v>369</v>
      </c>
      <c r="D3844" t="s">
        <v>5975</v>
      </c>
      <c r="E3844" t="s">
        <v>6063</v>
      </c>
      <c r="F3844" s="129" t="s">
        <v>6063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on track</v>
      </c>
      <c r="Q3844" s="3">
        <f ca="1">IF(Proc[[#This Row],[DateClosed]]="",ABS(NETWORKDAYS(Proc[[#This Row],[DateOpened]],TODAY()))-1,ABS(NETWORKDAYS(Proc[[#This Row],[DateOpened]],Proc[[#This Row],[DateClosed]]))-1)</f>
        <v>5</v>
      </c>
      <c r="R3844" s="136" t="s">
        <v>6091</v>
      </c>
      <c r="S3844" s="129"/>
    </row>
    <row r="3845" spans="1:19" hidden="1">
      <c r="A3845" s="135" t="s">
        <v>6090</v>
      </c>
      <c r="B3845" s="138" t="str">
        <f>IFERROR(VLOOKUP(Proc[[#This Row],[App]],Table2[],3,0),"open")</f>
        <v>open</v>
      </c>
      <c r="C3845" s="138" t="s">
        <v>369</v>
      </c>
      <c r="D3845" t="s">
        <v>5976</v>
      </c>
      <c r="E3845" t="s">
        <v>6063</v>
      </c>
      <c r="F3845" s="129" t="s">
        <v>6063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on track</v>
      </c>
      <c r="Q3845" s="3">
        <f ca="1">IF(Proc[[#This Row],[DateClosed]]="",ABS(NETWORKDAYS(Proc[[#This Row],[DateOpened]],TODAY()))-1,ABS(NETWORKDAYS(Proc[[#This Row],[DateOpened]],Proc[[#This Row],[DateClosed]]))-1)</f>
        <v>5</v>
      </c>
      <c r="R3845" s="136" t="s">
        <v>6091</v>
      </c>
      <c r="S3845" s="129"/>
    </row>
    <row r="3846" spans="1:19" hidden="1">
      <c r="A3846" s="135" t="s">
        <v>6090</v>
      </c>
      <c r="B3846" s="138" t="str">
        <f>IFERROR(VLOOKUP(Proc[[#This Row],[App]],Table2[],3,0),"open")</f>
        <v>open</v>
      </c>
      <c r="C3846" s="138" t="s">
        <v>369</v>
      </c>
      <c r="D3846" t="s">
        <v>5977</v>
      </c>
      <c r="E3846" t="s">
        <v>6071</v>
      </c>
      <c r="F3846" s="129" t="s">
        <v>6071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on track</v>
      </c>
      <c r="Q3846" s="3">
        <f ca="1">IF(Proc[[#This Row],[DateClosed]]="",ABS(NETWORKDAYS(Proc[[#This Row],[DateOpened]],TODAY()))-1,ABS(NETWORKDAYS(Proc[[#This Row],[DateOpened]],Proc[[#This Row],[DateClosed]]))-1)</f>
        <v>5</v>
      </c>
      <c r="R3846" s="136" t="s">
        <v>6091</v>
      </c>
      <c r="S3846" s="129"/>
    </row>
    <row r="3847" spans="1:19" hidden="1">
      <c r="A3847" s="135" t="s">
        <v>6090</v>
      </c>
      <c r="B3847" s="138" t="str">
        <f>IFERROR(VLOOKUP(Proc[[#This Row],[App]],Table2[],3,0),"open")</f>
        <v>open</v>
      </c>
      <c r="C3847" s="138" t="s">
        <v>369</v>
      </c>
      <c r="D3847" t="s">
        <v>5978</v>
      </c>
      <c r="E3847" t="s">
        <v>6063</v>
      </c>
      <c r="F3847" s="129" t="s">
        <v>6063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on track</v>
      </c>
      <c r="Q3847" s="3">
        <f ca="1">IF(Proc[[#This Row],[DateClosed]]="",ABS(NETWORKDAYS(Proc[[#This Row],[DateOpened]],TODAY()))-1,ABS(NETWORKDAYS(Proc[[#This Row],[DateOpened]],Proc[[#This Row],[DateClosed]]))-1)</f>
        <v>5</v>
      </c>
      <c r="R3847" s="136" t="s">
        <v>6091</v>
      </c>
      <c r="S3847" s="129"/>
    </row>
    <row r="3848" spans="1:19" hidden="1">
      <c r="A3848" s="135" t="s">
        <v>6090</v>
      </c>
      <c r="B3848" s="138" t="str">
        <f>IFERROR(VLOOKUP(Proc[[#This Row],[App]],Table2[],3,0),"open")</f>
        <v>open</v>
      </c>
      <c r="C3848" s="138" t="s">
        <v>369</v>
      </c>
      <c r="D3848" t="s">
        <v>5979</v>
      </c>
      <c r="E3848" t="s">
        <v>6063</v>
      </c>
      <c r="F3848" s="129" t="s">
        <v>6063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on track</v>
      </c>
      <c r="Q3848" s="3">
        <f ca="1">IF(Proc[[#This Row],[DateClosed]]="",ABS(NETWORKDAYS(Proc[[#This Row],[DateOpened]],TODAY()))-1,ABS(NETWORKDAYS(Proc[[#This Row],[DateOpened]],Proc[[#This Row],[DateClosed]]))-1)</f>
        <v>5</v>
      </c>
      <c r="R3848" s="136" t="s">
        <v>6091</v>
      </c>
      <c r="S3848" s="129"/>
    </row>
    <row r="3849" spans="1:19" hidden="1">
      <c r="A3849" s="135" t="s">
        <v>6090</v>
      </c>
      <c r="B3849" s="138" t="str">
        <f>IFERROR(VLOOKUP(Proc[[#This Row],[App]],Table2[],3,0),"open")</f>
        <v>open</v>
      </c>
      <c r="C3849" s="138" t="s">
        <v>369</v>
      </c>
      <c r="D3849" t="s">
        <v>5980</v>
      </c>
      <c r="E3849" t="s">
        <v>6063</v>
      </c>
      <c r="F3849" s="129" t="s">
        <v>6063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on track</v>
      </c>
      <c r="Q3849" s="3">
        <f ca="1">IF(Proc[[#This Row],[DateClosed]]="",ABS(NETWORKDAYS(Proc[[#This Row],[DateOpened]],TODAY()))-1,ABS(NETWORKDAYS(Proc[[#This Row],[DateOpened]],Proc[[#This Row],[DateClosed]]))-1)</f>
        <v>5</v>
      </c>
      <c r="R3849" s="136" t="s">
        <v>6091</v>
      </c>
      <c r="S3849" s="129"/>
    </row>
    <row r="3850" spans="1:19" hidden="1">
      <c r="A3850" s="135" t="s">
        <v>6090</v>
      </c>
      <c r="B3850" s="138" t="str">
        <f>IFERROR(VLOOKUP(Proc[[#This Row],[App]],Table2[],3,0),"open")</f>
        <v>open</v>
      </c>
      <c r="C3850" s="138" t="s">
        <v>369</v>
      </c>
      <c r="D3850" t="s">
        <v>5981</v>
      </c>
      <c r="E3850" t="s">
        <v>6075</v>
      </c>
      <c r="F3850" s="129" t="s">
        <v>6075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on track</v>
      </c>
      <c r="Q3850" s="3">
        <f ca="1">IF(Proc[[#This Row],[DateClosed]]="",ABS(NETWORKDAYS(Proc[[#This Row],[DateOpened]],TODAY()))-1,ABS(NETWORKDAYS(Proc[[#This Row],[DateOpened]],Proc[[#This Row],[DateClosed]]))-1)</f>
        <v>5</v>
      </c>
      <c r="R3850" s="136" t="s">
        <v>6091</v>
      </c>
      <c r="S3850" s="129"/>
    </row>
    <row r="3851" spans="1:19" hidden="1">
      <c r="A3851" s="135" t="s">
        <v>6090</v>
      </c>
      <c r="B3851" s="138" t="str">
        <f>IFERROR(VLOOKUP(Proc[[#This Row],[App]],Table2[],3,0),"open")</f>
        <v>open</v>
      </c>
      <c r="C3851" s="138" t="s">
        <v>369</v>
      </c>
      <c r="D3851" t="s">
        <v>5982</v>
      </c>
      <c r="E3851" t="s">
        <v>6075</v>
      </c>
      <c r="F3851" s="129" t="s">
        <v>6075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on track</v>
      </c>
      <c r="Q3851" s="3">
        <f ca="1">IF(Proc[[#This Row],[DateClosed]]="",ABS(NETWORKDAYS(Proc[[#This Row],[DateOpened]],TODAY()))-1,ABS(NETWORKDAYS(Proc[[#This Row],[DateOpened]],Proc[[#This Row],[DateClosed]]))-1)</f>
        <v>5</v>
      </c>
      <c r="R3851" s="136" t="s">
        <v>6091</v>
      </c>
      <c r="S3851" s="129"/>
    </row>
    <row r="3852" spans="1:19" hidden="1">
      <c r="A3852" s="135" t="s">
        <v>6090</v>
      </c>
      <c r="B3852" s="138" t="str">
        <f>IFERROR(VLOOKUP(Proc[[#This Row],[App]],Table2[],3,0),"open")</f>
        <v>open</v>
      </c>
      <c r="C3852" s="138" t="s">
        <v>369</v>
      </c>
      <c r="D3852" t="s">
        <v>5983</v>
      </c>
      <c r="E3852" t="s">
        <v>6071</v>
      </c>
      <c r="F3852" s="129" t="s">
        <v>6071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on track</v>
      </c>
      <c r="Q3852" s="3">
        <f ca="1">IF(Proc[[#This Row],[DateClosed]]="",ABS(NETWORKDAYS(Proc[[#This Row],[DateOpened]],TODAY()))-1,ABS(NETWORKDAYS(Proc[[#This Row],[DateOpened]],Proc[[#This Row],[DateClosed]]))-1)</f>
        <v>5</v>
      </c>
      <c r="R3852" s="136" t="s">
        <v>6091</v>
      </c>
      <c r="S3852" s="129"/>
    </row>
    <row r="3853" spans="1:19" hidden="1">
      <c r="A3853" s="135" t="s">
        <v>6090</v>
      </c>
      <c r="B3853" s="138" t="str">
        <f>IFERROR(VLOOKUP(Proc[[#This Row],[App]],Table2[],3,0),"open")</f>
        <v>open</v>
      </c>
      <c r="C3853" s="138" t="s">
        <v>369</v>
      </c>
      <c r="D3853" t="s">
        <v>5984</v>
      </c>
      <c r="E3853" t="s">
        <v>6076</v>
      </c>
      <c r="F3853" s="129" t="s">
        <v>6076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on track</v>
      </c>
      <c r="Q3853" s="3">
        <f ca="1">IF(Proc[[#This Row],[DateClosed]]="",ABS(NETWORKDAYS(Proc[[#This Row],[DateOpened]],TODAY()))-1,ABS(NETWORKDAYS(Proc[[#This Row],[DateOpened]],Proc[[#This Row],[DateClosed]]))-1)</f>
        <v>5</v>
      </c>
      <c r="R3853" s="136" t="s">
        <v>6091</v>
      </c>
      <c r="S3853" s="129"/>
    </row>
    <row r="3854" spans="1:19" hidden="1">
      <c r="A3854" s="135" t="s">
        <v>6090</v>
      </c>
      <c r="B3854" s="138" t="str">
        <f>IFERROR(VLOOKUP(Proc[[#This Row],[App]],Table2[],3,0),"open")</f>
        <v>open</v>
      </c>
      <c r="C3854" s="138" t="s">
        <v>369</v>
      </c>
      <c r="D3854" t="s">
        <v>5985</v>
      </c>
      <c r="E3854" t="s">
        <v>6070</v>
      </c>
      <c r="F3854" s="129" t="s">
        <v>6070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on track</v>
      </c>
      <c r="Q3854" s="3">
        <f ca="1">IF(Proc[[#This Row],[DateClosed]]="",ABS(NETWORKDAYS(Proc[[#This Row],[DateOpened]],TODAY()))-1,ABS(NETWORKDAYS(Proc[[#This Row],[DateOpened]],Proc[[#This Row],[DateClosed]]))-1)</f>
        <v>5</v>
      </c>
      <c r="R3854" s="136" t="s">
        <v>6091</v>
      </c>
      <c r="S3854" s="129"/>
    </row>
    <row r="3855" spans="1:19" hidden="1">
      <c r="A3855" s="135" t="s">
        <v>6090</v>
      </c>
      <c r="B3855" s="138" t="str">
        <f>IFERROR(VLOOKUP(Proc[[#This Row],[App]],Table2[],3,0),"open")</f>
        <v>open</v>
      </c>
      <c r="C3855" s="138" t="s">
        <v>369</v>
      </c>
      <c r="D3855" t="s">
        <v>5986</v>
      </c>
      <c r="E3855" t="s">
        <v>6071</v>
      </c>
      <c r="F3855" s="129" t="s">
        <v>6071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on track</v>
      </c>
      <c r="Q3855" s="3">
        <f ca="1">IF(Proc[[#This Row],[DateClosed]]="",ABS(NETWORKDAYS(Proc[[#This Row],[DateOpened]],TODAY()))-1,ABS(NETWORKDAYS(Proc[[#This Row],[DateOpened]],Proc[[#This Row],[DateClosed]]))-1)</f>
        <v>5</v>
      </c>
      <c r="R3855" s="136" t="s">
        <v>6091</v>
      </c>
      <c r="S3855" s="129"/>
    </row>
    <row r="3856" spans="1:19" hidden="1">
      <c r="A3856" s="135" t="s">
        <v>6090</v>
      </c>
      <c r="B3856" s="138" t="str">
        <f>IFERROR(VLOOKUP(Proc[[#This Row],[App]],Table2[],3,0),"open")</f>
        <v>open</v>
      </c>
      <c r="C3856" s="138" t="s">
        <v>369</v>
      </c>
      <c r="D3856" t="s">
        <v>5987</v>
      </c>
      <c r="E3856" t="s">
        <v>6071</v>
      </c>
      <c r="F3856" s="129" t="s">
        <v>6071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on track</v>
      </c>
      <c r="Q3856" s="3">
        <f ca="1">IF(Proc[[#This Row],[DateClosed]]="",ABS(NETWORKDAYS(Proc[[#This Row],[DateOpened]],TODAY()))-1,ABS(NETWORKDAYS(Proc[[#This Row],[DateOpened]],Proc[[#This Row],[DateClosed]]))-1)</f>
        <v>5</v>
      </c>
      <c r="R3856" s="136" t="s">
        <v>6091</v>
      </c>
      <c r="S3856" s="129"/>
    </row>
    <row r="3857" spans="1:19" hidden="1">
      <c r="A3857" s="135" t="s">
        <v>6090</v>
      </c>
      <c r="B3857" s="138" t="str">
        <f>IFERROR(VLOOKUP(Proc[[#This Row],[App]],Table2[],3,0),"open")</f>
        <v>open</v>
      </c>
      <c r="C3857" s="138" t="s">
        <v>369</v>
      </c>
      <c r="D3857" t="s">
        <v>5988</v>
      </c>
      <c r="E3857" t="s">
        <v>6071</v>
      </c>
      <c r="F3857" s="129" t="s">
        <v>6071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on track</v>
      </c>
      <c r="Q3857" s="3">
        <f ca="1">IF(Proc[[#This Row],[DateClosed]]="",ABS(NETWORKDAYS(Proc[[#This Row],[DateOpened]],TODAY()))-1,ABS(NETWORKDAYS(Proc[[#This Row],[DateOpened]],Proc[[#This Row],[DateClosed]]))-1)</f>
        <v>5</v>
      </c>
      <c r="R3857" s="136" t="s">
        <v>6091</v>
      </c>
      <c r="S3857" s="129"/>
    </row>
    <row r="3858" spans="1:19" hidden="1">
      <c r="A3858" s="135" t="s">
        <v>6090</v>
      </c>
      <c r="B3858" s="138" t="str">
        <f>IFERROR(VLOOKUP(Proc[[#This Row],[App]],Table2[],3,0),"open")</f>
        <v>open</v>
      </c>
      <c r="C3858" s="138" t="s">
        <v>369</v>
      </c>
      <c r="D3858" t="s">
        <v>5989</v>
      </c>
      <c r="E3858" t="s">
        <v>6071</v>
      </c>
      <c r="F3858" s="129" t="s">
        <v>6071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on track</v>
      </c>
      <c r="Q3858" s="3">
        <f ca="1">IF(Proc[[#This Row],[DateClosed]]="",ABS(NETWORKDAYS(Proc[[#This Row],[DateOpened]],TODAY()))-1,ABS(NETWORKDAYS(Proc[[#This Row],[DateOpened]],Proc[[#This Row],[DateClosed]]))-1)</f>
        <v>5</v>
      </c>
      <c r="R3858" s="136" t="s">
        <v>6091</v>
      </c>
      <c r="S3858" s="129"/>
    </row>
    <row r="3859" spans="1:19" hidden="1">
      <c r="A3859" s="135" t="s">
        <v>6090</v>
      </c>
      <c r="B3859" s="138" t="str">
        <f>IFERROR(VLOOKUP(Proc[[#This Row],[App]],Table2[],3,0),"open")</f>
        <v>open</v>
      </c>
      <c r="C3859" s="138" t="s">
        <v>369</v>
      </c>
      <c r="D3859" t="s">
        <v>5990</v>
      </c>
      <c r="E3859" t="s">
        <v>6071</v>
      </c>
      <c r="F3859" s="129" t="s">
        <v>6071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on track</v>
      </c>
      <c r="Q3859" s="3">
        <f ca="1">IF(Proc[[#This Row],[DateClosed]]="",ABS(NETWORKDAYS(Proc[[#This Row],[DateOpened]],TODAY()))-1,ABS(NETWORKDAYS(Proc[[#This Row],[DateOpened]],Proc[[#This Row],[DateClosed]]))-1)</f>
        <v>5</v>
      </c>
      <c r="R3859" s="136" t="s">
        <v>6091</v>
      </c>
      <c r="S3859" s="129"/>
    </row>
    <row r="3860" spans="1:19" hidden="1">
      <c r="A3860" s="135" t="s">
        <v>6090</v>
      </c>
      <c r="B3860" s="138" t="str">
        <f>IFERROR(VLOOKUP(Proc[[#This Row],[App]],Table2[],3,0),"open")</f>
        <v>open</v>
      </c>
      <c r="C3860" s="138" t="s">
        <v>369</v>
      </c>
      <c r="D3860" t="s">
        <v>5991</v>
      </c>
      <c r="E3860" t="s">
        <v>6071</v>
      </c>
      <c r="F3860" s="129" t="s">
        <v>6071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on track</v>
      </c>
      <c r="Q3860" s="3">
        <f ca="1">IF(Proc[[#This Row],[DateClosed]]="",ABS(NETWORKDAYS(Proc[[#This Row],[DateOpened]],TODAY()))-1,ABS(NETWORKDAYS(Proc[[#This Row],[DateOpened]],Proc[[#This Row],[DateClosed]]))-1)</f>
        <v>5</v>
      </c>
      <c r="R3860" s="136" t="s">
        <v>6091</v>
      </c>
      <c r="S3860" s="129"/>
    </row>
    <row r="3861" spans="1:19" hidden="1">
      <c r="A3861" s="135" t="s">
        <v>6090</v>
      </c>
      <c r="B3861" s="138" t="str">
        <f>IFERROR(VLOOKUP(Proc[[#This Row],[App]],Table2[],3,0),"open")</f>
        <v>open</v>
      </c>
      <c r="C3861" s="138" t="s">
        <v>369</v>
      </c>
      <c r="D3861" t="s">
        <v>5992</v>
      </c>
      <c r="E3861" t="s">
        <v>6073</v>
      </c>
      <c r="F3861" s="129" t="s">
        <v>6073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on track</v>
      </c>
      <c r="Q3861" s="3">
        <f ca="1">IF(Proc[[#This Row],[DateClosed]]="",ABS(NETWORKDAYS(Proc[[#This Row],[DateOpened]],TODAY()))-1,ABS(NETWORKDAYS(Proc[[#This Row],[DateOpened]],Proc[[#This Row],[DateClosed]]))-1)</f>
        <v>5</v>
      </c>
      <c r="R3861" s="136" t="s">
        <v>6091</v>
      </c>
      <c r="S3861" s="129"/>
    </row>
    <row r="3862" spans="1:19" hidden="1">
      <c r="A3862" s="135" t="s">
        <v>6090</v>
      </c>
      <c r="B3862" s="138" t="str">
        <f>IFERROR(VLOOKUP(Proc[[#This Row],[App]],Table2[],3,0),"open")</f>
        <v>open</v>
      </c>
      <c r="C3862" s="138" t="s">
        <v>369</v>
      </c>
      <c r="D3862" t="s">
        <v>5993</v>
      </c>
      <c r="E3862" t="s">
        <v>6071</v>
      </c>
      <c r="F3862" s="129" t="s">
        <v>6071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on track</v>
      </c>
      <c r="Q3862" s="3">
        <f ca="1">IF(Proc[[#This Row],[DateClosed]]="",ABS(NETWORKDAYS(Proc[[#This Row],[DateOpened]],TODAY()))-1,ABS(NETWORKDAYS(Proc[[#This Row],[DateOpened]],Proc[[#This Row],[DateClosed]]))-1)</f>
        <v>5</v>
      </c>
      <c r="R3862" s="136" t="s">
        <v>6091</v>
      </c>
      <c r="S3862" s="129"/>
    </row>
    <row r="3863" spans="1:19" hidden="1">
      <c r="A3863" s="135" t="s">
        <v>6090</v>
      </c>
      <c r="B3863" s="138" t="str">
        <f>IFERROR(VLOOKUP(Proc[[#This Row],[App]],Table2[],3,0),"open")</f>
        <v>open</v>
      </c>
      <c r="C3863" s="138" t="s">
        <v>369</v>
      </c>
      <c r="D3863" t="s">
        <v>5994</v>
      </c>
      <c r="E3863" t="s">
        <v>6071</v>
      </c>
      <c r="F3863" s="129" t="s">
        <v>6071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on track</v>
      </c>
      <c r="Q3863" s="3">
        <f ca="1">IF(Proc[[#This Row],[DateClosed]]="",ABS(NETWORKDAYS(Proc[[#This Row],[DateOpened]],TODAY()))-1,ABS(NETWORKDAYS(Proc[[#This Row],[DateOpened]],Proc[[#This Row],[DateClosed]]))-1)</f>
        <v>5</v>
      </c>
      <c r="R3863" s="136" t="s">
        <v>6091</v>
      </c>
      <c r="S3863" s="129"/>
    </row>
    <row r="3864" spans="1:19" hidden="1">
      <c r="A3864" s="135" t="s">
        <v>6090</v>
      </c>
      <c r="B3864" s="138" t="str">
        <f>IFERROR(VLOOKUP(Proc[[#This Row],[App]],Table2[],3,0),"open")</f>
        <v>open</v>
      </c>
      <c r="C3864" s="138" t="s">
        <v>369</v>
      </c>
      <c r="D3864" t="s">
        <v>5995</v>
      </c>
      <c r="E3864" t="s">
        <v>6071</v>
      </c>
      <c r="F3864" s="129" t="s">
        <v>6071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on track</v>
      </c>
      <c r="Q3864" s="3">
        <f ca="1">IF(Proc[[#This Row],[DateClosed]]="",ABS(NETWORKDAYS(Proc[[#This Row],[DateOpened]],TODAY()))-1,ABS(NETWORKDAYS(Proc[[#This Row],[DateOpened]],Proc[[#This Row],[DateClosed]]))-1)</f>
        <v>5</v>
      </c>
      <c r="R3864" s="136" t="s">
        <v>6091</v>
      </c>
      <c r="S3864" s="129"/>
    </row>
    <row r="3865" spans="1:19" hidden="1">
      <c r="A3865" s="135" t="s">
        <v>6090</v>
      </c>
      <c r="B3865" s="138" t="str">
        <f>IFERROR(VLOOKUP(Proc[[#This Row],[App]],Table2[],3,0),"open")</f>
        <v>open</v>
      </c>
      <c r="C3865" s="138" t="s">
        <v>369</v>
      </c>
      <c r="D3865" t="s">
        <v>5996</v>
      </c>
      <c r="E3865" t="s">
        <v>6071</v>
      </c>
      <c r="F3865" s="129" t="s">
        <v>6071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on track</v>
      </c>
      <c r="Q3865" s="3">
        <f ca="1">IF(Proc[[#This Row],[DateClosed]]="",ABS(NETWORKDAYS(Proc[[#This Row],[DateOpened]],TODAY()))-1,ABS(NETWORKDAYS(Proc[[#This Row],[DateOpened]],Proc[[#This Row],[DateClosed]]))-1)</f>
        <v>5</v>
      </c>
      <c r="R3865" s="136" t="s">
        <v>6091</v>
      </c>
      <c r="S3865" s="129"/>
    </row>
    <row r="3866" spans="1:19" hidden="1">
      <c r="A3866" s="135" t="s">
        <v>6090</v>
      </c>
      <c r="B3866" s="138" t="str">
        <f>IFERROR(VLOOKUP(Proc[[#This Row],[App]],Table2[],3,0),"open")</f>
        <v>open</v>
      </c>
      <c r="C3866" s="138" t="s">
        <v>369</v>
      </c>
      <c r="D3866" t="s">
        <v>5997</v>
      </c>
      <c r="E3866" t="s">
        <v>6071</v>
      </c>
      <c r="F3866" s="129" t="s">
        <v>6071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on track</v>
      </c>
      <c r="Q3866" s="3">
        <f ca="1">IF(Proc[[#This Row],[DateClosed]]="",ABS(NETWORKDAYS(Proc[[#This Row],[DateOpened]],TODAY()))-1,ABS(NETWORKDAYS(Proc[[#This Row],[DateOpened]],Proc[[#This Row],[DateClosed]]))-1)</f>
        <v>5</v>
      </c>
      <c r="R3866" s="136" t="s">
        <v>6091</v>
      </c>
      <c r="S3866" s="129"/>
    </row>
    <row r="3867" spans="1:19" hidden="1">
      <c r="A3867" s="135" t="s">
        <v>6090</v>
      </c>
      <c r="B3867" s="138" t="str">
        <f>IFERROR(VLOOKUP(Proc[[#This Row],[App]],Table2[],3,0),"open")</f>
        <v>open</v>
      </c>
      <c r="C3867" s="138" t="s">
        <v>369</v>
      </c>
      <c r="D3867" t="s">
        <v>5998</v>
      </c>
      <c r="E3867" t="s">
        <v>6070</v>
      </c>
      <c r="F3867" s="129" t="s">
        <v>6070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on track</v>
      </c>
      <c r="Q3867" s="3">
        <f ca="1">IF(Proc[[#This Row],[DateClosed]]="",ABS(NETWORKDAYS(Proc[[#This Row],[DateOpened]],TODAY()))-1,ABS(NETWORKDAYS(Proc[[#This Row],[DateOpened]],Proc[[#This Row],[DateClosed]]))-1)</f>
        <v>5</v>
      </c>
      <c r="R3867" s="136" t="s">
        <v>6091</v>
      </c>
      <c r="S3867" s="129"/>
    </row>
    <row r="3868" spans="1:19" hidden="1">
      <c r="A3868" s="135" t="s">
        <v>6090</v>
      </c>
      <c r="B3868" s="138" t="str">
        <f>IFERROR(VLOOKUP(Proc[[#This Row],[App]],Table2[],3,0),"open")</f>
        <v>open</v>
      </c>
      <c r="C3868" s="138" t="s">
        <v>369</v>
      </c>
      <c r="D3868" t="s">
        <v>5999</v>
      </c>
      <c r="E3868" t="s">
        <v>6070</v>
      </c>
      <c r="F3868" s="129" t="s">
        <v>6070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on track</v>
      </c>
      <c r="Q3868" s="3">
        <f ca="1">IF(Proc[[#This Row],[DateClosed]]="",ABS(NETWORKDAYS(Proc[[#This Row],[DateOpened]],TODAY()))-1,ABS(NETWORKDAYS(Proc[[#This Row],[DateOpened]],Proc[[#This Row],[DateClosed]]))-1)</f>
        <v>5</v>
      </c>
      <c r="R3868" s="136" t="s">
        <v>6091</v>
      </c>
      <c r="S3868" s="129"/>
    </row>
    <row r="3869" spans="1:19" hidden="1">
      <c r="A3869" s="135" t="s">
        <v>6090</v>
      </c>
      <c r="B3869" s="138" t="str">
        <f>IFERROR(VLOOKUP(Proc[[#This Row],[App]],Table2[],3,0),"open")</f>
        <v>open</v>
      </c>
      <c r="C3869" s="138" t="s">
        <v>369</v>
      </c>
      <c r="D3869" t="s">
        <v>6000</v>
      </c>
      <c r="E3869" t="s">
        <v>6070</v>
      </c>
      <c r="F3869" s="129" t="s">
        <v>6070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on track</v>
      </c>
      <c r="Q3869" s="3">
        <f ca="1">IF(Proc[[#This Row],[DateClosed]]="",ABS(NETWORKDAYS(Proc[[#This Row],[DateOpened]],TODAY()))-1,ABS(NETWORKDAYS(Proc[[#This Row],[DateOpened]],Proc[[#This Row],[DateClosed]]))-1)</f>
        <v>5</v>
      </c>
      <c r="R3869" s="136" t="s">
        <v>6091</v>
      </c>
      <c r="S3869" s="129"/>
    </row>
    <row r="3870" spans="1:19" hidden="1">
      <c r="A3870" s="135" t="s">
        <v>6090</v>
      </c>
      <c r="B3870" s="138" t="str">
        <f>IFERROR(VLOOKUP(Proc[[#This Row],[App]],Table2[],3,0),"open")</f>
        <v>open</v>
      </c>
      <c r="C3870" s="138" t="s">
        <v>369</v>
      </c>
      <c r="D3870" t="s">
        <v>6001</v>
      </c>
      <c r="E3870" t="s">
        <v>6070</v>
      </c>
      <c r="F3870" s="129" t="s">
        <v>6070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on track</v>
      </c>
      <c r="Q3870" s="3">
        <f ca="1">IF(Proc[[#This Row],[DateClosed]]="",ABS(NETWORKDAYS(Proc[[#This Row],[DateOpened]],TODAY()))-1,ABS(NETWORKDAYS(Proc[[#This Row],[DateOpened]],Proc[[#This Row],[DateClosed]]))-1)</f>
        <v>5</v>
      </c>
      <c r="R3870" s="136" t="s">
        <v>6091</v>
      </c>
      <c r="S3870" s="129"/>
    </row>
    <row r="3871" spans="1:19" hidden="1">
      <c r="A3871" s="135" t="s">
        <v>6090</v>
      </c>
      <c r="B3871" s="138" t="str">
        <f>IFERROR(VLOOKUP(Proc[[#This Row],[App]],Table2[],3,0),"open")</f>
        <v>open</v>
      </c>
      <c r="C3871" s="138" t="s">
        <v>369</v>
      </c>
      <c r="D3871" t="s">
        <v>6002</v>
      </c>
      <c r="E3871" t="s">
        <v>6070</v>
      </c>
      <c r="F3871" s="129" t="s">
        <v>6070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on track</v>
      </c>
      <c r="Q3871" s="3">
        <f ca="1">IF(Proc[[#This Row],[DateClosed]]="",ABS(NETWORKDAYS(Proc[[#This Row],[DateOpened]],TODAY()))-1,ABS(NETWORKDAYS(Proc[[#This Row],[DateOpened]],Proc[[#This Row],[DateClosed]]))-1)</f>
        <v>5</v>
      </c>
      <c r="R3871" s="136" t="s">
        <v>6091</v>
      </c>
      <c r="S3871" s="129"/>
    </row>
    <row r="3872" spans="1:19" hidden="1">
      <c r="A3872" s="135" t="s">
        <v>6090</v>
      </c>
      <c r="B3872" s="138" t="str">
        <f>IFERROR(VLOOKUP(Proc[[#This Row],[App]],Table2[],3,0),"open")</f>
        <v>open</v>
      </c>
      <c r="C3872" s="138" t="s">
        <v>369</v>
      </c>
      <c r="D3872" t="s">
        <v>6003</v>
      </c>
      <c r="E3872" t="s">
        <v>6076</v>
      </c>
      <c r="F3872" s="129" t="s">
        <v>6076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on track</v>
      </c>
      <c r="Q3872" s="3">
        <f ca="1">IF(Proc[[#This Row],[DateClosed]]="",ABS(NETWORKDAYS(Proc[[#This Row],[DateOpened]],TODAY()))-1,ABS(NETWORKDAYS(Proc[[#This Row],[DateOpened]],Proc[[#This Row],[DateClosed]]))-1)</f>
        <v>5</v>
      </c>
      <c r="R3872" s="136" t="s">
        <v>6091</v>
      </c>
      <c r="S3872" s="129"/>
    </row>
    <row r="3873" spans="1:19" hidden="1">
      <c r="A3873" s="135" t="s">
        <v>6090</v>
      </c>
      <c r="B3873" s="138" t="str">
        <f>IFERROR(VLOOKUP(Proc[[#This Row],[App]],Table2[],3,0),"open")</f>
        <v>open</v>
      </c>
      <c r="C3873" s="138" t="s">
        <v>369</v>
      </c>
      <c r="D3873" t="s">
        <v>6004</v>
      </c>
      <c r="E3873" t="s">
        <v>6069</v>
      </c>
      <c r="F3873" s="129" t="s">
        <v>6069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on track</v>
      </c>
      <c r="Q3873" s="3">
        <f ca="1">IF(Proc[[#This Row],[DateClosed]]="",ABS(NETWORKDAYS(Proc[[#This Row],[DateOpened]],TODAY()))-1,ABS(NETWORKDAYS(Proc[[#This Row],[DateOpened]],Proc[[#This Row],[DateClosed]]))-1)</f>
        <v>5</v>
      </c>
      <c r="R3873" s="136" t="s">
        <v>6091</v>
      </c>
      <c r="S3873" s="129"/>
    </row>
    <row r="3874" spans="1:19" hidden="1">
      <c r="A3874" s="135" t="s">
        <v>6090</v>
      </c>
      <c r="B3874" s="138" t="str">
        <f>IFERROR(VLOOKUP(Proc[[#This Row],[App]],Table2[],3,0),"open")</f>
        <v>open</v>
      </c>
      <c r="C3874" s="138" t="s">
        <v>369</v>
      </c>
      <c r="D3874" t="s">
        <v>6005</v>
      </c>
      <c r="E3874" t="s">
        <v>6077</v>
      </c>
      <c r="F3874" s="129" t="s">
        <v>6077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on track</v>
      </c>
      <c r="Q3874" s="3">
        <f ca="1">IF(Proc[[#This Row],[DateClosed]]="",ABS(NETWORKDAYS(Proc[[#This Row],[DateOpened]],TODAY()))-1,ABS(NETWORKDAYS(Proc[[#This Row],[DateOpened]],Proc[[#This Row],[DateClosed]]))-1)</f>
        <v>5</v>
      </c>
      <c r="R3874" s="136" t="s">
        <v>6091</v>
      </c>
      <c r="S3874" s="129"/>
    </row>
    <row r="3875" spans="1:19" hidden="1">
      <c r="A3875" s="135" t="s">
        <v>6090</v>
      </c>
      <c r="B3875" s="138" t="str">
        <f>IFERROR(VLOOKUP(Proc[[#This Row],[App]],Table2[],3,0),"open")</f>
        <v>open</v>
      </c>
      <c r="C3875" s="138" t="s">
        <v>369</v>
      </c>
      <c r="D3875" t="s">
        <v>6006</v>
      </c>
      <c r="E3875" t="s">
        <v>6077</v>
      </c>
      <c r="F3875" s="129" t="s">
        <v>6077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on track</v>
      </c>
      <c r="Q3875" s="3">
        <f ca="1">IF(Proc[[#This Row],[DateClosed]]="",ABS(NETWORKDAYS(Proc[[#This Row],[DateOpened]],TODAY()))-1,ABS(NETWORKDAYS(Proc[[#This Row],[DateOpened]],Proc[[#This Row],[DateClosed]]))-1)</f>
        <v>5</v>
      </c>
      <c r="R3875" s="136" t="s">
        <v>6091</v>
      </c>
      <c r="S3875" s="129"/>
    </row>
    <row r="3876" spans="1:19" hidden="1">
      <c r="A3876" s="135" t="s">
        <v>6090</v>
      </c>
      <c r="B3876" s="138" t="str">
        <f>IFERROR(VLOOKUP(Proc[[#This Row],[App]],Table2[],3,0),"open")</f>
        <v>open</v>
      </c>
      <c r="C3876" s="138" t="s">
        <v>369</v>
      </c>
      <c r="D3876" t="s">
        <v>6007</v>
      </c>
      <c r="E3876" t="s">
        <v>6077</v>
      </c>
      <c r="F3876" s="129" t="s">
        <v>6077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on track</v>
      </c>
      <c r="Q3876" s="3">
        <f ca="1">IF(Proc[[#This Row],[DateClosed]]="",ABS(NETWORKDAYS(Proc[[#This Row],[DateOpened]],TODAY()))-1,ABS(NETWORKDAYS(Proc[[#This Row],[DateOpened]],Proc[[#This Row],[DateClosed]]))-1)</f>
        <v>5</v>
      </c>
      <c r="R3876" s="136" t="s">
        <v>6091</v>
      </c>
      <c r="S3876" s="129"/>
    </row>
    <row r="3877" spans="1:19" hidden="1">
      <c r="A3877" s="135" t="s">
        <v>6090</v>
      </c>
      <c r="B3877" s="138" t="str">
        <f>IFERROR(VLOOKUP(Proc[[#This Row],[App]],Table2[],3,0),"open")</f>
        <v>open</v>
      </c>
      <c r="C3877" s="138" t="s">
        <v>369</v>
      </c>
      <c r="D3877" t="s">
        <v>6008</v>
      </c>
      <c r="E3877" t="s">
        <v>6077</v>
      </c>
      <c r="F3877" s="129" t="s">
        <v>6077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on track</v>
      </c>
      <c r="Q3877" s="3">
        <f ca="1">IF(Proc[[#This Row],[DateClosed]]="",ABS(NETWORKDAYS(Proc[[#This Row],[DateOpened]],TODAY()))-1,ABS(NETWORKDAYS(Proc[[#This Row],[DateOpened]],Proc[[#This Row],[DateClosed]]))-1)</f>
        <v>5</v>
      </c>
      <c r="R3877" s="136" t="s">
        <v>6091</v>
      </c>
      <c r="S3877" s="129"/>
    </row>
    <row r="3878" spans="1:19" hidden="1">
      <c r="A3878" s="135" t="s">
        <v>6090</v>
      </c>
      <c r="B3878" s="138" t="str">
        <f>IFERROR(VLOOKUP(Proc[[#This Row],[App]],Table2[],3,0),"open")</f>
        <v>open</v>
      </c>
      <c r="C3878" s="138" t="s">
        <v>369</v>
      </c>
      <c r="D3878" t="s">
        <v>6009</v>
      </c>
      <c r="E3878" t="s">
        <v>6077</v>
      </c>
      <c r="F3878" s="129" t="s">
        <v>6077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on track</v>
      </c>
      <c r="Q3878" s="3">
        <f ca="1">IF(Proc[[#This Row],[DateClosed]]="",ABS(NETWORKDAYS(Proc[[#This Row],[DateOpened]],TODAY()))-1,ABS(NETWORKDAYS(Proc[[#This Row],[DateOpened]],Proc[[#This Row],[DateClosed]]))-1)</f>
        <v>5</v>
      </c>
      <c r="R3878" s="136" t="s">
        <v>6091</v>
      </c>
      <c r="S3878" s="129"/>
    </row>
    <row r="3879" spans="1:19" hidden="1">
      <c r="A3879" s="135" t="s">
        <v>6090</v>
      </c>
      <c r="B3879" s="138" t="str">
        <f>IFERROR(VLOOKUP(Proc[[#This Row],[App]],Table2[],3,0),"open")</f>
        <v>open</v>
      </c>
      <c r="C3879" s="138" t="s">
        <v>369</v>
      </c>
      <c r="D3879" t="s">
        <v>6010</v>
      </c>
      <c r="E3879" t="s">
        <v>6077</v>
      </c>
      <c r="F3879" s="129" t="s">
        <v>6077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on track</v>
      </c>
      <c r="Q3879" s="3">
        <f ca="1">IF(Proc[[#This Row],[DateClosed]]="",ABS(NETWORKDAYS(Proc[[#This Row],[DateOpened]],TODAY()))-1,ABS(NETWORKDAYS(Proc[[#This Row],[DateOpened]],Proc[[#This Row],[DateClosed]]))-1)</f>
        <v>5</v>
      </c>
      <c r="R3879" s="136" t="s">
        <v>6091</v>
      </c>
      <c r="S3879" s="129"/>
    </row>
    <row r="3880" spans="1:19" hidden="1">
      <c r="A3880" s="135" t="s">
        <v>6090</v>
      </c>
      <c r="B3880" s="138" t="str">
        <f>IFERROR(VLOOKUP(Proc[[#This Row],[App]],Table2[],3,0),"open")</f>
        <v>open</v>
      </c>
      <c r="C3880" s="138" t="s">
        <v>369</v>
      </c>
      <c r="D3880" t="s">
        <v>6011</v>
      </c>
      <c r="E3880" t="s">
        <v>6077</v>
      </c>
      <c r="F3880" s="129" t="s">
        <v>6077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on track</v>
      </c>
      <c r="Q3880" s="3">
        <f ca="1">IF(Proc[[#This Row],[DateClosed]]="",ABS(NETWORKDAYS(Proc[[#This Row],[DateOpened]],TODAY()))-1,ABS(NETWORKDAYS(Proc[[#This Row],[DateOpened]],Proc[[#This Row],[DateClosed]]))-1)</f>
        <v>5</v>
      </c>
      <c r="R3880" s="136" t="s">
        <v>6091</v>
      </c>
      <c r="S3880" s="129"/>
    </row>
    <row r="3881" spans="1:19" hidden="1">
      <c r="A3881" s="135" t="s">
        <v>6090</v>
      </c>
      <c r="B3881" s="138" t="str">
        <f>IFERROR(VLOOKUP(Proc[[#This Row],[App]],Table2[],3,0),"open")</f>
        <v>open</v>
      </c>
      <c r="C3881" s="138" t="s">
        <v>369</v>
      </c>
      <c r="D3881" t="s">
        <v>6012</v>
      </c>
      <c r="E3881" t="s">
        <v>6077</v>
      </c>
      <c r="F3881" s="129" t="s">
        <v>6077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on track</v>
      </c>
      <c r="Q3881" s="3">
        <f ca="1">IF(Proc[[#This Row],[DateClosed]]="",ABS(NETWORKDAYS(Proc[[#This Row],[DateOpened]],TODAY()))-1,ABS(NETWORKDAYS(Proc[[#This Row],[DateOpened]],Proc[[#This Row],[DateClosed]]))-1)</f>
        <v>5</v>
      </c>
      <c r="R3881" s="136" t="s">
        <v>6091</v>
      </c>
      <c r="S3881" s="129"/>
    </row>
    <row r="3882" spans="1:19" hidden="1">
      <c r="A3882" s="135" t="s">
        <v>6090</v>
      </c>
      <c r="B3882" s="138" t="str">
        <f>IFERROR(VLOOKUP(Proc[[#This Row],[App]],Table2[],3,0),"open")</f>
        <v>open</v>
      </c>
      <c r="C3882" s="138" t="s">
        <v>369</v>
      </c>
      <c r="D3882" t="s">
        <v>6013</v>
      </c>
      <c r="E3882" t="s">
        <v>6077</v>
      </c>
      <c r="F3882" s="129" t="s">
        <v>6077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on track</v>
      </c>
      <c r="Q3882" s="3">
        <f ca="1">IF(Proc[[#This Row],[DateClosed]]="",ABS(NETWORKDAYS(Proc[[#This Row],[DateOpened]],TODAY()))-1,ABS(NETWORKDAYS(Proc[[#This Row],[DateOpened]],Proc[[#This Row],[DateClosed]]))-1)</f>
        <v>5</v>
      </c>
      <c r="R3882" s="136" t="s">
        <v>6091</v>
      </c>
      <c r="S3882" s="129"/>
    </row>
    <row r="3883" spans="1:19" hidden="1">
      <c r="A3883" s="135" t="s">
        <v>6090</v>
      </c>
      <c r="B3883" s="138" t="str">
        <f>IFERROR(VLOOKUP(Proc[[#This Row],[App]],Table2[],3,0),"open")</f>
        <v>open</v>
      </c>
      <c r="C3883" s="138" t="s">
        <v>369</v>
      </c>
      <c r="D3883" t="s">
        <v>6014</v>
      </c>
      <c r="E3883" t="s">
        <v>6077</v>
      </c>
      <c r="F3883" s="129" t="s">
        <v>6077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on track</v>
      </c>
      <c r="Q3883" s="3">
        <f ca="1">IF(Proc[[#This Row],[DateClosed]]="",ABS(NETWORKDAYS(Proc[[#This Row],[DateOpened]],TODAY()))-1,ABS(NETWORKDAYS(Proc[[#This Row],[DateOpened]],Proc[[#This Row],[DateClosed]]))-1)</f>
        <v>5</v>
      </c>
      <c r="R3883" s="136" t="s">
        <v>6091</v>
      </c>
      <c r="S3883" s="129"/>
    </row>
    <row r="3884" spans="1:19" hidden="1">
      <c r="A3884" s="135" t="s">
        <v>6090</v>
      </c>
      <c r="B3884" s="138" t="str">
        <f>IFERROR(VLOOKUP(Proc[[#This Row],[App]],Table2[],3,0),"open")</f>
        <v>open</v>
      </c>
      <c r="C3884" s="138" t="s">
        <v>369</v>
      </c>
      <c r="D3884" t="s">
        <v>6015</v>
      </c>
      <c r="E3884" t="s">
        <v>6077</v>
      </c>
      <c r="F3884" s="129" t="s">
        <v>6077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on track</v>
      </c>
      <c r="Q3884" s="3">
        <f ca="1">IF(Proc[[#This Row],[DateClosed]]="",ABS(NETWORKDAYS(Proc[[#This Row],[DateOpened]],TODAY()))-1,ABS(NETWORKDAYS(Proc[[#This Row],[DateOpened]],Proc[[#This Row],[DateClosed]]))-1)</f>
        <v>5</v>
      </c>
      <c r="R3884" s="136" t="s">
        <v>6091</v>
      </c>
      <c r="S3884" s="129"/>
    </row>
    <row r="3885" spans="1:19" hidden="1">
      <c r="A3885" s="135" t="s">
        <v>6090</v>
      </c>
      <c r="B3885" s="138" t="str">
        <f>IFERROR(VLOOKUP(Proc[[#This Row],[App]],Table2[],3,0),"open")</f>
        <v>open</v>
      </c>
      <c r="C3885" s="138" t="s">
        <v>369</v>
      </c>
      <c r="D3885" t="s">
        <v>6016</v>
      </c>
      <c r="E3885" t="s">
        <v>6077</v>
      </c>
      <c r="F3885" s="129" t="s">
        <v>6077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on track</v>
      </c>
      <c r="Q3885" s="3">
        <f ca="1">IF(Proc[[#This Row],[DateClosed]]="",ABS(NETWORKDAYS(Proc[[#This Row],[DateOpened]],TODAY()))-1,ABS(NETWORKDAYS(Proc[[#This Row],[DateOpened]],Proc[[#This Row],[DateClosed]]))-1)</f>
        <v>5</v>
      </c>
      <c r="R3885" s="136" t="s">
        <v>6091</v>
      </c>
      <c r="S3885" s="129"/>
    </row>
    <row r="3886" spans="1:19" hidden="1">
      <c r="A3886" s="135" t="s">
        <v>6090</v>
      </c>
      <c r="B3886" s="138" t="str">
        <f>IFERROR(VLOOKUP(Proc[[#This Row],[App]],Table2[],3,0),"open")</f>
        <v>open</v>
      </c>
      <c r="C3886" s="138" t="s">
        <v>369</v>
      </c>
      <c r="D3886" t="s">
        <v>6017</v>
      </c>
      <c r="E3886" t="s">
        <v>6077</v>
      </c>
      <c r="F3886" s="129" t="s">
        <v>6077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on track</v>
      </c>
      <c r="Q3886" s="3">
        <f ca="1">IF(Proc[[#This Row],[DateClosed]]="",ABS(NETWORKDAYS(Proc[[#This Row],[DateOpened]],TODAY()))-1,ABS(NETWORKDAYS(Proc[[#This Row],[DateOpened]],Proc[[#This Row],[DateClosed]]))-1)</f>
        <v>5</v>
      </c>
      <c r="R3886" s="136" t="s">
        <v>6091</v>
      </c>
      <c r="S3886" s="129"/>
    </row>
    <row r="3887" spans="1:19" hidden="1">
      <c r="A3887" s="135" t="s">
        <v>6090</v>
      </c>
      <c r="B3887" s="138" t="str">
        <f>IFERROR(VLOOKUP(Proc[[#This Row],[App]],Table2[],3,0),"open")</f>
        <v>open</v>
      </c>
      <c r="C3887" s="138" t="s">
        <v>369</v>
      </c>
      <c r="D3887" t="s">
        <v>6018</v>
      </c>
      <c r="E3887" t="s">
        <v>6077</v>
      </c>
      <c r="F3887" s="129" t="s">
        <v>6077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on track</v>
      </c>
      <c r="Q3887" s="3">
        <f ca="1">IF(Proc[[#This Row],[DateClosed]]="",ABS(NETWORKDAYS(Proc[[#This Row],[DateOpened]],TODAY()))-1,ABS(NETWORKDAYS(Proc[[#This Row],[DateOpened]],Proc[[#This Row],[DateClosed]]))-1)</f>
        <v>5</v>
      </c>
      <c r="R3887" s="136" t="s">
        <v>6091</v>
      </c>
      <c r="S3887" s="129"/>
    </row>
    <row r="3888" spans="1:19" hidden="1">
      <c r="A3888" s="135" t="s">
        <v>6090</v>
      </c>
      <c r="B3888" s="138" t="str">
        <f>IFERROR(VLOOKUP(Proc[[#This Row],[App]],Table2[],3,0),"open")</f>
        <v>open</v>
      </c>
      <c r="C3888" s="138" t="s">
        <v>369</v>
      </c>
      <c r="D3888" t="s">
        <v>6019</v>
      </c>
      <c r="E3888" t="s">
        <v>6077</v>
      </c>
      <c r="F3888" s="129" t="s">
        <v>6077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on track</v>
      </c>
      <c r="Q3888" s="3">
        <f ca="1">IF(Proc[[#This Row],[DateClosed]]="",ABS(NETWORKDAYS(Proc[[#This Row],[DateOpened]],TODAY()))-1,ABS(NETWORKDAYS(Proc[[#This Row],[DateOpened]],Proc[[#This Row],[DateClosed]]))-1)</f>
        <v>5</v>
      </c>
      <c r="R3888" s="136" t="s">
        <v>6091</v>
      </c>
      <c r="S3888" s="129"/>
    </row>
    <row r="3889" spans="1:19" hidden="1">
      <c r="A3889" s="135" t="s">
        <v>6090</v>
      </c>
      <c r="B3889" s="138" t="str">
        <f>IFERROR(VLOOKUP(Proc[[#This Row],[App]],Table2[],3,0),"open")</f>
        <v>open</v>
      </c>
      <c r="C3889" s="138" t="s">
        <v>369</v>
      </c>
      <c r="D3889" t="s">
        <v>6020</v>
      </c>
      <c r="E3889" t="s">
        <v>6077</v>
      </c>
      <c r="F3889" s="129" t="s">
        <v>6077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on track</v>
      </c>
      <c r="Q3889" s="3">
        <f ca="1">IF(Proc[[#This Row],[DateClosed]]="",ABS(NETWORKDAYS(Proc[[#This Row],[DateOpened]],TODAY()))-1,ABS(NETWORKDAYS(Proc[[#This Row],[DateOpened]],Proc[[#This Row],[DateClosed]]))-1)</f>
        <v>5</v>
      </c>
      <c r="R3889" s="136" t="s">
        <v>6091</v>
      </c>
      <c r="S3889" s="129"/>
    </row>
    <row r="3890" spans="1:19" hidden="1">
      <c r="A3890" s="135" t="s">
        <v>6090</v>
      </c>
      <c r="B3890" s="138" t="str">
        <f>IFERROR(VLOOKUP(Proc[[#This Row],[App]],Table2[],3,0),"open")</f>
        <v>open</v>
      </c>
      <c r="C3890" s="138" t="s">
        <v>369</v>
      </c>
      <c r="D3890" t="s">
        <v>6021</v>
      </c>
      <c r="E3890" t="s">
        <v>6077</v>
      </c>
      <c r="F3890" s="129" t="s">
        <v>6077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on track</v>
      </c>
      <c r="Q3890" s="3">
        <f ca="1">IF(Proc[[#This Row],[DateClosed]]="",ABS(NETWORKDAYS(Proc[[#This Row],[DateOpened]],TODAY()))-1,ABS(NETWORKDAYS(Proc[[#This Row],[DateOpened]],Proc[[#This Row],[DateClosed]]))-1)</f>
        <v>5</v>
      </c>
      <c r="R3890" s="136" t="s">
        <v>6091</v>
      </c>
      <c r="S3890" s="129"/>
    </row>
    <row r="3891" spans="1:19" hidden="1">
      <c r="A3891" s="135" t="s">
        <v>6090</v>
      </c>
      <c r="B3891" s="138" t="str">
        <f>IFERROR(VLOOKUP(Proc[[#This Row],[App]],Table2[],3,0),"open")</f>
        <v>open</v>
      </c>
      <c r="C3891" s="138" t="s">
        <v>369</v>
      </c>
      <c r="D3891" t="s">
        <v>6022</v>
      </c>
      <c r="E3891" t="s">
        <v>6077</v>
      </c>
      <c r="F3891" s="129" t="s">
        <v>6077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on track</v>
      </c>
      <c r="Q3891" s="3">
        <f ca="1">IF(Proc[[#This Row],[DateClosed]]="",ABS(NETWORKDAYS(Proc[[#This Row],[DateOpened]],TODAY()))-1,ABS(NETWORKDAYS(Proc[[#This Row],[DateOpened]],Proc[[#This Row],[DateClosed]]))-1)</f>
        <v>5</v>
      </c>
      <c r="R3891" s="136" t="s">
        <v>6091</v>
      </c>
      <c r="S3891" s="129"/>
    </row>
    <row r="3892" spans="1:19" hidden="1">
      <c r="A3892" s="135" t="s">
        <v>6090</v>
      </c>
      <c r="B3892" s="138" t="str">
        <f>IFERROR(VLOOKUP(Proc[[#This Row],[App]],Table2[],3,0),"open")</f>
        <v>open</v>
      </c>
      <c r="C3892" s="138" t="s">
        <v>369</v>
      </c>
      <c r="D3892" t="s">
        <v>6023</v>
      </c>
      <c r="E3892" t="s">
        <v>6077</v>
      </c>
      <c r="F3892" s="129" t="s">
        <v>6077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on track</v>
      </c>
      <c r="Q3892" s="3">
        <f ca="1">IF(Proc[[#This Row],[DateClosed]]="",ABS(NETWORKDAYS(Proc[[#This Row],[DateOpened]],TODAY()))-1,ABS(NETWORKDAYS(Proc[[#This Row],[DateOpened]],Proc[[#This Row],[DateClosed]]))-1)</f>
        <v>5</v>
      </c>
      <c r="R3892" s="136" t="s">
        <v>6091</v>
      </c>
      <c r="S3892" s="129"/>
    </row>
    <row r="3893" spans="1:19" hidden="1">
      <c r="A3893" s="135" t="s">
        <v>6090</v>
      </c>
      <c r="B3893" s="138" t="str">
        <f>IFERROR(VLOOKUP(Proc[[#This Row],[App]],Table2[],3,0),"open")</f>
        <v>open</v>
      </c>
      <c r="C3893" s="138" t="s">
        <v>369</v>
      </c>
      <c r="D3893" t="s">
        <v>6024</v>
      </c>
      <c r="E3893" t="s">
        <v>6077</v>
      </c>
      <c r="F3893" s="129" t="s">
        <v>6077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on track</v>
      </c>
      <c r="Q3893" s="3">
        <f ca="1">IF(Proc[[#This Row],[DateClosed]]="",ABS(NETWORKDAYS(Proc[[#This Row],[DateOpened]],TODAY()))-1,ABS(NETWORKDAYS(Proc[[#This Row],[DateOpened]],Proc[[#This Row],[DateClosed]]))-1)</f>
        <v>5</v>
      </c>
      <c r="R3893" s="136" t="s">
        <v>6091</v>
      </c>
      <c r="S3893" s="129"/>
    </row>
    <row r="3894" spans="1:19" hidden="1">
      <c r="A3894" s="135" t="s">
        <v>6090</v>
      </c>
      <c r="B3894" s="138" t="str">
        <f>IFERROR(VLOOKUP(Proc[[#This Row],[App]],Table2[],3,0),"open")</f>
        <v>open</v>
      </c>
      <c r="C3894" s="138" t="s">
        <v>369</v>
      </c>
      <c r="D3894" t="s">
        <v>6025</v>
      </c>
      <c r="E3894" t="s">
        <v>6077</v>
      </c>
      <c r="F3894" s="129" t="s">
        <v>6077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on track</v>
      </c>
      <c r="Q3894" s="3">
        <f ca="1">IF(Proc[[#This Row],[DateClosed]]="",ABS(NETWORKDAYS(Proc[[#This Row],[DateOpened]],TODAY()))-1,ABS(NETWORKDAYS(Proc[[#This Row],[DateOpened]],Proc[[#This Row],[DateClosed]]))-1)</f>
        <v>5</v>
      </c>
      <c r="R3894" s="136" t="s">
        <v>6091</v>
      </c>
      <c r="S3894" s="129"/>
    </row>
    <row r="3895" spans="1:19" hidden="1">
      <c r="A3895" s="135" t="s">
        <v>6090</v>
      </c>
      <c r="B3895" s="138" t="str">
        <f>IFERROR(VLOOKUP(Proc[[#This Row],[App]],Table2[],3,0),"open")</f>
        <v>open</v>
      </c>
      <c r="C3895" s="138" t="s">
        <v>369</v>
      </c>
      <c r="D3895" t="s">
        <v>6026</v>
      </c>
      <c r="E3895" t="s">
        <v>6077</v>
      </c>
      <c r="F3895" s="129" t="s">
        <v>6077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on track</v>
      </c>
      <c r="Q3895" s="3">
        <f ca="1">IF(Proc[[#This Row],[DateClosed]]="",ABS(NETWORKDAYS(Proc[[#This Row],[DateOpened]],TODAY()))-1,ABS(NETWORKDAYS(Proc[[#This Row],[DateOpened]],Proc[[#This Row],[DateClosed]]))-1)</f>
        <v>5</v>
      </c>
      <c r="R3895" s="136" t="s">
        <v>6091</v>
      </c>
      <c r="S3895" s="129"/>
    </row>
    <row r="3896" spans="1:19" hidden="1">
      <c r="A3896" s="135" t="s">
        <v>6090</v>
      </c>
      <c r="B3896" s="138" t="str">
        <f>IFERROR(VLOOKUP(Proc[[#This Row],[App]],Table2[],3,0),"open")</f>
        <v>open</v>
      </c>
      <c r="C3896" s="138" t="s">
        <v>369</v>
      </c>
      <c r="D3896" t="s">
        <v>6027</v>
      </c>
      <c r="E3896" t="s">
        <v>6077</v>
      </c>
      <c r="F3896" s="129" t="s">
        <v>6077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on track</v>
      </c>
      <c r="Q3896" s="3">
        <f ca="1">IF(Proc[[#This Row],[DateClosed]]="",ABS(NETWORKDAYS(Proc[[#This Row],[DateOpened]],TODAY()))-1,ABS(NETWORKDAYS(Proc[[#This Row],[DateOpened]],Proc[[#This Row],[DateClosed]]))-1)</f>
        <v>5</v>
      </c>
      <c r="R3896" s="136" t="s">
        <v>6091</v>
      </c>
      <c r="S3896" s="129"/>
    </row>
    <row r="3897" spans="1:19" hidden="1">
      <c r="A3897" s="135" t="s">
        <v>6090</v>
      </c>
      <c r="B3897" s="138" t="str">
        <f>IFERROR(VLOOKUP(Proc[[#This Row],[App]],Table2[],3,0),"open")</f>
        <v>open</v>
      </c>
      <c r="C3897" s="138" t="s">
        <v>369</v>
      </c>
      <c r="D3897" t="s">
        <v>6028</v>
      </c>
      <c r="E3897" t="s">
        <v>6078</v>
      </c>
      <c r="F3897" s="129" t="s">
        <v>6078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on track</v>
      </c>
      <c r="Q3897" s="3">
        <f ca="1">IF(Proc[[#This Row],[DateClosed]]="",ABS(NETWORKDAYS(Proc[[#This Row],[DateOpened]],TODAY()))-1,ABS(NETWORKDAYS(Proc[[#This Row],[DateOpened]],Proc[[#This Row],[DateClosed]]))-1)</f>
        <v>5</v>
      </c>
      <c r="R3897" s="136" t="s">
        <v>6091</v>
      </c>
      <c r="S3897" s="129"/>
    </row>
    <row r="3898" spans="1:19" hidden="1">
      <c r="A3898" s="135" t="s">
        <v>6090</v>
      </c>
      <c r="B3898" s="138" t="str">
        <f>IFERROR(VLOOKUP(Proc[[#This Row],[App]],Table2[],3,0),"open")</f>
        <v>open</v>
      </c>
      <c r="C3898" s="138" t="s">
        <v>369</v>
      </c>
      <c r="D3898" t="s">
        <v>6029</v>
      </c>
      <c r="E3898" t="s">
        <v>6077</v>
      </c>
      <c r="F3898" s="129" t="s">
        <v>6077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on track</v>
      </c>
      <c r="Q3898" s="3">
        <f ca="1">IF(Proc[[#This Row],[DateClosed]]="",ABS(NETWORKDAYS(Proc[[#This Row],[DateOpened]],TODAY()))-1,ABS(NETWORKDAYS(Proc[[#This Row],[DateOpened]],Proc[[#This Row],[DateClosed]]))-1)</f>
        <v>5</v>
      </c>
      <c r="R3898" s="136" t="s">
        <v>6091</v>
      </c>
      <c r="S3898" s="129"/>
    </row>
    <row r="3899" spans="1:19" hidden="1">
      <c r="A3899" s="135" t="s">
        <v>6090</v>
      </c>
      <c r="B3899" s="138" t="str">
        <f>IFERROR(VLOOKUP(Proc[[#This Row],[App]],Table2[],3,0),"open")</f>
        <v>open</v>
      </c>
      <c r="C3899" s="138" t="s">
        <v>369</v>
      </c>
      <c r="D3899" t="s">
        <v>6030</v>
      </c>
      <c r="E3899" t="s">
        <v>6079</v>
      </c>
      <c r="F3899" s="129" t="s">
        <v>6079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on track</v>
      </c>
      <c r="Q3899" s="3">
        <f ca="1">IF(Proc[[#This Row],[DateClosed]]="",ABS(NETWORKDAYS(Proc[[#This Row],[DateOpened]],TODAY()))-1,ABS(NETWORKDAYS(Proc[[#This Row],[DateOpened]],Proc[[#This Row],[DateClosed]]))-1)</f>
        <v>5</v>
      </c>
      <c r="R3899" s="136" t="s">
        <v>6091</v>
      </c>
      <c r="S3899" s="129"/>
    </row>
    <row r="3900" spans="1:19" hidden="1">
      <c r="A3900" s="135" t="s">
        <v>6090</v>
      </c>
      <c r="B3900" s="138" t="str">
        <f>IFERROR(VLOOKUP(Proc[[#This Row],[App]],Table2[],3,0),"open")</f>
        <v>open</v>
      </c>
      <c r="C3900" s="138" t="s">
        <v>369</v>
      </c>
      <c r="D3900" t="s">
        <v>6031</v>
      </c>
      <c r="E3900" t="s">
        <v>6080</v>
      </c>
      <c r="F3900" s="129" t="s">
        <v>6080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on track</v>
      </c>
      <c r="Q3900" s="3">
        <f ca="1">IF(Proc[[#This Row],[DateClosed]]="",ABS(NETWORKDAYS(Proc[[#This Row],[DateOpened]],TODAY()))-1,ABS(NETWORKDAYS(Proc[[#This Row],[DateOpened]],Proc[[#This Row],[DateClosed]]))-1)</f>
        <v>5</v>
      </c>
      <c r="R3900" s="136" t="s">
        <v>6091</v>
      </c>
      <c r="S3900" s="129"/>
    </row>
    <row r="3901" spans="1:19" hidden="1">
      <c r="A3901" s="135" t="s">
        <v>6090</v>
      </c>
      <c r="B3901" s="138" t="str">
        <f>IFERROR(VLOOKUP(Proc[[#This Row],[App]],Table2[],3,0),"open")</f>
        <v>open</v>
      </c>
      <c r="C3901" s="138" t="s">
        <v>369</v>
      </c>
      <c r="D3901" t="s">
        <v>6032</v>
      </c>
      <c r="E3901" t="s">
        <v>6081</v>
      </c>
      <c r="F3901" s="129" t="s">
        <v>6081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on track</v>
      </c>
      <c r="Q3901" s="3">
        <f ca="1">IF(Proc[[#This Row],[DateClosed]]="",ABS(NETWORKDAYS(Proc[[#This Row],[DateOpened]],TODAY()))-1,ABS(NETWORKDAYS(Proc[[#This Row],[DateOpened]],Proc[[#This Row],[DateClosed]]))-1)</f>
        <v>5</v>
      </c>
      <c r="R3901" s="136" t="s">
        <v>6091</v>
      </c>
      <c r="S3901" s="129"/>
    </row>
    <row r="3902" spans="1:19" hidden="1">
      <c r="A3902" s="135" t="s">
        <v>6090</v>
      </c>
      <c r="B3902" s="138" t="str">
        <f>IFERROR(VLOOKUP(Proc[[#This Row],[App]],Table2[],3,0),"open")</f>
        <v>open</v>
      </c>
      <c r="C3902" s="138" t="s">
        <v>369</v>
      </c>
      <c r="D3902" t="s">
        <v>6033</v>
      </c>
      <c r="E3902" t="s">
        <v>6082</v>
      </c>
      <c r="F3902" s="129" t="s">
        <v>6082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on track</v>
      </c>
      <c r="Q3902" s="3">
        <f ca="1">IF(Proc[[#This Row],[DateClosed]]="",ABS(NETWORKDAYS(Proc[[#This Row],[DateOpened]],TODAY()))-1,ABS(NETWORKDAYS(Proc[[#This Row],[DateOpened]],Proc[[#This Row],[DateClosed]]))-1)</f>
        <v>5</v>
      </c>
      <c r="R3902" s="136" t="s">
        <v>6091</v>
      </c>
      <c r="S3902" s="129"/>
    </row>
    <row r="3903" spans="1:19" hidden="1">
      <c r="A3903" s="135" t="s">
        <v>6090</v>
      </c>
      <c r="B3903" s="138" t="str">
        <f>IFERROR(VLOOKUP(Proc[[#This Row],[App]],Table2[],3,0),"open")</f>
        <v>open</v>
      </c>
      <c r="C3903" s="138" t="s">
        <v>369</v>
      </c>
      <c r="D3903" t="s">
        <v>6034</v>
      </c>
      <c r="E3903" t="s">
        <v>6082</v>
      </c>
      <c r="F3903" s="129" t="s">
        <v>6082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on track</v>
      </c>
      <c r="Q3903" s="3">
        <f ca="1">IF(Proc[[#This Row],[DateClosed]]="",ABS(NETWORKDAYS(Proc[[#This Row],[DateOpened]],TODAY()))-1,ABS(NETWORKDAYS(Proc[[#This Row],[DateOpened]],Proc[[#This Row],[DateClosed]]))-1)</f>
        <v>5</v>
      </c>
      <c r="R3903" s="136" t="s">
        <v>6091</v>
      </c>
      <c r="S3903" s="129"/>
    </row>
    <row r="3904" spans="1:19" hidden="1">
      <c r="A3904" s="135" t="s">
        <v>6090</v>
      </c>
      <c r="B3904" s="138" t="str">
        <f>IFERROR(VLOOKUP(Proc[[#This Row],[App]],Table2[],3,0),"open")</f>
        <v>open</v>
      </c>
      <c r="C3904" s="138" t="s">
        <v>369</v>
      </c>
      <c r="D3904" t="s">
        <v>6035</v>
      </c>
      <c r="E3904" t="s">
        <v>6082</v>
      </c>
      <c r="F3904" s="129" t="s">
        <v>6082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on track</v>
      </c>
      <c r="Q3904" s="3">
        <f ca="1">IF(Proc[[#This Row],[DateClosed]]="",ABS(NETWORKDAYS(Proc[[#This Row],[DateOpened]],TODAY()))-1,ABS(NETWORKDAYS(Proc[[#This Row],[DateOpened]],Proc[[#This Row],[DateClosed]]))-1)</f>
        <v>5</v>
      </c>
      <c r="R3904" s="136" t="s">
        <v>6091</v>
      </c>
      <c r="S3904" s="129"/>
    </row>
    <row r="3905" spans="1:19" hidden="1">
      <c r="A3905" s="135" t="s">
        <v>6090</v>
      </c>
      <c r="B3905" s="138" t="str">
        <f>IFERROR(VLOOKUP(Proc[[#This Row],[App]],Table2[],3,0),"open")</f>
        <v>open</v>
      </c>
      <c r="C3905" s="138" t="s">
        <v>369</v>
      </c>
      <c r="D3905" t="s">
        <v>6036</v>
      </c>
      <c r="E3905" t="s">
        <v>6082</v>
      </c>
      <c r="F3905" s="129" t="s">
        <v>6082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on track</v>
      </c>
      <c r="Q3905" s="3">
        <f ca="1">IF(Proc[[#This Row],[DateClosed]]="",ABS(NETWORKDAYS(Proc[[#This Row],[DateOpened]],TODAY()))-1,ABS(NETWORKDAYS(Proc[[#This Row],[DateOpened]],Proc[[#This Row],[DateClosed]]))-1)</f>
        <v>5</v>
      </c>
      <c r="R3905" s="136" t="s">
        <v>6091</v>
      </c>
      <c r="S3905" s="129"/>
    </row>
    <row r="3906" spans="1:19" hidden="1">
      <c r="A3906" s="135" t="s">
        <v>6090</v>
      </c>
      <c r="B3906" s="138" t="str">
        <f>IFERROR(VLOOKUP(Proc[[#This Row],[App]],Table2[],3,0),"open")</f>
        <v>open</v>
      </c>
      <c r="C3906" s="138" t="s">
        <v>369</v>
      </c>
      <c r="D3906" t="s">
        <v>6037</v>
      </c>
      <c r="E3906" t="s">
        <v>6082</v>
      </c>
      <c r="F3906" s="129" t="s">
        <v>6082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on track</v>
      </c>
      <c r="Q3906" s="3">
        <f ca="1">IF(Proc[[#This Row],[DateClosed]]="",ABS(NETWORKDAYS(Proc[[#This Row],[DateOpened]],TODAY()))-1,ABS(NETWORKDAYS(Proc[[#This Row],[DateOpened]],Proc[[#This Row],[DateClosed]]))-1)</f>
        <v>5</v>
      </c>
      <c r="R3906" s="136" t="s">
        <v>6091</v>
      </c>
      <c r="S3906" s="129"/>
    </row>
    <row r="3907" spans="1:19" hidden="1">
      <c r="A3907" s="135" t="s">
        <v>6090</v>
      </c>
      <c r="B3907" s="138" t="str">
        <f>IFERROR(VLOOKUP(Proc[[#This Row],[App]],Table2[],3,0),"open")</f>
        <v>open</v>
      </c>
      <c r="C3907" s="138" t="s">
        <v>369</v>
      </c>
      <c r="D3907" t="s">
        <v>6038</v>
      </c>
      <c r="E3907" t="s">
        <v>6082</v>
      </c>
      <c r="F3907" s="129" t="s">
        <v>6082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on track</v>
      </c>
      <c r="Q3907" s="3">
        <f ca="1">IF(Proc[[#This Row],[DateClosed]]="",ABS(NETWORKDAYS(Proc[[#This Row],[DateOpened]],TODAY()))-1,ABS(NETWORKDAYS(Proc[[#This Row],[DateOpened]],Proc[[#This Row],[DateClosed]]))-1)</f>
        <v>5</v>
      </c>
      <c r="R3907" s="136" t="s">
        <v>6091</v>
      </c>
      <c r="S3907" s="129"/>
    </row>
    <row r="3908" spans="1:19" hidden="1">
      <c r="A3908" s="135" t="s">
        <v>6090</v>
      </c>
      <c r="B3908" s="138" t="str">
        <f>IFERROR(VLOOKUP(Proc[[#This Row],[App]],Table2[],3,0),"open")</f>
        <v>open</v>
      </c>
      <c r="C3908" s="138" t="s">
        <v>369</v>
      </c>
      <c r="D3908" t="s">
        <v>6039</v>
      </c>
      <c r="E3908" t="s">
        <v>6083</v>
      </c>
      <c r="F3908" s="129" t="s">
        <v>6083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on track</v>
      </c>
      <c r="Q3908" s="3">
        <f ca="1">IF(Proc[[#This Row],[DateClosed]]="",ABS(NETWORKDAYS(Proc[[#This Row],[DateOpened]],TODAY()))-1,ABS(NETWORKDAYS(Proc[[#This Row],[DateOpened]],Proc[[#This Row],[DateClosed]]))-1)</f>
        <v>5</v>
      </c>
      <c r="R3908" s="136" t="s">
        <v>6091</v>
      </c>
      <c r="S3908" s="129"/>
    </row>
    <row r="3909" spans="1:19" hidden="1">
      <c r="A3909" s="135" t="s">
        <v>6090</v>
      </c>
      <c r="B3909" s="138" t="str">
        <f>IFERROR(VLOOKUP(Proc[[#This Row],[App]],Table2[],3,0),"open")</f>
        <v>open</v>
      </c>
      <c r="C3909" s="138" t="s">
        <v>369</v>
      </c>
      <c r="D3909" t="s">
        <v>6040</v>
      </c>
      <c r="E3909" t="s">
        <v>6078</v>
      </c>
      <c r="F3909" s="129" t="s">
        <v>6078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on track</v>
      </c>
      <c r="Q3909" s="3">
        <f ca="1">IF(Proc[[#This Row],[DateClosed]]="",ABS(NETWORKDAYS(Proc[[#This Row],[DateOpened]],TODAY()))-1,ABS(NETWORKDAYS(Proc[[#This Row],[DateOpened]],Proc[[#This Row],[DateClosed]]))-1)</f>
        <v>5</v>
      </c>
      <c r="R3909" s="136" t="s">
        <v>6091</v>
      </c>
      <c r="S3909" s="129"/>
    </row>
    <row r="3910" spans="1:19" hidden="1">
      <c r="A3910" s="135" t="s">
        <v>6090</v>
      </c>
      <c r="B3910" s="138" t="str">
        <f>IFERROR(VLOOKUP(Proc[[#This Row],[App]],Table2[],3,0),"open")</f>
        <v>open</v>
      </c>
      <c r="C3910" s="138" t="s">
        <v>369</v>
      </c>
      <c r="D3910" t="s">
        <v>6041</v>
      </c>
      <c r="E3910" t="s">
        <v>6078</v>
      </c>
      <c r="F3910" s="129" t="s">
        <v>6078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on track</v>
      </c>
      <c r="Q3910" s="3">
        <f ca="1">IF(Proc[[#This Row],[DateClosed]]="",ABS(NETWORKDAYS(Proc[[#This Row],[DateOpened]],TODAY()))-1,ABS(NETWORKDAYS(Proc[[#This Row],[DateOpened]],Proc[[#This Row],[DateClosed]]))-1)</f>
        <v>5</v>
      </c>
      <c r="R3910" s="136" t="s">
        <v>6091</v>
      </c>
      <c r="S3910" s="129"/>
    </row>
    <row r="3911" spans="1:19" hidden="1">
      <c r="A3911" s="135" t="s">
        <v>6090</v>
      </c>
      <c r="B3911" s="138" t="str">
        <f>IFERROR(VLOOKUP(Proc[[#This Row],[App]],Table2[],3,0),"open")</f>
        <v>open</v>
      </c>
      <c r="C3911" s="138" t="s">
        <v>369</v>
      </c>
      <c r="D3911" t="s">
        <v>6042</v>
      </c>
      <c r="E3911" t="s">
        <v>6078</v>
      </c>
      <c r="F3911" s="129" t="s">
        <v>6078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on track</v>
      </c>
      <c r="Q3911" s="3">
        <f ca="1">IF(Proc[[#This Row],[DateClosed]]="",ABS(NETWORKDAYS(Proc[[#This Row],[DateOpened]],TODAY()))-1,ABS(NETWORKDAYS(Proc[[#This Row],[DateOpened]],Proc[[#This Row],[DateClosed]]))-1)</f>
        <v>5</v>
      </c>
      <c r="R3911" s="136" t="s">
        <v>6091</v>
      </c>
      <c r="S3911" s="129"/>
    </row>
    <row r="3912" spans="1:19" hidden="1">
      <c r="A3912" s="135" t="s">
        <v>6090</v>
      </c>
      <c r="B3912" s="138" t="str">
        <f>IFERROR(VLOOKUP(Proc[[#This Row],[App]],Table2[],3,0),"open")</f>
        <v>open</v>
      </c>
      <c r="C3912" s="138" t="s">
        <v>369</v>
      </c>
      <c r="D3912" t="s">
        <v>6043</v>
      </c>
      <c r="E3912" t="s">
        <v>6084</v>
      </c>
      <c r="F3912" s="129" t="s">
        <v>6084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on track</v>
      </c>
      <c r="Q3912" s="3">
        <f ca="1">IF(Proc[[#This Row],[DateClosed]]="",ABS(NETWORKDAYS(Proc[[#This Row],[DateOpened]],TODAY()))-1,ABS(NETWORKDAYS(Proc[[#This Row],[DateOpened]],Proc[[#This Row],[DateClosed]]))-1)</f>
        <v>5</v>
      </c>
      <c r="R3912" s="136" t="s">
        <v>6091</v>
      </c>
      <c r="S3912" s="129"/>
    </row>
    <row r="3913" spans="1:19" hidden="1">
      <c r="A3913" s="135" t="s">
        <v>6090</v>
      </c>
      <c r="B3913" s="138" t="str">
        <f>IFERROR(VLOOKUP(Proc[[#This Row],[App]],Table2[],3,0),"open")</f>
        <v>open</v>
      </c>
      <c r="C3913" s="138" t="s">
        <v>369</v>
      </c>
      <c r="D3913" t="s">
        <v>6044</v>
      </c>
      <c r="E3913" t="s">
        <v>6085</v>
      </c>
      <c r="F3913" s="129" t="s">
        <v>6085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on track</v>
      </c>
      <c r="Q3913" s="3">
        <f ca="1">IF(Proc[[#This Row],[DateClosed]]="",ABS(NETWORKDAYS(Proc[[#This Row],[DateOpened]],TODAY()))-1,ABS(NETWORKDAYS(Proc[[#This Row],[DateOpened]],Proc[[#This Row],[DateClosed]]))-1)</f>
        <v>5</v>
      </c>
      <c r="R3913" s="136" t="s">
        <v>6091</v>
      </c>
      <c r="S3913" s="129"/>
    </row>
    <row r="3914" spans="1:19" hidden="1">
      <c r="A3914" s="135" t="s">
        <v>6090</v>
      </c>
      <c r="B3914" s="138" t="str">
        <f>IFERROR(VLOOKUP(Proc[[#This Row],[App]],Table2[],3,0),"open")</f>
        <v>open</v>
      </c>
      <c r="C3914" s="138" t="s">
        <v>369</v>
      </c>
      <c r="D3914" t="s">
        <v>6045</v>
      </c>
      <c r="E3914" t="s">
        <v>6086</v>
      </c>
      <c r="F3914" s="129" t="s">
        <v>6086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on track</v>
      </c>
      <c r="Q3914" s="3">
        <f ca="1">IF(Proc[[#This Row],[DateClosed]]="",ABS(NETWORKDAYS(Proc[[#This Row],[DateOpened]],TODAY()))-1,ABS(NETWORKDAYS(Proc[[#This Row],[DateOpened]],Proc[[#This Row],[DateClosed]]))-1)</f>
        <v>5</v>
      </c>
      <c r="R3914" s="136" t="s">
        <v>6091</v>
      </c>
      <c r="S3914" s="129"/>
    </row>
    <row r="3915" spans="1:19" hidden="1">
      <c r="A3915" s="135" t="s">
        <v>6090</v>
      </c>
      <c r="B3915" s="138" t="str">
        <f>IFERROR(VLOOKUP(Proc[[#This Row],[App]],Table2[],3,0),"open")</f>
        <v>open</v>
      </c>
      <c r="C3915" s="138" t="s">
        <v>369</v>
      </c>
      <c r="D3915" t="s">
        <v>6046</v>
      </c>
      <c r="E3915" t="s">
        <v>6087</v>
      </c>
      <c r="F3915" s="129" t="s">
        <v>6087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on track</v>
      </c>
      <c r="Q3915" s="3">
        <f ca="1">IF(Proc[[#This Row],[DateClosed]]="",ABS(NETWORKDAYS(Proc[[#This Row],[DateOpened]],TODAY()))-1,ABS(NETWORKDAYS(Proc[[#This Row],[DateOpened]],Proc[[#This Row],[DateClosed]]))-1)</f>
        <v>5</v>
      </c>
      <c r="R3915" s="136" t="s">
        <v>6091</v>
      </c>
      <c r="S3915" s="129"/>
    </row>
    <row r="3916" spans="1:19" hidden="1">
      <c r="A3916" s="135" t="s">
        <v>6090</v>
      </c>
      <c r="B3916" s="138" t="str">
        <f>IFERROR(VLOOKUP(Proc[[#This Row],[App]],Table2[],3,0),"open")</f>
        <v>open</v>
      </c>
      <c r="C3916" s="138" t="s">
        <v>369</v>
      </c>
      <c r="D3916" t="s">
        <v>6047</v>
      </c>
      <c r="E3916" t="s">
        <v>6088</v>
      </c>
      <c r="F3916" s="129" t="s">
        <v>6088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on track</v>
      </c>
      <c r="Q3916" s="3">
        <f ca="1">IF(Proc[[#This Row],[DateClosed]]="",ABS(NETWORKDAYS(Proc[[#This Row],[DateOpened]],TODAY()))-1,ABS(NETWORKDAYS(Proc[[#This Row],[DateOpened]],Proc[[#This Row],[DateClosed]]))-1)</f>
        <v>5</v>
      </c>
      <c r="R3916" s="136" t="s">
        <v>6091</v>
      </c>
      <c r="S3916" s="129"/>
    </row>
    <row r="3917" spans="1:19" hidden="1">
      <c r="A3917" s="135" t="s">
        <v>6090</v>
      </c>
      <c r="B3917" s="138" t="str">
        <f>IFERROR(VLOOKUP(Proc[[#This Row],[App]],Table2[],3,0),"open")</f>
        <v>open</v>
      </c>
      <c r="C3917" s="138" t="s">
        <v>369</v>
      </c>
      <c r="D3917" t="s">
        <v>6048</v>
      </c>
      <c r="E3917" t="s">
        <v>6089</v>
      </c>
      <c r="F3917" s="129" t="s">
        <v>6089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on track</v>
      </c>
      <c r="Q3917" s="3">
        <f ca="1">IF(Proc[[#This Row],[DateClosed]]="",ABS(NETWORKDAYS(Proc[[#This Row],[DateOpened]],TODAY()))-1,ABS(NETWORKDAYS(Proc[[#This Row],[DateOpened]],Proc[[#This Row],[DateClosed]]))-1)</f>
        <v>5</v>
      </c>
      <c r="R3917" s="136" t="s">
        <v>6091</v>
      </c>
      <c r="S3917" s="129"/>
    </row>
    <row r="3918" spans="1:19" hidden="1">
      <c r="A3918" s="135" t="s">
        <v>6090</v>
      </c>
      <c r="B3918" s="138" t="str">
        <f>IFERROR(VLOOKUP(Proc[[#This Row],[App]],Table2[],3,0),"open")</f>
        <v>open</v>
      </c>
      <c r="C3918" s="138" t="s">
        <v>369</v>
      </c>
      <c r="D3918" t="s">
        <v>6049</v>
      </c>
      <c r="E3918" t="s">
        <v>6089</v>
      </c>
      <c r="F3918" s="129" t="s">
        <v>6089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on track</v>
      </c>
      <c r="Q3918" s="3">
        <f ca="1">IF(Proc[[#This Row],[DateClosed]]="",ABS(NETWORKDAYS(Proc[[#This Row],[DateOpened]],TODAY()))-1,ABS(NETWORKDAYS(Proc[[#This Row],[DateOpened]],Proc[[#This Row],[DateClosed]]))-1)</f>
        <v>5</v>
      </c>
      <c r="R3918" s="136" t="s">
        <v>6091</v>
      </c>
      <c r="S3918" s="129"/>
    </row>
    <row r="3919" spans="1:19" hidden="1">
      <c r="A3919" s="135" t="s">
        <v>6090</v>
      </c>
      <c r="B3919" s="138" t="str">
        <f>IFERROR(VLOOKUP(Proc[[#This Row],[App]],Table2[],3,0),"open")</f>
        <v>open</v>
      </c>
      <c r="C3919" s="138" t="s">
        <v>369</v>
      </c>
      <c r="D3919" t="s">
        <v>6050</v>
      </c>
      <c r="E3919" t="s">
        <v>6063</v>
      </c>
      <c r="F3919" s="129" t="s">
        <v>6063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on track</v>
      </c>
      <c r="Q3919" s="3">
        <f ca="1">IF(Proc[[#This Row],[DateClosed]]="",ABS(NETWORKDAYS(Proc[[#This Row],[DateOpened]],TODAY()))-1,ABS(NETWORKDAYS(Proc[[#This Row],[DateOpened]],Proc[[#This Row],[DateClosed]]))-1)</f>
        <v>5</v>
      </c>
      <c r="R3919" s="136" t="s">
        <v>6091</v>
      </c>
      <c r="S3919" s="129"/>
    </row>
    <row r="3920" spans="1:19" hidden="1">
      <c r="A3920" s="135" t="s">
        <v>6090</v>
      </c>
      <c r="B3920" s="138" t="str">
        <f>IFERROR(VLOOKUP(Proc[[#This Row],[App]],Table2[],3,0),"open")</f>
        <v>open</v>
      </c>
      <c r="C3920" s="138" t="s">
        <v>369</v>
      </c>
      <c r="D3920" t="s">
        <v>6051</v>
      </c>
      <c r="E3920" t="s">
        <v>6063</v>
      </c>
      <c r="F3920" s="129" t="s">
        <v>6063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on track</v>
      </c>
      <c r="Q3920" s="3">
        <f ca="1">IF(Proc[[#This Row],[DateClosed]]="",ABS(NETWORKDAYS(Proc[[#This Row],[DateOpened]],TODAY()))-1,ABS(NETWORKDAYS(Proc[[#This Row],[DateOpened]],Proc[[#This Row],[DateClosed]]))-1)</f>
        <v>5</v>
      </c>
      <c r="R3920" s="136" t="s">
        <v>6091</v>
      </c>
      <c r="S3920" s="129"/>
    </row>
    <row r="3921" spans="1:19" hidden="1">
      <c r="A3921" s="135" t="s">
        <v>6090</v>
      </c>
      <c r="B3921" s="138" t="str">
        <f>IFERROR(VLOOKUP(Proc[[#This Row],[App]],Table2[],3,0),"open")</f>
        <v>open</v>
      </c>
      <c r="C3921" s="138" t="s">
        <v>369</v>
      </c>
      <c r="D3921" t="s">
        <v>6052</v>
      </c>
      <c r="E3921" t="s">
        <v>6063</v>
      </c>
      <c r="F3921" s="129" t="s">
        <v>6063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on track</v>
      </c>
      <c r="Q3921" s="3">
        <f ca="1">IF(Proc[[#This Row],[DateClosed]]="",ABS(NETWORKDAYS(Proc[[#This Row],[DateOpened]],TODAY()))-1,ABS(NETWORKDAYS(Proc[[#This Row],[DateOpened]],Proc[[#This Row],[DateClosed]]))-1)</f>
        <v>5</v>
      </c>
      <c r="R3921" s="136" t="s">
        <v>6091</v>
      </c>
      <c r="S3921" s="129"/>
    </row>
    <row r="3922" spans="1:19" hidden="1">
      <c r="A3922" s="135" t="s">
        <v>6090</v>
      </c>
      <c r="B3922" s="138" t="str">
        <f>IFERROR(VLOOKUP(Proc[[#This Row],[App]],Table2[],3,0),"open")</f>
        <v>open</v>
      </c>
      <c r="C3922" s="138" t="s">
        <v>369</v>
      </c>
      <c r="D3922" t="s">
        <v>6053</v>
      </c>
      <c r="E3922" t="s">
        <v>6063</v>
      </c>
      <c r="F3922" s="129" t="s">
        <v>6063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on track</v>
      </c>
      <c r="Q3922" s="3">
        <f ca="1">IF(Proc[[#This Row],[DateClosed]]="",ABS(NETWORKDAYS(Proc[[#This Row],[DateOpened]],TODAY()))-1,ABS(NETWORKDAYS(Proc[[#This Row],[DateOpened]],Proc[[#This Row],[DateClosed]]))-1)</f>
        <v>5</v>
      </c>
      <c r="R3922" s="136" t="s">
        <v>6091</v>
      </c>
      <c r="S3922" s="129"/>
    </row>
    <row r="3923" spans="1:19" hidden="1">
      <c r="A3923" s="135" t="s">
        <v>6090</v>
      </c>
      <c r="B3923" s="138" t="str">
        <f>IFERROR(VLOOKUP(Proc[[#This Row],[App]],Table2[],3,0),"open")</f>
        <v>open</v>
      </c>
      <c r="C3923" s="138" t="s">
        <v>369</v>
      </c>
      <c r="D3923" t="s">
        <v>6054</v>
      </c>
      <c r="E3923" t="s">
        <v>6063</v>
      </c>
      <c r="F3923" s="129" t="s">
        <v>6063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on track</v>
      </c>
      <c r="Q3923" s="3">
        <f ca="1">IF(Proc[[#This Row],[DateClosed]]="",ABS(NETWORKDAYS(Proc[[#This Row],[DateOpened]],TODAY()))-1,ABS(NETWORKDAYS(Proc[[#This Row],[DateOpened]],Proc[[#This Row],[DateClosed]]))-1)</f>
        <v>5</v>
      </c>
      <c r="R3923" s="136" t="s">
        <v>6091</v>
      </c>
      <c r="S3923" s="129"/>
    </row>
    <row r="3924" spans="1:19" hidden="1">
      <c r="A3924" s="135" t="s">
        <v>6090</v>
      </c>
      <c r="B3924" s="138" t="str">
        <f>IFERROR(VLOOKUP(Proc[[#This Row],[App]],Table2[],3,0),"open")</f>
        <v>open</v>
      </c>
      <c r="C3924" s="138" t="s">
        <v>369</v>
      </c>
      <c r="D3924" t="s">
        <v>6055</v>
      </c>
      <c r="E3924" t="s">
        <v>6063</v>
      </c>
      <c r="F3924" s="129" t="s">
        <v>6063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on track</v>
      </c>
      <c r="Q3924" s="3">
        <f ca="1">IF(Proc[[#This Row],[DateClosed]]="",ABS(NETWORKDAYS(Proc[[#This Row],[DateOpened]],TODAY()))-1,ABS(NETWORKDAYS(Proc[[#This Row],[DateOpened]],Proc[[#This Row],[DateClosed]]))-1)</f>
        <v>5</v>
      </c>
      <c r="R3924" s="136" t="s">
        <v>6091</v>
      </c>
      <c r="S3924" s="129"/>
    </row>
    <row r="3925" spans="1:19" hidden="1">
      <c r="A3925" s="135" t="s">
        <v>6090</v>
      </c>
      <c r="B3925" s="138" t="str">
        <f>IFERROR(VLOOKUP(Proc[[#This Row],[App]],Table2[],3,0),"open")</f>
        <v>open</v>
      </c>
      <c r="C3925" s="138" t="s">
        <v>369</v>
      </c>
      <c r="D3925" t="s">
        <v>6056</v>
      </c>
      <c r="E3925" t="s">
        <v>6063</v>
      </c>
      <c r="F3925" s="129" t="s">
        <v>6063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on track</v>
      </c>
      <c r="Q3925" s="3">
        <f ca="1">IF(Proc[[#This Row],[DateClosed]]="",ABS(NETWORKDAYS(Proc[[#This Row],[DateOpened]],TODAY()))-1,ABS(NETWORKDAYS(Proc[[#This Row],[DateOpened]],Proc[[#This Row],[DateClosed]]))-1)</f>
        <v>5</v>
      </c>
      <c r="R3925" s="136" t="s">
        <v>6091</v>
      </c>
      <c r="S3925" s="129"/>
    </row>
    <row r="3926" spans="1:19" hidden="1">
      <c r="A3926" s="135" t="s">
        <v>6090</v>
      </c>
      <c r="B3926" s="138" t="str">
        <f>IFERROR(VLOOKUP(Proc[[#This Row],[App]],Table2[],3,0),"open")</f>
        <v>open</v>
      </c>
      <c r="C3926" s="138" t="s">
        <v>369</v>
      </c>
      <c r="D3926" t="s">
        <v>6057</v>
      </c>
      <c r="E3926" t="s">
        <v>6063</v>
      </c>
      <c r="F3926" s="129" t="s">
        <v>6063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on track</v>
      </c>
      <c r="Q3926" s="3">
        <f ca="1">IF(Proc[[#This Row],[DateClosed]]="",ABS(NETWORKDAYS(Proc[[#This Row],[DateOpened]],TODAY()))-1,ABS(NETWORKDAYS(Proc[[#This Row],[DateOpened]],Proc[[#This Row],[DateClosed]]))-1)</f>
        <v>5</v>
      </c>
      <c r="R3926" s="136" t="s">
        <v>6091</v>
      </c>
      <c r="S3926" s="129"/>
    </row>
    <row r="3927" spans="1:19" hidden="1">
      <c r="A3927" s="135" t="s">
        <v>6090</v>
      </c>
      <c r="B3927" s="138" t="str">
        <f>IFERROR(VLOOKUP(Proc[[#This Row],[App]],Table2[],3,0),"open")</f>
        <v>open</v>
      </c>
      <c r="C3927" s="138" t="s">
        <v>369</v>
      </c>
      <c r="D3927" t="s">
        <v>6058</v>
      </c>
      <c r="E3927" t="s">
        <v>6073</v>
      </c>
      <c r="F3927" s="129" t="s">
        <v>6073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on track</v>
      </c>
      <c r="Q3927" s="3">
        <f ca="1">IF(Proc[[#This Row],[DateClosed]]="",ABS(NETWORKDAYS(Proc[[#This Row],[DateOpened]],TODAY()))-1,ABS(NETWORKDAYS(Proc[[#This Row],[DateOpened]],Proc[[#This Row],[DateClosed]]))-1)</f>
        <v>5</v>
      </c>
      <c r="R3927" s="136" t="s">
        <v>6091</v>
      </c>
      <c r="S3927" s="129"/>
    </row>
    <row r="3928" spans="1:19" hidden="1">
      <c r="A3928" s="135" t="s">
        <v>6090</v>
      </c>
      <c r="B3928" s="138" t="str">
        <f>IFERROR(VLOOKUP(Proc[[#This Row],[App]],Table2[],3,0),"open")</f>
        <v>open</v>
      </c>
      <c r="C3928" s="138" t="s">
        <v>369</v>
      </c>
      <c r="D3928" t="s">
        <v>6059</v>
      </c>
      <c r="E3928" t="s">
        <v>6063</v>
      </c>
      <c r="F3928" s="129" t="s">
        <v>6063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on track</v>
      </c>
      <c r="Q3928" s="3">
        <f ca="1">IF(Proc[[#This Row],[DateClosed]]="",ABS(NETWORKDAYS(Proc[[#This Row],[DateOpened]],TODAY()))-1,ABS(NETWORKDAYS(Proc[[#This Row],[DateOpened]],Proc[[#This Row],[DateClosed]]))-1)</f>
        <v>5</v>
      </c>
      <c r="R3928" s="136" t="s">
        <v>6091</v>
      </c>
      <c r="S3928" s="129"/>
    </row>
    <row r="3929" spans="1:19" hidden="1">
      <c r="A3929" s="135" t="s">
        <v>6090</v>
      </c>
      <c r="B3929" s="138" t="str">
        <f>IFERROR(VLOOKUP(Proc[[#This Row],[App]],Table2[],3,0),"open")</f>
        <v>open</v>
      </c>
      <c r="C3929" s="138" t="s">
        <v>369</v>
      </c>
      <c r="D3929" t="s">
        <v>6060</v>
      </c>
      <c r="E3929" t="s">
        <v>6063</v>
      </c>
      <c r="F3929" s="129" t="s">
        <v>6063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on track</v>
      </c>
      <c r="Q3929" s="3">
        <f ca="1">IF(Proc[[#This Row],[DateClosed]]="",ABS(NETWORKDAYS(Proc[[#This Row],[DateOpened]],TODAY()))-1,ABS(NETWORKDAYS(Proc[[#This Row],[DateOpened]],Proc[[#This Row],[DateClosed]]))-1)</f>
        <v>5</v>
      </c>
      <c r="R3929" s="136" t="s">
        <v>6091</v>
      </c>
      <c r="S3929" s="129"/>
    </row>
    <row r="3930" spans="1:19" hidden="1">
      <c r="A3930" s="135" t="s">
        <v>6090</v>
      </c>
      <c r="B3930" s="138" t="str">
        <f>IFERROR(VLOOKUP(Proc[[#This Row],[App]],Table2[],3,0),"open")</f>
        <v>open</v>
      </c>
      <c r="C3930" s="138" t="s">
        <v>369</v>
      </c>
      <c r="D3930" t="s">
        <v>6061</v>
      </c>
      <c r="E3930" t="s">
        <v>6063</v>
      </c>
      <c r="F3930" s="129" t="s">
        <v>6063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on track</v>
      </c>
      <c r="Q3930" s="3">
        <f ca="1">IF(Proc[[#This Row],[DateClosed]]="",ABS(NETWORKDAYS(Proc[[#This Row],[DateOpened]],TODAY()))-1,ABS(NETWORKDAYS(Proc[[#This Row],[DateOpened]],Proc[[#This Row],[DateClosed]]))-1)</f>
        <v>5</v>
      </c>
      <c r="R3930" s="136" t="s">
        <v>6091</v>
      </c>
      <c r="S3930" s="129"/>
    </row>
    <row r="3931" spans="1:19" hidden="1">
      <c r="A3931" s="135" t="s">
        <v>6090</v>
      </c>
      <c r="B3931" s="138" t="str">
        <f>IFERROR(VLOOKUP(Proc[[#This Row],[App]],Table2[],3,0),"open")</f>
        <v>open</v>
      </c>
      <c r="C3931" s="138" t="s">
        <v>369</v>
      </c>
      <c r="D3931" t="s">
        <v>6062</v>
      </c>
      <c r="E3931" t="s">
        <v>6063</v>
      </c>
      <c r="F3931" s="129" t="s">
        <v>6063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on track</v>
      </c>
      <c r="Q3931" s="3">
        <f ca="1">IF(Proc[[#This Row],[DateClosed]]="",ABS(NETWORKDAYS(Proc[[#This Row],[DateOpened]],TODAY()))-1,ABS(NETWORKDAYS(Proc[[#This Row],[DateOpened]],Proc[[#This Row],[DateClosed]]))-1)</f>
        <v>5</v>
      </c>
      <c r="R3931" s="136" t="s">
        <v>6091</v>
      </c>
      <c r="S3931" s="129"/>
    </row>
    <row r="3932" spans="1:19" hidden="1">
      <c r="A3932" t="s">
        <v>6093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6092</v>
      </c>
      <c r="F3932" s="129" t="s">
        <v>6092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on track</v>
      </c>
      <c r="Q3932" s="3">
        <f ca="1">IF(Proc[[#This Row],[DateClosed]]="",ABS(NETWORKDAYS(Proc[[#This Row],[DateOpened]],TODAY()))-1,ABS(NETWORKDAYS(Proc[[#This Row],[DateOpened]],Proc[[#This Row],[DateClosed]]))-1)</f>
        <v>3</v>
      </c>
      <c r="R3932" s="136" t="s">
        <v>1459</v>
      </c>
      <c r="S3932" s="129"/>
    </row>
    <row r="3933" spans="1:19" hidden="1">
      <c r="A3933" s="135" t="s">
        <v>6093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6092</v>
      </c>
      <c r="F3933" s="129" t="s">
        <v>6092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on track</v>
      </c>
      <c r="Q3933" s="3">
        <f ca="1">IF(Proc[[#This Row],[DateClosed]]="",ABS(NETWORKDAYS(Proc[[#This Row],[DateOpened]],TODAY()))-1,ABS(NETWORKDAYS(Proc[[#This Row],[DateOpened]],Proc[[#This Row],[DateClosed]]))-1)</f>
        <v>3</v>
      </c>
      <c r="R3933" s="136" t="s">
        <v>1459</v>
      </c>
      <c r="S3933" s="129"/>
    </row>
    <row r="3934" spans="1:19" hidden="1">
      <c r="A3934" s="135" t="s">
        <v>6093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6092</v>
      </c>
      <c r="F3934" s="129" t="s">
        <v>6092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on track</v>
      </c>
      <c r="Q3934" s="3">
        <f ca="1">IF(Proc[[#This Row],[DateClosed]]="",ABS(NETWORKDAYS(Proc[[#This Row],[DateOpened]],TODAY()))-1,ABS(NETWORKDAYS(Proc[[#This Row],[DateOpened]],Proc[[#This Row],[DateClosed]]))-1)</f>
        <v>3</v>
      </c>
      <c r="R3934" s="136" t="s">
        <v>1459</v>
      </c>
      <c r="S3934" s="129"/>
    </row>
    <row r="3935" spans="1:19" hidden="1">
      <c r="A3935" s="135" t="s">
        <v>6093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6092</v>
      </c>
      <c r="F3935" s="129" t="s">
        <v>6092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on track</v>
      </c>
      <c r="Q3935" s="3">
        <f ca="1">IF(Proc[[#This Row],[DateClosed]]="",ABS(NETWORKDAYS(Proc[[#This Row],[DateOpened]],TODAY()))-1,ABS(NETWORKDAYS(Proc[[#This Row],[DateOpened]],Proc[[#This Row],[DateClosed]]))-1)</f>
        <v>3</v>
      </c>
      <c r="R3935" s="136" t="s">
        <v>1459</v>
      </c>
      <c r="S3935" s="129"/>
    </row>
    <row r="3936" spans="1:19" hidden="1">
      <c r="A3936" s="135" t="s">
        <v>6093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6092</v>
      </c>
      <c r="F3936" s="129" t="s">
        <v>6092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on track</v>
      </c>
      <c r="Q3936" s="3">
        <f ca="1">IF(Proc[[#This Row],[DateClosed]]="",ABS(NETWORKDAYS(Proc[[#This Row],[DateOpened]],TODAY()))-1,ABS(NETWORKDAYS(Proc[[#This Row],[DateOpened]],Proc[[#This Row],[DateClosed]]))-1)</f>
        <v>3</v>
      </c>
      <c r="R3936" s="136" t="s">
        <v>1459</v>
      </c>
      <c r="S3936" s="129"/>
    </row>
    <row r="3937" spans="1:19" hidden="1">
      <c r="A3937" t="s">
        <v>6102</v>
      </c>
      <c r="B3937" s="138" t="str">
        <f>IFERROR(VLOOKUP(Proc[[#This Row],[App]],Table2[],3,0),"open")</f>
        <v>ok</v>
      </c>
      <c r="C3937" s="138" t="s">
        <v>369</v>
      </c>
      <c r="D3937" t="s">
        <v>6094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on track</v>
      </c>
      <c r="Q3937" s="3">
        <f ca="1">IF(Proc[[#This Row],[DateClosed]]="",ABS(NETWORKDAYS(Proc[[#This Row],[DateOpened]],TODAY()))-1,ABS(NETWORKDAYS(Proc[[#This Row],[DateOpened]],Proc[[#This Row],[DateClosed]]))-1)</f>
        <v>3</v>
      </c>
      <c r="R3937" s="136" t="s">
        <v>972</v>
      </c>
      <c r="S3937" s="129"/>
    </row>
    <row r="3938" spans="1:19" hidden="1">
      <c r="A3938" s="135" t="s">
        <v>6102</v>
      </c>
      <c r="B3938" s="138" t="str">
        <f>IFERROR(VLOOKUP(Proc[[#This Row],[App]],Table2[],3,0),"open")</f>
        <v>ok</v>
      </c>
      <c r="C3938" s="138" t="s">
        <v>369</v>
      </c>
      <c r="D3938" t="s">
        <v>6095</v>
      </c>
      <c r="E3938" t="s">
        <v>6101</v>
      </c>
      <c r="F3938" s="129" t="s">
        <v>6101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on track</v>
      </c>
      <c r="Q3938" s="3">
        <f ca="1">IF(Proc[[#This Row],[DateClosed]]="",ABS(NETWORKDAYS(Proc[[#This Row],[DateOpened]],TODAY()))-1,ABS(NETWORKDAYS(Proc[[#This Row],[DateOpened]],Proc[[#This Row],[DateClosed]]))-1)</f>
        <v>3</v>
      </c>
      <c r="R3938" s="136" t="s">
        <v>972</v>
      </c>
      <c r="S3938" s="129"/>
    </row>
    <row r="3939" spans="1:19" hidden="1">
      <c r="A3939" s="135" t="s">
        <v>6102</v>
      </c>
      <c r="B3939" s="138" t="str">
        <f>IFERROR(VLOOKUP(Proc[[#This Row],[App]],Table2[],3,0),"open")</f>
        <v>ok</v>
      </c>
      <c r="C3939" s="138" t="s">
        <v>369</v>
      </c>
      <c r="D3939" t="s">
        <v>6096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on track</v>
      </c>
      <c r="Q3939" s="3">
        <f ca="1">IF(Proc[[#This Row],[DateClosed]]="",ABS(NETWORKDAYS(Proc[[#This Row],[DateOpened]],TODAY()))-1,ABS(NETWORKDAYS(Proc[[#This Row],[DateOpened]],Proc[[#This Row],[DateClosed]]))-1)</f>
        <v>3</v>
      </c>
      <c r="R3939" s="136" t="s">
        <v>972</v>
      </c>
      <c r="S3939" s="129"/>
    </row>
    <row r="3940" spans="1:19" hidden="1">
      <c r="A3940" s="135" t="s">
        <v>6102</v>
      </c>
      <c r="B3940" s="138" t="str">
        <f>IFERROR(VLOOKUP(Proc[[#This Row],[App]],Table2[],3,0),"open")</f>
        <v>ok</v>
      </c>
      <c r="C3940" s="138" t="s">
        <v>369</v>
      </c>
      <c r="D3940" t="s">
        <v>6097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on track</v>
      </c>
      <c r="Q3940" s="3">
        <f ca="1">IF(Proc[[#This Row],[DateClosed]]="",ABS(NETWORKDAYS(Proc[[#This Row],[DateOpened]],TODAY()))-1,ABS(NETWORKDAYS(Proc[[#This Row],[DateOpened]],Proc[[#This Row],[DateClosed]]))-1)</f>
        <v>3</v>
      </c>
      <c r="R3940" s="136" t="s">
        <v>972</v>
      </c>
      <c r="S3940" s="129"/>
    </row>
    <row r="3941" spans="1:19" hidden="1">
      <c r="A3941" s="135" t="s">
        <v>6102</v>
      </c>
      <c r="B3941" s="138" t="str">
        <f>IFERROR(VLOOKUP(Proc[[#This Row],[App]],Table2[],3,0),"open")</f>
        <v>ok</v>
      </c>
      <c r="C3941" s="138" t="s">
        <v>369</v>
      </c>
      <c r="D3941" t="s">
        <v>6098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on track</v>
      </c>
      <c r="Q3941" s="3">
        <f ca="1">IF(Proc[[#This Row],[DateClosed]]="",ABS(NETWORKDAYS(Proc[[#This Row],[DateOpened]],TODAY()))-1,ABS(NETWORKDAYS(Proc[[#This Row],[DateOpened]],Proc[[#This Row],[DateClosed]]))-1)</f>
        <v>3</v>
      </c>
      <c r="R3941" s="136" t="s">
        <v>972</v>
      </c>
      <c r="S3941" s="129"/>
    </row>
    <row r="3942" spans="1:19" hidden="1">
      <c r="A3942" s="135" t="s">
        <v>6102</v>
      </c>
      <c r="B3942" s="138" t="str">
        <f>IFERROR(VLOOKUP(Proc[[#This Row],[App]],Table2[],3,0),"open")</f>
        <v>ok</v>
      </c>
      <c r="C3942" s="138" t="s">
        <v>369</v>
      </c>
      <c r="D3942" t="s">
        <v>6099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on track</v>
      </c>
      <c r="Q3942" s="3">
        <f ca="1">IF(Proc[[#This Row],[DateClosed]]="",ABS(NETWORKDAYS(Proc[[#This Row],[DateOpened]],TODAY()))-1,ABS(NETWORKDAYS(Proc[[#This Row],[DateOpened]],Proc[[#This Row],[DateClosed]]))-1)</f>
        <v>3</v>
      </c>
      <c r="R3942" s="136" t="s">
        <v>972</v>
      </c>
      <c r="S3942" s="129"/>
    </row>
    <row r="3943" spans="1:19" hidden="1">
      <c r="A3943" s="135" t="s">
        <v>6102</v>
      </c>
      <c r="B3943" s="138" t="str">
        <f>IFERROR(VLOOKUP(Proc[[#This Row],[App]],Table2[],3,0),"open")</f>
        <v>ok</v>
      </c>
      <c r="C3943" s="138" t="s">
        <v>369</v>
      </c>
      <c r="D3943" t="s">
        <v>6100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on track</v>
      </c>
      <c r="Q3943" s="3">
        <f ca="1">IF(Proc[[#This Row],[DateClosed]]="",ABS(NETWORKDAYS(Proc[[#This Row],[DateOpened]],TODAY()))-1,ABS(NETWORKDAYS(Proc[[#This Row],[DateOpened]],Proc[[#This Row],[DateClosed]]))-1)</f>
        <v>3</v>
      </c>
      <c r="R3943" s="136" t="s">
        <v>972</v>
      </c>
      <c r="S3943" s="129"/>
    </row>
    <row r="3944" spans="1:19" hidden="1">
      <c r="A3944" t="s">
        <v>6103</v>
      </c>
      <c r="B3944" s="138" t="str">
        <f>IFERROR(VLOOKUP(Proc[[#This Row],[App]],Table2[],3,0),"open")</f>
        <v>open</v>
      </c>
      <c r="C3944" s="138" t="s">
        <v>370</v>
      </c>
      <c r="D3944" t="s">
        <v>6104</v>
      </c>
      <c r="E3944" t="s">
        <v>5671</v>
      </c>
      <c r="F3944" s="129" t="s">
        <v>6108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0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on track</v>
      </c>
      <c r="Q3944" s="3">
        <f ca="1">IF(Proc[[#This Row],[DateClosed]]="",ABS(NETWORKDAYS(Proc[[#This Row],[DateOpened]],TODAY()))-1,ABS(NETWORKDAYS(Proc[[#This Row],[DateOpened]],Proc[[#This Row],[DateClosed]]))-1)</f>
        <v>3</v>
      </c>
      <c r="R3944" s="136" t="s">
        <v>515</v>
      </c>
      <c r="S3944" s="129"/>
    </row>
    <row r="3945" spans="1:19" hidden="1">
      <c r="A3945" s="138" t="s">
        <v>6103</v>
      </c>
      <c r="B3945" s="138" t="str">
        <f>IFERROR(VLOOKUP(Proc[[#This Row],[App]],Table2[],3,0),"open")</f>
        <v>open</v>
      </c>
      <c r="C3945" s="138" t="s">
        <v>369</v>
      </c>
      <c r="D3945" t="s">
        <v>6105</v>
      </c>
      <c r="E3945" t="s">
        <v>5671</v>
      </c>
      <c r="F3945" s="129" t="s">
        <v>5671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on track</v>
      </c>
      <c r="Q3945" s="3">
        <f ca="1">IF(Proc[[#This Row],[DateClosed]]="",ABS(NETWORKDAYS(Proc[[#This Row],[DateOpened]],TODAY()))-1,ABS(NETWORKDAYS(Proc[[#This Row],[DateOpened]],Proc[[#This Row],[DateClosed]]))-1)</f>
        <v>3</v>
      </c>
      <c r="R3945" s="136" t="s">
        <v>515</v>
      </c>
      <c r="S3945" s="129"/>
    </row>
    <row r="3946" spans="1:19" hidden="1">
      <c r="A3946" s="138" t="s">
        <v>6103</v>
      </c>
      <c r="B3946" s="138" t="str">
        <f>IFERROR(VLOOKUP(Proc[[#This Row],[App]],Table2[],3,0),"open")</f>
        <v>open</v>
      </c>
      <c r="C3946" s="139" t="s">
        <v>370</v>
      </c>
      <c r="D3946" t="s">
        <v>6106</v>
      </c>
      <c r="E3946" t="s">
        <v>5671</v>
      </c>
      <c r="F3946" s="129" t="s">
        <v>6108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0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on track</v>
      </c>
      <c r="Q3946" s="3">
        <f ca="1">IF(Proc[[#This Row],[DateClosed]]="",ABS(NETWORKDAYS(Proc[[#This Row],[DateOpened]],TODAY()))-1,ABS(NETWORKDAYS(Proc[[#This Row],[DateOpened]],Proc[[#This Row],[DateClosed]]))-1)</f>
        <v>3</v>
      </c>
      <c r="R3946" s="136" t="s">
        <v>515</v>
      </c>
      <c r="S3946" s="129"/>
    </row>
    <row r="3947" spans="1:19" hidden="1">
      <c r="A3947" t="s">
        <v>6109</v>
      </c>
      <c r="B3947" s="129" t="str">
        <f>IFERROR(VLOOKUP(Proc[[#This Row],[App]],Table2[],3,0),"open")</f>
        <v>open</v>
      </c>
      <c r="C3947" s="139" t="s">
        <v>370</v>
      </c>
      <c r="D3947" s="138" t="s">
        <v>5957</v>
      </c>
      <c r="E3947" s="138" t="s">
        <v>6067</v>
      </c>
      <c r="F3947" s="129" t="s">
        <v>6107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on track</v>
      </c>
      <c r="Q3947" s="3">
        <f ca="1">IF(Proc[[#This Row],[DateClosed]]="",ABS(NETWORKDAYS(Proc[[#This Row],[DateOpened]],TODAY()))-1,ABS(NETWORKDAYS(Proc[[#This Row],[DateOpened]],Proc[[#This Row],[DateClosed]]))-1)</f>
        <v>3</v>
      </c>
      <c r="R3947" s="136" t="s">
        <v>6091</v>
      </c>
      <c r="S3947" s="129"/>
    </row>
    <row r="3948" spans="1:19" hidden="1">
      <c r="A3948" t="s">
        <v>6110</v>
      </c>
      <c r="B3948" s="129" t="str">
        <f>IFERROR(VLOOKUP(Proc[[#This Row],[App]],Table2[],3,0),"open")</f>
        <v>ok</v>
      </c>
      <c r="C3948" s="138" t="s">
        <v>369</v>
      </c>
      <c r="D3948" t="s">
        <v>6111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on track</v>
      </c>
      <c r="Q3948" s="3">
        <f ca="1">IF(Proc[[#This Row],[DateClosed]]="",ABS(NETWORKDAYS(Proc[[#This Row],[DateOpened]],TODAY()))-1,ABS(NETWORKDAYS(Proc[[#This Row],[DateOpened]],Proc[[#This Row],[DateClosed]]))-1)</f>
        <v>2</v>
      </c>
      <c r="R3948" s="136" t="s">
        <v>1013</v>
      </c>
      <c r="S3948" s="129"/>
    </row>
    <row r="3949" spans="1:19" hidden="1">
      <c r="A3949" s="138" t="s">
        <v>6110</v>
      </c>
      <c r="B3949" s="129" t="str">
        <f>IFERROR(VLOOKUP(Proc[[#This Row],[App]],Table2[],3,0),"open")</f>
        <v>ok</v>
      </c>
      <c r="C3949" s="138" t="s">
        <v>369</v>
      </c>
      <c r="D3949" t="s">
        <v>6112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on track</v>
      </c>
      <c r="Q3949" s="3">
        <f ca="1">IF(Proc[[#This Row],[DateClosed]]="",ABS(NETWORKDAYS(Proc[[#This Row],[DateOpened]],TODAY()))-1,ABS(NETWORKDAYS(Proc[[#This Row],[DateOpened]],Proc[[#This Row],[DateClosed]]))-1)</f>
        <v>2</v>
      </c>
      <c r="R3949" s="136" t="s">
        <v>1013</v>
      </c>
      <c r="S3949" s="129"/>
    </row>
    <row r="3950" spans="1:19" hidden="1">
      <c r="A3950" s="138" t="s">
        <v>6110</v>
      </c>
      <c r="B3950" s="129" t="str">
        <f>IFERROR(VLOOKUP(Proc[[#This Row],[App]],Table2[],3,0),"open")</f>
        <v>ok</v>
      </c>
      <c r="C3950" s="138" t="s">
        <v>369</v>
      </c>
      <c r="D3950" t="s">
        <v>6113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on track</v>
      </c>
      <c r="Q3950" s="3">
        <f ca="1">IF(Proc[[#This Row],[DateClosed]]="",ABS(NETWORKDAYS(Proc[[#This Row],[DateOpened]],TODAY()))-1,ABS(NETWORKDAYS(Proc[[#This Row],[DateOpened]],Proc[[#This Row],[DateClosed]]))-1)</f>
        <v>2</v>
      </c>
      <c r="R3950" s="136" t="s">
        <v>1013</v>
      </c>
      <c r="S3950" s="129"/>
    </row>
    <row r="3951" spans="1:19" hidden="1">
      <c r="A3951" s="138" t="s">
        <v>6110</v>
      </c>
      <c r="B3951" s="129" t="str">
        <f>IFERROR(VLOOKUP(Proc[[#This Row],[App]],Table2[],3,0),"open")</f>
        <v>ok</v>
      </c>
      <c r="C3951" s="138" t="s">
        <v>369</v>
      </c>
      <c r="D3951" t="s">
        <v>6114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on track</v>
      </c>
      <c r="Q3951" s="3">
        <f ca="1">IF(Proc[[#This Row],[DateClosed]]="",ABS(NETWORKDAYS(Proc[[#This Row],[DateOpened]],TODAY()))-1,ABS(NETWORKDAYS(Proc[[#This Row],[DateOpened]],Proc[[#This Row],[DateClosed]]))-1)</f>
        <v>2</v>
      </c>
      <c r="R3951" s="136" t="s">
        <v>1013</v>
      </c>
      <c r="S3951" s="129"/>
    </row>
    <row r="3952" spans="1:19" hidden="1">
      <c r="A3952" s="138" t="s">
        <v>6110</v>
      </c>
      <c r="B3952" s="129" t="str">
        <f>IFERROR(VLOOKUP(Proc[[#This Row],[App]],Table2[],3,0),"open")</f>
        <v>ok</v>
      </c>
      <c r="C3952" s="138" t="s">
        <v>369</v>
      </c>
      <c r="D3952" t="s">
        <v>6115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on track</v>
      </c>
      <c r="Q3952" s="3">
        <f ca="1">IF(Proc[[#This Row],[DateClosed]]="",ABS(NETWORKDAYS(Proc[[#This Row],[DateOpened]],TODAY()))-1,ABS(NETWORKDAYS(Proc[[#This Row],[DateOpened]],Proc[[#This Row],[DateClosed]]))-1)</f>
        <v>2</v>
      </c>
      <c r="R3952" s="136" t="s">
        <v>1013</v>
      </c>
      <c r="S3952" s="129"/>
    </row>
    <row r="3953" spans="1:19" hidden="1">
      <c r="A3953" s="138" t="s">
        <v>6110</v>
      </c>
      <c r="B3953" s="129" t="str">
        <f>IFERROR(VLOOKUP(Proc[[#This Row],[App]],Table2[],3,0),"open")</f>
        <v>ok</v>
      </c>
      <c r="C3953" s="138" t="s">
        <v>369</v>
      </c>
      <c r="D3953" t="s">
        <v>6116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on track</v>
      </c>
      <c r="Q3953" s="3">
        <f ca="1">IF(Proc[[#This Row],[DateClosed]]="",ABS(NETWORKDAYS(Proc[[#This Row],[DateOpened]],TODAY()))-1,ABS(NETWORKDAYS(Proc[[#This Row],[DateOpened]],Proc[[#This Row],[DateClosed]]))-1)</f>
        <v>2</v>
      </c>
      <c r="R3953" s="136" t="s">
        <v>1013</v>
      </c>
      <c r="S3953" s="129"/>
    </row>
    <row r="3954" spans="1:19" hidden="1">
      <c r="A3954" s="138" t="s">
        <v>6110</v>
      </c>
      <c r="B3954" s="129" t="str">
        <f>IFERROR(VLOOKUP(Proc[[#This Row],[App]],Table2[],3,0),"open")</f>
        <v>ok</v>
      </c>
      <c r="C3954" s="138" t="s">
        <v>369</v>
      </c>
      <c r="D3954" t="s">
        <v>6117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on track</v>
      </c>
      <c r="Q3954" s="3">
        <f ca="1">IF(Proc[[#This Row],[DateClosed]]="",ABS(NETWORKDAYS(Proc[[#This Row],[DateOpened]],TODAY()))-1,ABS(NETWORKDAYS(Proc[[#This Row],[DateOpened]],Proc[[#This Row],[DateClosed]]))-1)</f>
        <v>2</v>
      </c>
      <c r="R3954" s="136" t="s">
        <v>1013</v>
      </c>
      <c r="S3954" s="129"/>
    </row>
    <row r="3955" spans="1:19" hidden="1">
      <c r="A3955" s="138" t="s">
        <v>6110</v>
      </c>
      <c r="B3955" s="129" t="str">
        <f>IFERROR(VLOOKUP(Proc[[#This Row],[App]],Table2[],3,0),"open")</f>
        <v>ok</v>
      </c>
      <c r="C3955" s="138" t="s">
        <v>369</v>
      </c>
      <c r="D3955" t="s">
        <v>6118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on track</v>
      </c>
      <c r="Q3955" s="3">
        <f ca="1">IF(Proc[[#This Row],[DateClosed]]="",ABS(NETWORKDAYS(Proc[[#This Row],[DateOpened]],TODAY()))-1,ABS(NETWORKDAYS(Proc[[#This Row],[DateOpened]],Proc[[#This Row],[DateClosed]]))-1)</f>
        <v>2</v>
      </c>
      <c r="R3955" s="136" t="s">
        <v>1013</v>
      </c>
      <c r="S3955" s="129"/>
    </row>
    <row r="3956" spans="1:19" hidden="1">
      <c r="A3956" s="138" t="s">
        <v>6110</v>
      </c>
      <c r="B3956" s="129" t="str">
        <f>IFERROR(VLOOKUP(Proc[[#This Row],[App]],Table2[],3,0),"open")</f>
        <v>ok</v>
      </c>
      <c r="C3956" s="138" t="s">
        <v>369</v>
      </c>
      <c r="D3956" t="s">
        <v>6119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on track</v>
      </c>
      <c r="Q3956" s="3">
        <f ca="1">IF(Proc[[#This Row],[DateClosed]]="",ABS(NETWORKDAYS(Proc[[#This Row],[DateOpened]],TODAY()))-1,ABS(NETWORKDAYS(Proc[[#This Row],[DateOpened]],Proc[[#This Row],[DateClosed]]))-1)</f>
        <v>2</v>
      </c>
      <c r="R3956" s="136" t="s">
        <v>1013</v>
      </c>
      <c r="S3956" s="129"/>
    </row>
    <row r="3957" spans="1:19" hidden="1">
      <c r="A3957" s="138" t="s">
        <v>6110</v>
      </c>
      <c r="B3957" s="129" t="str">
        <f>IFERROR(VLOOKUP(Proc[[#This Row],[App]],Table2[],3,0),"open")</f>
        <v>ok</v>
      </c>
      <c r="C3957" s="138" t="s">
        <v>369</v>
      </c>
      <c r="D3957" t="s">
        <v>6120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on track</v>
      </c>
      <c r="Q3957" s="3">
        <f ca="1">IF(Proc[[#This Row],[DateClosed]]="",ABS(NETWORKDAYS(Proc[[#This Row],[DateOpened]],TODAY()))-1,ABS(NETWORKDAYS(Proc[[#This Row],[DateOpened]],Proc[[#This Row],[DateClosed]]))-1)</f>
        <v>2</v>
      </c>
      <c r="R3957" s="136" t="s">
        <v>1013</v>
      </c>
      <c r="S3957" s="129"/>
    </row>
    <row r="3958" spans="1:19" hidden="1">
      <c r="A3958" s="138" t="s">
        <v>6110</v>
      </c>
      <c r="B3958" s="129" t="str">
        <f>IFERROR(VLOOKUP(Proc[[#This Row],[App]],Table2[],3,0),"open")</f>
        <v>ok</v>
      </c>
      <c r="C3958" s="138" t="s">
        <v>369</v>
      </c>
      <c r="D3958" t="s">
        <v>6121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on track</v>
      </c>
      <c r="Q3958" s="3">
        <f ca="1">IF(Proc[[#This Row],[DateClosed]]="",ABS(NETWORKDAYS(Proc[[#This Row],[DateOpened]],TODAY()))-1,ABS(NETWORKDAYS(Proc[[#This Row],[DateOpened]],Proc[[#This Row],[DateClosed]]))-1)</f>
        <v>2</v>
      </c>
      <c r="R3958" s="136" t="s">
        <v>1013</v>
      </c>
      <c r="S3958" s="129"/>
    </row>
    <row r="3959" spans="1:19" hidden="1">
      <c r="A3959" s="138" t="s">
        <v>6110</v>
      </c>
      <c r="B3959" s="129" t="str">
        <f>IFERROR(VLOOKUP(Proc[[#This Row],[App]],Table2[],3,0),"open")</f>
        <v>ok</v>
      </c>
      <c r="C3959" s="138" t="s">
        <v>369</v>
      </c>
      <c r="D3959" t="s">
        <v>6122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on track</v>
      </c>
      <c r="Q3959" s="3">
        <f ca="1">IF(Proc[[#This Row],[DateClosed]]="",ABS(NETWORKDAYS(Proc[[#This Row],[DateOpened]],TODAY()))-1,ABS(NETWORKDAYS(Proc[[#This Row],[DateOpened]],Proc[[#This Row],[DateClosed]]))-1)</f>
        <v>2</v>
      </c>
      <c r="R3959" s="136" t="s">
        <v>1013</v>
      </c>
      <c r="S3959" s="129"/>
    </row>
    <row r="3960" spans="1:19" hidden="1">
      <c r="A3960" s="138" t="s">
        <v>6110</v>
      </c>
      <c r="B3960" s="129" t="str">
        <f>IFERROR(VLOOKUP(Proc[[#This Row],[App]],Table2[],3,0),"open")</f>
        <v>ok</v>
      </c>
      <c r="C3960" s="138" t="s">
        <v>369</v>
      </c>
      <c r="D3960" t="s">
        <v>6123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on track</v>
      </c>
      <c r="Q3960" s="3">
        <f ca="1">IF(Proc[[#This Row],[DateClosed]]="",ABS(NETWORKDAYS(Proc[[#This Row],[DateOpened]],TODAY()))-1,ABS(NETWORKDAYS(Proc[[#This Row],[DateOpened]],Proc[[#This Row],[DateClosed]]))-1)</f>
        <v>2</v>
      </c>
      <c r="R3960" s="136" t="s">
        <v>1013</v>
      </c>
      <c r="S3960" s="129"/>
    </row>
    <row r="3961" spans="1:19" hidden="1">
      <c r="A3961" s="138" t="s">
        <v>6110</v>
      </c>
      <c r="B3961" s="129" t="str">
        <f>IFERROR(VLOOKUP(Proc[[#This Row],[App]],Table2[],3,0),"open")</f>
        <v>ok</v>
      </c>
      <c r="C3961" s="138" t="s">
        <v>369</v>
      </c>
      <c r="D3961" t="s">
        <v>6124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on track</v>
      </c>
      <c r="Q3961" s="3">
        <f ca="1">IF(Proc[[#This Row],[DateClosed]]="",ABS(NETWORKDAYS(Proc[[#This Row],[DateOpened]],TODAY()))-1,ABS(NETWORKDAYS(Proc[[#This Row],[DateOpened]],Proc[[#This Row],[DateClosed]]))-1)</f>
        <v>2</v>
      </c>
      <c r="R3961" s="136" t="s">
        <v>1013</v>
      </c>
      <c r="S3961" s="129"/>
    </row>
    <row r="3962" spans="1:19" hidden="1">
      <c r="A3962" s="138" t="s">
        <v>6110</v>
      </c>
      <c r="B3962" s="129" t="str">
        <f>IFERROR(VLOOKUP(Proc[[#This Row],[App]],Table2[],3,0),"open")</f>
        <v>ok</v>
      </c>
      <c r="C3962" s="138" t="s">
        <v>369</v>
      </c>
      <c r="D3962" t="s">
        <v>6125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on track</v>
      </c>
      <c r="Q3962" s="3">
        <f ca="1">IF(Proc[[#This Row],[DateClosed]]="",ABS(NETWORKDAYS(Proc[[#This Row],[DateOpened]],TODAY()))-1,ABS(NETWORKDAYS(Proc[[#This Row],[DateOpened]],Proc[[#This Row],[DateClosed]]))-1)</f>
        <v>2</v>
      </c>
      <c r="R3962" s="136" t="s">
        <v>1013</v>
      </c>
      <c r="S3962" s="129"/>
    </row>
    <row r="3963" spans="1:19" hidden="1">
      <c r="A3963" s="138" t="s">
        <v>6110</v>
      </c>
      <c r="B3963" s="129" t="str">
        <f>IFERROR(VLOOKUP(Proc[[#This Row],[App]],Table2[],3,0),"open")</f>
        <v>ok</v>
      </c>
      <c r="C3963" s="138" t="s">
        <v>369</v>
      </c>
      <c r="D3963" t="s">
        <v>6126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on track</v>
      </c>
      <c r="Q3963" s="3">
        <f ca="1">IF(Proc[[#This Row],[DateClosed]]="",ABS(NETWORKDAYS(Proc[[#This Row],[DateOpened]],TODAY()))-1,ABS(NETWORKDAYS(Proc[[#This Row],[DateOpened]],Proc[[#This Row],[DateClosed]]))-1)</f>
        <v>2</v>
      </c>
      <c r="R3963" s="136" t="s">
        <v>1013</v>
      </c>
      <c r="S3963" s="129"/>
    </row>
    <row r="3964" spans="1:19" hidden="1">
      <c r="A3964" s="138" t="s">
        <v>6110</v>
      </c>
      <c r="B3964" s="129" t="str">
        <f>IFERROR(VLOOKUP(Proc[[#This Row],[App]],Table2[],3,0),"open")</f>
        <v>ok</v>
      </c>
      <c r="C3964" s="138" t="s">
        <v>369</v>
      </c>
      <c r="D3964" t="s">
        <v>6127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on track</v>
      </c>
      <c r="Q3964" s="3">
        <f ca="1">IF(Proc[[#This Row],[DateClosed]]="",ABS(NETWORKDAYS(Proc[[#This Row],[DateOpened]],TODAY()))-1,ABS(NETWORKDAYS(Proc[[#This Row],[DateOpened]],Proc[[#This Row],[DateClosed]]))-1)</f>
        <v>2</v>
      </c>
      <c r="R3964" s="136" t="s">
        <v>1013</v>
      </c>
      <c r="S3964" s="129"/>
    </row>
    <row r="3965" spans="1:19" hidden="1">
      <c r="A3965" s="138" t="s">
        <v>6110</v>
      </c>
      <c r="B3965" s="129" t="str">
        <f>IFERROR(VLOOKUP(Proc[[#This Row],[App]],Table2[],3,0),"open")</f>
        <v>ok</v>
      </c>
      <c r="C3965" s="138" t="s">
        <v>369</v>
      </c>
      <c r="D3965" t="s">
        <v>6128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on track</v>
      </c>
      <c r="Q3965" s="3">
        <f ca="1">IF(Proc[[#This Row],[DateClosed]]="",ABS(NETWORKDAYS(Proc[[#This Row],[DateOpened]],TODAY()))-1,ABS(NETWORKDAYS(Proc[[#This Row],[DateOpened]],Proc[[#This Row],[DateClosed]]))-1)</f>
        <v>2</v>
      </c>
      <c r="R3965" s="136" t="s">
        <v>1013</v>
      </c>
      <c r="S3965" s="129"/>
    </row>
    <row r="3966" spans="1:19" hidden="1">
      <c r="A3966" s="138" t="s">
        <v>6110</v>
      </c>
      <c r="B3966" s="129" t="str">
        <f>IFERROR(VLOOKUP(Proc[[#This Row],[App]],Table2[],3,0),"open")</f>
        <v>ok</v>
      </c>
      <c r="C3966" s="138" t="s">
        <v>369</v>
      </c>
      <c r="D3966" t="s">
        <v>6129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on track</v>
      </c>
      <c r="Q3966" s="3">
        <f ca="1">IF(Proc[[#This Row],[DateClosed]]="",ABS(NETWORKDAYS(Proc[[#This Row],[DateOpened]],TODAY()))-1,ABS(NETWORKDAYS(Proc[[#This Row],[DateOpened]],Proc[[#This Row],[DateClosed]]))-1)</f>
        <v>2</v>
      </c>
      <c r="R3966" s="136" t="s">
        <v>1013</v>
      </c>
      <c r="S3966" s="129"/>
    </row>
    <row r="3967" spans="1:19" hidden="1">
      <c r="A3967" s="138" t="s">
        <v>6110</v>
      </c>
      <c r="B3967" s="129" t="str">
        <f>IFERROR(VLOOKUP(Proc[[#This Row],[App]],Table2[],3,0),"open")</f>
        <v>ok</v>
      </c>
      <c r="C3967" s="138" t="s">
        <v>369</v>
      </c>
      <c r="D3967" t="s">
        <v>6130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on track</v>
      </c>
      <c r="Q3967" s="3">
        <f ca="1">IF(Proc[[#This Row],[DateClosed]]="",ABS(NETWORKDAYS(Proc[[#This Row],[DateOpened]],TODAY()))-1,ABS(NETWORKDAYS(Proc[[#This Row],[DateOpened]],Proc[[#This Row],[DateClosed]]))-1)</f>
        <v>2</v>
      </c>
      <c r="R3967" s="136" t="s">
        <v>1013</v>
      </c>
      <c r="S3967" s="129"/>
    </row>
    <row r="3968" spans="1:19" hidden="1">
      <c r="A3968" s="138" t="s">
        <v>6110</v>
      </c>
      <c r="B3968" s="129" t="str">
        <f>IFERROR(VLOOKUP(Proc[[#This Row],[App]],Table2[],3,0),"open")</f>
        <v>ok</v>
      </c>
      <c r="C3968" s="138" t="s">
        <v>369</v>
      </c>
      <c r="D3968" t="s">
        <v>6131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on track</v>
      </c>
      <c r="Q3968" s="3">
        <f ca="1">IF(Proc[[#This Row],[DateClosed]]="",ABS(NETWORKDAYS(Proc[[#This Row],[DateOpened]],TODAY()))-1,ABS(NETWORKDAYS(Proc[[#This Row],[DateOpened]],Proc[[#This Row],[DateClosed]]))-1)</f>
        <v>2</v>
      </c>
      <c r="R3968" s="136" t="s">
        <v>1013</v>
      </c>
      <c r="S3968" s="129"/>
    </row>
    <row r="3969" spans="1:19" hidden="1">
      <c r="A3969" s="138" t="s">
        <v>6110</v>
      </c>
      <c r="B3969" s="129" t="str">
        <f>IFERROR(VLOOKUP(Proc[[#This Row],[App]],Table2[],3,0),"open")</f>
        <v>ok</v>
      </c>
      <c r="C3969" s="138" t="s">
        <v>369</v>
      </c>
      <c r="D3969" t="s">
        <v>6132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on track</v>
      </c>
      <c r="Q3969" s="3">
        <f ca="1">IF(Proc[[#This Row],[DateClosed]]="",ABS(NETWORKDAYS(Proc[[#This Row],[DateOpened]],TODAY()))-1,ABS(NETWORKDAYS(Proc[[#This Row],[DateOpened]],Proc[[#This Row],[DateClosed]]))-1)</f>
        <v>2</v>
      </c>
      <c r="R3969" s="136" t="s">
        <v>1013</v>
      </c>
      <c r="S3969" s="129"/>
    </row>
    <row r="3970" spans="1:19" hidden="1">
      <c r="A3970" s="138" t="s">
        <v>6110</v>
      </c>
      <c r="B3970" s="129" t="str">
        <f>IFERROR(VLOOKUP(Proc[[#This Row],[App]],Table2[],3,0),"open")</f>
        <v>ok</v>
      </c>
      <c r="C3970" s="138" t="s">
        <v>369</v>
      </c>
      <c r="D3970" t="s">
        <v>6133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on track</v>
      </c>
      <c r="Q3970" s="3">
        <f ca="1">IF(Proc[[#This Row],[DateClosed]]="",ABS(NETWORKDAYS(Proc[[#This Row],[DateOpened]],TODAY()))-1,ABS(NETWORKDAYS(Proc[[#This Row],[DateOpened]],Proc[[#This Row],[DateClosed]]))-1)</f>
        <v>2</v>
      </c>
      <c r="R3970" s="136" t="s">
        <v>1013</v>
      </c>
      <c r="S3970" s="129"/>
    </row>
    <row r="3971" spans="1:19" hidden="1">
      <c r="A3971" s="138" t="s">
        <v>6110</v>
      </c>
      <c r="B3971" s="129" t="str">
        <f>IFERROR(VLOOKUP(Proc[[#This Row],[App]],Table2[],3,0),"open")</f>
        <v>ok</v>
      </c>
      <c r="C3971" s="138" t="s">
        <v>369</v>
      </c>
      <c r="D3971" t="s">
        <v>6134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on track</v>
      </c>
      <c r="Q3971" s="3">
        <f ca="1">IF(Proc[[#This Row],[DateClosed]]="",ABS(NETWORKDAYS(Proc[[#This Row],[DateOpened]],TODAY()))-1,ABS(NETWORKDAYS(Proc[[#This Row],[DateOpened]],Proc[[#This Row],[DateClosed]]))-1)</f>
        <v>2</v>
      </c>
      <c r="R3971" s="136" t="s">
        <v>1013</v>
      </c>
      <c r="S3971" s="129"/>
    </row>
    <row r="3972" spans="1:19" hidden="1">
      <c r="A3972" s="138" t="s">
        <v>6110</v>
      </c>
      <c r="B3972" s="129" t="str">
        <f>IFERROR(VLOOKUP(Proc[[#This Row],[App]],Table2[],3,0),"open")</f>
        <v>ok</v>
      </c>
      <c r="C3972" s="138" t="s">
        <v>369</v>
      </c>
      <c r="D3972" t="s">
        <v>6135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on track</v>
      </c>
      <c r="Q3972" s="3">
        <f ca="1">IF(Proc[[#This Row],[DateClosed]]="",ABS(NETWORKDAYS(Proc[[#This Row],[DateOpened]],TODAY()))-1,ABS(NETWORKDAYS(Proc[[#This Row],[DateOpened]],Proc[[#This Row],[DateClosed]]))-1)</f>
        <v>2</v>
      </c>
      <c r="R3972" s="136" t="s">
        <v>1013</v>
      </c>
      <c r="S3972" s="129"/>
    </row>
    <row r="3973" spans="1:19" hidden="1">
      <c r="A3973" s="138" t="s">
        <v>6110</v>
      </c>
      <c r="B3973" s="129" t="str">
        <f>IFERROR(VLOOKUP(Proc[[#This Row],[App]],Table2[],3,0),"open")</f>
        <v>ok</v>
      </c>
      <c r="C3973" s="138" t="s">
        <v>369</v>
      </c>
      <c r="D3973" t="s">
        <v>6136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on track</v>
      </c>
      <c r="Q3973" s="3">
        <f ca="1">IF(Proc[[#This Row],[DateClosed]]="",ABS(NETWORKDAYS(Proc[[#This Row],[DateOpened]],TODAY()))-1,ABS(NETWORKDAYS(Proc[[#This Row],[DateOpened]],Proc[[#This Row],[DateClosed]]))-1)</f>
        <v>2</v>
      </c>
      <c r="R3973" s="136" t="s">
        <v>1013</v>
      </c>
      <c r="S3973" s="129"/>
    </row>
    <row r="3974" spans="1:19" hidden="1">
      <c r="A3974" s="138" t="s">
        <v>6110</v>
      </c>
      <c r="B3974" s="129" t="str">
        <f>IFERROR(VLOOKUP(Proc[[#This Row],[App]],Table2[],3,0),"open")</f>
        <v>ok</v>
      </c>
      <c r="C3974" s="138" t="s">
        <v>369</v>
      </c>
      <c r="D3974" t="s">
        <v>6137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on track</v>
      </c>
      <c r="Q3974" s="3">
        <f ca="1">IF(Proc[[#This Row],[DateClosed]]="",ABS(NETWORKDAYS(Proc[[#This Row],[DateOpened]],TODAY()))-1,ABS(NETWORKDAYS(Proc[[#This Row],[DateOpened]],Proc[[#This Row],[DateClosed]]))-1)</f>
        <v>2</v>
      </c>
      <c r="R3974" s="136" t="s">
        <v>1013</v>
      </c>
      <c r="S3974" s="129"/>
    </row>
    <row r="3975" spans="1:19" hidden="1">
      <c r="A3975" s="138" t="s">
        <v>6110</v>
      </c>
      <c r="B3975" s="129" t="str">
        <f>IFERROR(VLOOKUP(Proc[[#This Row],[App]],Table2[],3,0),"open")</f>
        <v>ok</v>
      </c>
      <c r="C3975" s="138" t="s">
        <v>369</v>
      </c>
      <c r="D3975" t="s">
        <v>6138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on track</v>
      </c>
      <c r="Q3975" s="3">
        <f ca="1">IF(Proc[[#This Row],[DateClosed]]="",ABS(NETWORKDAYS(Proc[[#This Row],[DateOpened]],TODAY()))-1,ABS(NETWORKDAYS(Proc[[#This Row],[DateOpened]],Proc[[#This Row],[DateClosed]]))-1)</f>
        <v>2</v>
      </c>
      <c r="R3975" s="136" t="s">
        <v>1013</v>
      </c>
      <c r="S3975" s="129"/>
    </row>
    <row r="3976" spans="1:19" hidden="1">
      <c r="A3976" s="138" t="s">
        <v>6110</v>
      </c>
      <c r="B3976" s="129" t="str">
        <f>IFERROR(VLOOKUP(Proc[[#This Row],[App]],Table2[],3,0),"open")</f>
        <v>ok</v>
      </c>
      <c r="C3976" s="138" t="s">
        <v>369</v>
      </c>
      <c r="D3976" t="s">
        <v>6139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on track</v>
      </c>
      <c r="Q3976" s="3">
        <f ca="1">IF(Proc[[#This Row],[DateClosed]]="",ABS(NETWORKDAYS(Proc[[#This Row],[DateOpened]],TODAY()))-1,ABS(NETWORKDAYS(Proc[[#This Row],[DateOpened]],Proc[[#This Row],[DateClosed]]))-1)</f>
        <v>2</v>
      </c>
      <c r="R3976" s="136" t="s">
        <v>1013</v>
      </c>
      <c r="S3976" s="129"/>
    </row>
    <row r="3977" spans="1:19" hidden="1">
      <c r="A3977" s="138" t="s">
        <v>6110</v>
      </c>
      <c r="B3977" s="129" t="str">
        <f>IFERROR(VLOOKUP(Proc[[#This Row],[App]],Table2[],3,0),"open")</f>
        <v>ok</v>
      </c>
      <c r="C3977" s="138" t="s">
        <v>369</v>
      </c>
      <c r="D3977" t="s">
        <v>6140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on track</v>
      </c>
      <c r="Q3977" s="3">
        <f ca="1">IF(Proc[[#This Row],[DateClosed]]="",ABS(NETWORKDAYS(Proc[[#This Row],[DateOpened]],TODAY()))-1,ABS(NETWORKDAYS(Proc[[#This Row],[DateOpened]],Proc[[#This Row],[DateClosed]]))-1)</f>
        <v>2</v>
      </c>
      <c r="R3977" s="136" t="s">
        <v>1013</v>
      </c>
      <c r="S3977" s="129"/>
    </row>
    <row r="3978" spans="1:19" hidden="1">
      <c r="A3978" s="138" t="s">
        <v>6110</v>
      </c>
      <c r="B3978" s="129" t="str">
        <f>IFERROR(VLOOKUP(Proc[[#This Row],[App]],Table2[],3,0),"open")</f>
        <v>ok</v>
      </c>
      <c r="C3978" s="138" t="s">
        <v>369</v>
      </c>
      <c r="D3978" t="s">
        <v>6141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on track</v>
      </c>
      <c r="Q3978" s="3">
        <f ca="1">IF(Proc[[#This Row],[DateClosed]]="",ABS(NETWORKDAYS(Proc[[#This Row],[DateOpened]],TODAY()))-1,ABS(NETWORKDAYS(Proc[[#This Row],[DateOpened]],Proc[[#This Row],[DateClosed]]))-1)</f>
        <v>2</v>
      </c>
      <c r="R3978" s="136" t="s">
        <v>1013</v>
      </c>
      <c r="S3978" s="129"/>
    </row>
    <row r="3979" spans="1:19" hidden="1">
      <c r="A3979" s="138" t="s">
        <v>6110</v>
      </c>
      <c r="B3979" s="129" t="str">
        <f>IFERROR(VLOOKUP(Proc[[#This Row],[App]],Table2[],3,0),"open")</f>
        <v>ok</v>
      </c>
      <c r="C3979" s="138" t="s">
        <v>369</v>
      </c>
      <c r="D3979" t="s">
        <v>6142</v>
      </c>
      <c r="E3979" t="s">
        <v>6150</v>
      </c>
      <c r="F3979" s="129" t="s">
        <v>6150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on track</v>
      </c>
      <c r="Q3979" s="3">
        <f ca="1">IF(Proc[[#This Row],[DateClosed]]="",ABS(NETWORKDAYS(Proc[[#This Row],[DateOpened]],TODAY()))-1,ABS(NETWORKDAYS(Proc[[#This Row],[DateOpened]],Proc[[#This Row],[DateClosed]]))-1)</f>
        <v>2</v>
      </c>
      <c r="R3979" s="136" t="s">
        <v>1013</v>
      </c>
      <c r="S3979" s="129"/>
    </row>
    <row r="3980" spans="1:19" hidden="1">
      <c r="A3980" s="138" t="s">
        <v>6110</v>
      </c>
      <c r="B3980" s="129" t="str">
        <f>IFERROR(VLOOKUP(Proc[[#This Row],[App]],Table2[],3,0),"open")</f>
        <v>ok</v>
      </c>
      <c r="C3980" s="138" t="s">
        <v>369</v>
      </c>
      <c r="D3980" t="s">
        <v>6143</v>
      </c>
      <c r="E3980" t="s">
        <v>6150</v>
      </c>
      <c r="F3980" s="129" t="s">
        <v>6150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on track</v>
      </c>
      <c r="Q3980" s="3">
        <f ca="1">IF(Proc[[#This Row],[DateClosed]]="",ABS(NETWORKDAYS(Proc[[#This Row],[DateOpened]],TODAY()))-1,ABS(NETWORKDAYS(Proc[[#This Row],[DateOpened]],Proc[[#This Row],[DateClosed]]))-1)</f>
        <v>2</v>
      </c>
      <c r="R3980" s="136" t="s">
        <v>1013</v>
      </c>
      <c r="S3980" s="129"/>
    </row>
    <row r="3981" spans="1:19" hidden="1">
      <c r="A3981" s="138" t="s">
        <v>6110</v>
      </c>
      <c r="B3981" s="129" t="str">
        <f>IFERROR(VLOOKUP(Proc[[#This Row],[App]],Table2[],3,0),"open")</f>
        <v>ok</v>
      </c>
      <c r="C3981" s="138" t="s">
        <v>369</v>
      </c>
      <c r="D3981" t="s">
        <v>6144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on track</v>
      </c>
      <c r="Q3981" s="3">
        <f ca="1">IF(Proc[[#This Row],[DateClosed]]="",ABS(NETWORKDAYS(Proc[[#This Row],[DateOpened]],TODAY()))-1,ABS(NETWORKDAYS(Proc[[#This Row],[DateOpened]],Proc[[#This Row],[DateClosed]]))-1)</f>
        <v>2</v>
      </c>
      <c r="R3981" s="136" t="s">
        <v>1013</v>
      </c>
      <c r="S3981" s="129"/>
    </row>
    <row r="3982" spans="1:19" hidden="1">
      <c r="A3982" s="138" t="s">
        <v>6110</v>
      </c>
      <c r="B3982" s="129" t="str">
        <f>IFERROR(VLOOKUP(Proc[[#This Row],[App]],Table2[],3,0),"open")</f>
        <v>ok</v>
      </c>
      <c r="C3982" s="138" t="s">
        <v>369</v>
      </c>
      <c r="D3982" t="s">
        <v>6145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on track</v>
      </c>
      <c r="Q3982" s="3">
        <f ca="1">IF(Proc[[#This Row],[DateClosed]]="",ABS(NETWORKDAYS(Proc[[#This Row],[DateOpened]],TODAY()))-1,ABS(NETWORKDAYS(Proc[[#This Row],[DateOpened]],Proc[[#This Row],[DateClosed]]))-1)</f>
        <v>2</v>
      </c>
      <c r="R3982" s="136" t="s">
        <v>1013</v>
      </c>
      <c r="S3982" s="129"/>
    </row>
    <row r="3983" spans="1:19" hidden="1">
      <c r="A3983" s="138" t="s">
        <v>6110</v>
      </c>
      <c r="B3983" s="129" t="str">
        <f>IFERROR(VLOOKUP(Proc[[#This Row],[App]],Table2[],3,0),"open")</f>
        <v>ok</v>
      </c>
      <c r="C3983" s="138" t="s">
        <v>369</v>
      </c>
      <c r="D3983" t="s">
        <v>6146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on track</v>
      </c>
      <c r="Q3983" s="3">
        <f ca="1">IF(Proc[[#This Row],[DateClosed]]="",ABS(NETWORKDAYS(Proc[[#This Row],[DateOpened]],TODAY()))-1,ABS(NETWORKDAYS(Proc[[#This Row],[DateOpened]],Proc[[#This Row],[DateClosed]]))-1)</f>
        <v>2</v>
      </c>
      <c r="R3983" s="136" t="s">
        <v>1013</v>
      </c>
      <c r="S3983" s="129"/>
    </row>
    <row r="3984" spans="1:19" hidden="1">
      <c r="A3984" s="138" t="s">
        <v>6110</v>
      </c>
      <c r="B3984" s="129" t="str">
        <f>IFERROR(VLOOKUP(Proc[[#This Row],[App]],Table2[],3,0),"open")</f>
        <v>ok</v>
      </c>
      <c r="C3984" s="138" t="s">
        <v>369</v>
      </c>
      <c r="D3984" t="s">
        <v>6147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on track</v>
      </c>
      <c r="Q3984" s="3">
        <f ca="1">IF(Proc[[#This Row],[DateClosed]]="",ABS(NETWORKDAYS(Proc[[#This Row],[DateOpened]],TODAY()))-1,ABS(NETWORKDAYS(Proc[[#This Row],[DateOpened]],Proc[[#This Row],[DateClosed]]))-1)</f>
        <v>2</v>
      </c>
      <c r="R3984" s="136" t="s">
        <v>1013</v>
      </c>
      <c r="S3984" s="129"/>
    </row>
    <row r="3985" spans="1:19" hidden="1">
      <c r="A3985" s="138" t="s">
        <v>6110</v>
      </c>
      <c r="B3985" s="129" t="str">
        <f>IFERROR(VLOOKUP(Proc[[#This Row],[App]],Table2[],3,0),"open")</f>
        <v>ok</v>
      </c>
      <c r="C3985" s="138" t="s">
        <v>369</v>
      </c>
      <c r="D3985" t="s">
        <v>6148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on track</v>
      </c>
      <c r="Q3985" s="3">
        <f ca="1">IF(Proc[[#This Row],[DateClosed]]="",ABS(NETWORKDAYS(Proc[[#This Row],[DateOpened]],TODAY()))-1,ABS(NETWORKDAYS(Proc[[#This Row],[DateOpened]],Proc[[#This Row],[DateClosed]]))-1)</f>
        <v>2</v>
      </c>
      <c r="R3985" s="136" t="s">
        <v>1013</v>
      </c>
      <c r="S3985" s="129"/>
    </row>
    <row r="3986" spans="1:19" hidden="1">
      <c r="A3986" s="138" t="s">
        <v>6110</v>
      </c>
      <c r="B3986" s="129" t="str">
        <f>IFERROR(VLOOKUP(Proc[[#This Row],[App]],Table2[],3,0),"open")</f>
        <v>ok</v>
      </c>
      <c r="C3986" s="138" t="s">
        <v>369</v>
      </c>
      <c r="D3986" t="s">
        <v>6149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on track</v>
      </c>
      <c r="Q3986" s="3">
        <f ca="1">IF(Proc[[#This Row],[DateClosed]]="",ABS(NETWORKDAYS(Proc[[#This Row],[DateOpened]],TODAY()))-1,ABS(NETWORKDAYS(Proc[[#This Row],[DateOpened]],Proc[[#This Row],[DateClosed]]))-1)</f>
        <v>2</v>
      </c>
      <c r="R3986" s="136" t="s">
        <v>1013</v>
      </c>
      <c r="S3986" s="129"/>
    </row>
    <row r="3987" spans="1:19" hidden="1">
      <c r="A3987" t="s">
        <v>6151</v>
      </c>
      <c r="B3987" s="129" t="str">
        <f>IFERROR(VLOOKUP(Proc[[#This Row],[App]],Table2[],3,0),"open")</f>
        <v>open</v>
      </c>
      <c r="C3987" s="139" t="s">
        <v>370</v>
      </c>
      <c r="D3987" t="s">
        <v>6152</v>
      </c>
      <c r="E3987" s="139" t="s">
        <v>3544</v>
      </c>
      <c r="F3987" s="129"/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0</v>
      </c>
      <c r="K3987" s="129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on track</v>
      </c>
      <c r="Q3987" s="3">
        <f ca="1">IF(Proc[[#This Row],[DateClosed]]="",ABS(NETWORKDAYS(Proc[[#This Row],[DateOpened]],TODAY()))-1,ABS(NETWORKDAYS(Proc[[#This Row],[DateOpened]],Proc[[#This Row],[DateClosed]]))-1)</f>
        <v>1</v>
      </c>
      <c r="R3987" s="136" t="s">
        <v>1262</v>
      </c>
      <c r="S3987" s="129"/>
    </row>
    <row r="3988" spans="1:19" hidden="1">
      <c r="A3988" t="s">
        <v>6164</v>
      </c>
      <c r="B3988" s="140" t="str">
        <f>IFERROR(VLOOKUP(Proc[[#This Row],[App]],Table2[],3,0),"open")</f>
        <v>open</v>
      </c>
      <c r="C3988" t="s">
        <v>404</v>
      </c>
      <c r="D3988" t="s">
        <v>5279</v>
      </c>
      <c r="E3988" t="s">
        <v>6162</v>
      </c>
      <c r="F3988" s="140"/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0</v>
      </c>
      <c r="K3988" s="140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on track</v>
      </c>
      <c r="Q3988" s="3">
        <f ca="1">IF(Proc[[#This Row],[DateClosed]]="",ABS(NETWORKDAYS(Proc[[#This Row],[DateOpened]],TODAY()))-1,ABS(NETWORKDAYS(Proc[[#This Row],[DateOpened]],Proc[[#This Row],[DateClosed]]))-1)</f>
        <v>1</v>
      </c>
      <c r="R3988" s="136" t="s">
        <v>1459</v>
      </c>
      <c r="S3988" s="140"/>
    </row>
    <row r="3989" spans="1:19">
      <c r="A3989" s="139" t="s">
        <v>6164</v>
      </c>
      <c r="B3989" s="140" t="str">
        <f>IFERROR(VLOOKUP(Proc[[#This Row],[App]],Table2[],3,0),"open")</f>
        <v>open</v>
      </c>
      <c r="C3989" s="139" t="s">
        <v>404</v>
      </c>
      <c r="D3989" t="s">
        <v>6154</v>
      </c>
      <c r="E3989" t="s">
        <v>4413</v>
      </c>
      <c r="F3989" s="140"/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0</v>
      </c>
      <c r="K3989" s="140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on track</v>
      </c>
      <c r="Q3989" s="3">
        <f ca="1">IF(Proc[[#This Row],[DateClosed]]="",ABS(NETWORKDAYS(Proc[[#This Row],[DateOpened]],TODAY()))-1,ABS(NETWORKDAYS(Proc[[#This Row],[DateOpened]],Proc[[#This Row],[DateClosed]]))-1)</f>
        <v>1</v>
      </c>
      <c r="R3989" s="136" t="s">
        <v>1459</v>
      </c>
      <c r="S3989" s="140"/>
    </row>
    <row r="3990" spans="1:19" hidden="1">
      <c r="A3990" s="139" t="s">
        <v>6164</v>
      </c>
      <c r="B3990" s="140" t="str">
        <f>IFERROR(VLOOKUP(Proc[[#This Row],[App]],Table2[],3,0),"open")</f>
        <v>open</v>
      </c>
      <c r="C3990" s="139" t="s">
        <v>404</v>
      </c>
      <c r="D3990" t="s">
        <v>6155</v>
      </c>
      <c r="E3990" t="s">
        <v>5454</v>
      </c>
      <c r="F3990" s="140"/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0</v>
      </c>
      <c r="K3990" s="140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on track</v>
      </c>
      <c r="Q3990" s="3">
        <f ca="1">IF(Proc[[#This Row],[DateClosed]]="",ABS(NETWORKDAYS(Proc[[#This Row],[DateOpened]],TODAY()))-1,ABS(NETWORKDAYS(Proc[[#This Row],[DateOpened]],Proc[[#This Row],[DateClosed]]))-1)</f>
        <v>1</v>
      </c>
      <c r="R3990" s="136" t="s">
        <v>1459</v>
      </c>
      <c r="S3990" s="140"/>
    </row>
    <row r="3991" spans="1:19" hidden="1">
      <c r="A3991" s="139" t="s">
        <v>6164</v>
      </c>
      <c r="B3991" s="140" t="str">
        <f>IFERROR(VLOOKUP(Proc[[#This Row],[App]],Table2[],3,0),"open")</f>
        <v>open</v>
      </c>
      <c r="C3991" s="139" t="s">
        <v>404</v>
      </c>
      <c r="D3991" t="s">
        <v>2319</v>
      </c>
      <c r="E3991" t="s">
        <v>430</v>
      </c>
      <c r="F3991" s="140"/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0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on track</v>
      </c>
      <c r="Q3991" s="3">
        <f ca="1">IF(Proc[[#This Row],[DateClosed]]="",ABS(NETWORKDAYS(Proc[[#This Row],[DateOpened]],TODAY()))-1,ABS(NETWORKDAYS(Proc[[#This Row],[DateOpened]],Proc[[#This Row],[DateClosed]]))-1)</f>
        <v>1</v>
      </c>
      <c r="R3991" s="136" t="s">
        <v>1459</v>
      </c>
      <c r="S3991" s="140"/>
    </row>
    <row r="3992" spans="1:19" hidden="1">
      <c r="A3992" s="139" t="s">
        <v>6164</v>
      </c>
      <c r="B3992" s="140" t="str">
        <f>IFERROR(VLOOKUP(Proc[[#This Row],[App]],Table2[],3,0),"open")</f>
        <v>open</v>
      </c>
      <c r="C3992" s="139" t="s">
        <v>404</v>
      </c>
      <c r="D3992" t="s">
        <v>6156</v>
      </c>
      <c r="E3992" t="s">
        <v>427</v>
      </c>
      <c r="F3992" s="140"/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0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on track</v>
      </c>
      <c r="Q3992" s="3">
        <f ca="1">IF(Proc[[#This Row],[DateClosed]]="",ABS(NETWORKDAYS(Proc[[#This Row],[DateOpened]],TODAY()))-1,ABS(NETWORKDAYS(Proc[[#This Row],[DateOpened]],Proc[[#This Row],[DateClosed]]))-1)</f>
        <v>1</v>
      </c>
      <c r="R3992" s="136" t="s">
        <v>1459</v>
      </c>
      <c r="S3992" s="140"/>
    </row>
    <row r="3993" spans="1:19" hidden="1">
      <c r="A3993" s="139" t="s">
        <v>6164</v>
      </c>
      <c r="B3993" s="140" t="str">
        <f>IFERROR(VLOOKUP(Proc[[#This Row],[App]],Table2[],3,0),"open")</f>
        <v>open</v>
      </c>
      <c r="C3993" s="139" t="s">
        <v>404</v>
      </c>
      <c r="D3993" t="s">
        <v>5971</v>
      </c>
      <c r="E3993" t="s">
        <v>424</v>
      </c>
      <c r="F3993" s="140"/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0</v>
      </c>
      <c r="K3993" s="140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on track</v>
      </c>
      <c r="Q3993" s="3">
        <f ca="1">IF(Proc[[#This Row],[DateClosed]]="",ABS(NETWORKDAYS(Proc[[#This Row],[DateOpened]],TODAY()))-1,ABS(NETWORKDAYS(Proc[[#This Row],[DateOpened]],Proc[[#This Row],[DateClosed]]))-1)</f>
        <v>1</v>
      </c>
      <c r="R3993" s="136" t="s">
        <v>1459</v>
      </c>
      <c r="S3993" s="140"/>
    </row>
    <row r="3994" spans="1:19">
      <c r="A3994" s="139" t="s">
        <v>6164</v>
      </c>
      <c r="B3994" s="140" t="str">
        <f>IFERROR(VLOOKUP(Proc[[#This Row],[App]],Table2[],3,0),"open")</f>
        <v>open</v>
      </c>
      <c r="C3994" s="139" t="s">
        <v>404</v>
      </c>
      <c r="D3994" t="s">
        <v>6157</v>
      </c>
      <c r="E3994" t="s">
        <v>5454</v>
      </c>
      <c r="F3994" s="140"/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0</v>
      </c>
      <c r="K3994" s="140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on track</v>
      </c>
      <c r="Q3994" s="3">
        <f ca="1">IF(Proc[[#This Row],[DateClosed]]="",ABS(NETWORKDAYS(Proc[[#This Row],[DateOpened]],TODAY()))-1,ABS(NETWORKDAYS(Proc[[#This Row],[DateOpened]],Proc[[#This Row],[DateClosed]]))-1)</f>
        <v>1</v>
      </c>
      <c r="R3994" s="136" t="s">
        <v>1459</v>
      </c>
      <c r="S3994" s="140"/>
    </row>
    <row r="3995" spans="1:19" hidden="1">
      <c r="A3995" s="139" t="s">
        <v>6164</v>
      </c>
      <c r="B3995" s="140" t="str">
        <f>IFERROR(VLOOKUP(Proc[[#This Row],[App]],Table2[],3,0),"open")</f>
        <v>open</v>
      </c>
      <c r="C3995" s="139" t="s">
        <v>404</v>
      </c>
      <c r="D3995" t="s">
        <v>4402</v>
      </c>
      <c r="E3995" t="s">
        <v>4411</v>
      </c>
      <c r="F3995" s="140"/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0</v>
      </c>
      <c r="K3995" s="140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on track</v>
      </c>
      <c r="Q3995" s="3">
        <f ca="1">IF(Proc[[#This Row],[DateClosed]]="",ABS(NETWORKDAYS(Proc[[#This Row],[DateOpened]],TODAY()))-1,ABS(NETWORKDAYS(Proc[[#This Row],[DateOpened]],Proc[[#This Row],[DateClosed]]))-1)</f>
        <v>1</v>
      </c>
      <c r="R3995" s="136" t="s">
        <v>1459</v>
      </c>
      <c r="S3995" s="140"/>
    </row>
    <row r="3996" spans="1:19" hidden="1">
      <c r="A3996" s="139" t="s">
        <v>6164</v>
      </c>
      <c r="B3996" s="140" t="str">
        <f>IFERROR(VLOOKUP(Proc[[#This Row],[App]],Table2[],3,0),"open")</f>
        <v>open</v>
      </c>
      <c r="C3996" s="139" t="s">
        <v>404</v>
      </c>
      <c r="D3996" t="s">
        <v>5328</v>
      </c>
      <c r="E3996" t="s">
        <v>4412</v>
      </c>
      <c r="F3996" s="140"/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0</v>
      </c>
      <c r="K3996" s="140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on track</v>
      </c>
      <c r="Q3996" s="3">
        <f ca="1">IF(Proc[[#This Row],[DateClosed]]="",ABS(NETWORKDAYS(Proc[[#This Row],[DateOpened]],TODAY()))-1,ABS(NETWORKDAYS(Proc[[#This Row],[DateOpened]],Proc[[#This Row],[DateClosed]]))-1)</f>
        <v>1</v>
      </c>
      <c r="R3996" s="136" t="s">
        <v>1459</v>
      </c>
      <c r="S3996" s="140"/>
    </row>
    <row r="3997" spans="1:19">
      <c r="A3997" s="139" t="s">
        <v>6164</v>
      </c>
      <c r="B3997" s="140" t="str">
        <f>IFERROR(VLOOKUP(Proc[[#This Row],[App]],Table2[],3,0),"open")</f>
        <v>open</v>
      </c>
      <c r="C3997" s="139" t="s">
        <v>404</v>
      </c>
      <c r="D3997" t="s">
        <v>5400</v>
      </c>
      <c r="E3997" t="s">
        <v>6162</v>
      </c>
      <c r="F3997" s="140"/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0</v>
      </c>
      <c r="K3997" s="140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on track</v>
      </c>
      <c r="Q3997" s="3">
        <f ca="1">IF(Proc[[#This Row],[DateClosed]]="",ABS(NETWORKDAYS(Proc[[#This Row],[DateOpened]],TODAY()))-1,ABS(NETWORKDAYS(Proc[[#This Row],[DateOpened]],Proc[[#This Row],[DateClosed]]))-1)</f>
        <v>1</v>
      </c>
      <c r="R3997" s="136" t="s">
        <v>1459</v>
      </c>
      <c r="S3997" s="140"/>
    </row>
    <row r="3998" spans="1:19">
      <c r="A3998" s="139" t="s">
        <v>6164</v>
      </c>
      <c r="B3998" s="140" t="str">
        <f>IFERROR(VLOOKUP(Proc[[#This Row],[App]],Table2[],3,0),"open")</f>
        <v>open</v>
      </c>
      <c r="C3998" s="139" t="s">
        <v>404</v>
      </c>
      <c r="D3998" t="s">
        <v>6158</v>
      </c>
      <c r="E3998" t="s">
        <v>759</v>
      </c>
      <c r="F3998" s="140"/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0</v>
      </c>
      <c r="K3998" s="140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on track</v>
      </c>
      <c r="Q3998" s="3">
        <f ca="1">IF(Proc[[#This Row],[DateClosed]]="",ABS(NETWORKDAYS(Proc[[#This Row],[DateOpened]],TODAY()))-1,ABS(NETWORKDAYS(Proc[[#This Row],[DateOpened]],Proc[[#This Row],[DateClosed]]))-1)</f>
        <v>1</v>
      </c>
      <c r="R3998" s="136" t="s">
        <v>1459</v>
      </c>
      <c r="S3998" s="140"/>
    </row>
    <row r="3999" spans="1:19">
      <c r="A3999" s="139" t="s">
        <v>6164</v>
      </c>
      <c r="B3999" s="140" t="str">
        <f>IFERROR(VLOOKUP(Proc[[#This Row],[App]],Table2[],3,0),"open")</f>
        <v>open</v>
      </c>
      <c r="C3999" s="139" t="s">
        <v>404</v>
      </c>
      <c r="D3999" t="s">
        <v>5401</v>
      </c>
      <c r="E3999" t="s">
        <v>6162</v>
      </c>
      <c r="F3999" s="140"/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0</v>
      </c>
      <c r="K3999" s="140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on track</v>
      </c>
      <c r="Q3999" s="3">
        <f ca="1">IF(Proc[[#This Row],[DateClosed]]="",ABS(NETWORKDAYS(Proc[[#This Row],[DateOpened]],TODAY()))-1,ABS(NETWORKDAYS(Proc[[#This Row],[DateOpened]],Proc[[#This Row],[DateClosed]]))-1)</f>
        <v>1</v>
      </c>
      <c r="R3999" s="136" t="s">
        <v>1459</v>
      </c>
      <c r="S3999" s="140"/>
    </row>
    <row r="4000" spans="1:19" hidden="1">
      <c r="A4000" s="139" t="s">
        <v>6164</v>
      </c>
      <c r="B4000" s="140" t="str">
        <f>IFERROR(VLOOKUP(Proc[[#This Row],[App]],Table2[],3,0),"open")</f>
        <v>open</v>
      </c>
      <c r="C4000" s="139" t="s">
        <v>404</v>
      </c>
      <c r="D4000" t="s">
        <v>5420</v>
      </c>
      <c r="E4000" t="s">
        <v>6162</v>
      </c>
      <c r="F4000" s="140"/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0</v>
      </c>
      <c r="K4000" s="140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on track</v>
      </c>
      <c r="Q4000" s="3">
        <f ca="1">IF(Proc[[#This Row],[DateClosed]]="",ABS(NETWORKDAYS(Proc[[#This Row],[DateOpened]],TODAY()))-1,ABS(NETWORKDAYS(Proc[[#This Row],[DateOpened]],Proc[[#This Row],[DateClosed]]))-1)</f>
        <v>1</v>
      </c>
      <c r="R4000" s="136" t="s">
        <v>1459</v>
      </c>
      <c r="S4000" s="140"/>
    </row>
    <row r="4001" spans="1:19" hidden="1">
      <c r="A4001" s="139" t="s">
        <v>6164</v>
      </c>
      <c r="B4001" s="140" t="str">
        <f>IFERROR(VLOOKUP(Proc[[#This Row],[App]],Table2[],3,0),"open")</f>
        <v>open</v>
      </c>
      <c r="C4001" s="139" t="s">
        <v>404</v>
      </c>
      <c r="D4001" t="s">
        <v>6159</v>
      </c>
      <c r="E4001" t="s">
        <v>427</v>
      </c>
      <c r="F4001" s="140"/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0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on track</v>
      </c>
      <c r="Q4001" s="3">
        <f ca="1">IF(Proc[[#This Row],[DateClosed]]="",ABS(NETWORKDAYS(Proc[[#This Row],[DateOpened]],TODAY()))-1,ABS(NETWORKDAYS(Proc[[#This Row],[DateOpened]],Proc[[#This Row],[DateClosed]]))-1)</f>
        <v>1</v>
      </c>
      <c r="R4001" s="136" t="s">
        <v>1459</v>
      </c>
      <c r="S4001" s="140"/>
    </row>
    <row r="4002" spans="1:19">
      <c r="A4002" s="139" t="s">
        <v>6164</v>
      </c>
      <c r="B4002" s="140" t="str">
        <f>IFERROR(VLOOKUP(Proc[[#This Row],[App]],Table2[],3,0),"open")</f>
        <v>open</v>
      </c>
      <c r="C4002" s="139" t="s">
        <v>404</v>
      </c>
      <c r="D4002" t="s">
        <v>5436</v>
      </c>
      <c r="E4002" t="s">
        <v>662</v>
      </c>
      <c r="F4002" s="140"/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0</v>
      </c>
      <c r="K4002" s="140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on track</v>
      </c>
      <c r="Q4002" s="3">
        <f ca="1">IF(Proc[[#This Row],[DateClosed]]="",ABS(NETWORKDAYS(Proc[[#This Row],[DateOpened]],TODAY()))-1,ABS(NETWORKDAYS(Proc[[#This Row],[DateOpened]],Proc[[#This Row],[DateClosed]]))-1)</f>
        <v>1</v>
      </c>
      <c r="R4002" s="136" t="s">
        <v>1459</v>
      </c>
      <c r="S4002" s="140"/>
    </row>
    <row r="4003" spans="1:19" hidden="1">
      <c r="A4003" s="139" t="s">
        <v>6164</v>
      </c>
      <c r="B4003" s="140" t="str">
        <f>IFERROR(VLOOKUP(Proc[[#This Row],[App]],Table2[],3,0),"open")</f>
        <v>open</v>
      </c>
      <c r="C4003" s="139" t="s">
        <v>404</v>
      </c>
      <c r="D4003" t="s">
        <v>6160</v>
      </c>
      <c r="E4003" t="s">
        <v>6163</v>
      </c>
      <c r="F4003" s="140"/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0</v>
      </c>
      <c r="K4003" s="140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on track</v>
      </c>
      <c r="Q4003" s="3">
        <f ca="1">IF(Proc[[#This Row],[DateClosed]]="",ABS(NETWORKDAYS(Proc[[#This Row],[DateOpened]],TODAY()))-1,ABS(NETWORKDAYS(Proc[[#This Row],[DateOpened]],Proc[[#This Row],[DateClosed]]))-1)</f>
        <v>1</v>
      </c>
      <c r="R4003" s="136" t="s">
        <v>1459</v>
      </c>
      <c r="S4003" s="140"/>
    </row>
    <row r="4004" spans="1:19" hidden="1">
      <c r="A4004" s="139" t="s">
        <v>6164</v>
      </c>
      <c r="B4004" s="140" t="str">
        <f>IFERROR(VLOOKUP(Proc[[#This Row],[App]],Table2[],3,0),"open")</f>
        <v>open</v>
      </c>
      <c r="C4004" s="139" t="s">
        <v>404</v>
      </c>
      <c r="D4004" t="s">
        <v>6161</v>
      </c>
      <c r="E4004" t="s">
        <v>5454</v>
      </c>
      <c r="F4004" s="140"/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0</v>
      </c>
      <c r="K4004" s="140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on track</v>
      </c>
      <c r="Q4004" s="3">
        <f ca="1">IF(Proc[[#This Row],[DateClosed]]="",ABS(NETWORKDAYS(Proc[[#This Row],[DateOpened]],TODAY()))-1,ABS(NETWORKDAYS(Proc[[#This Row],[DateOpened]],Proc[[#This Row],[DateClosed]]))-1)</f>
        <v>1</v>
      </c>
      <c r="R4004" s="136" t="s">
        <v>1459</v>
      </c>
      <c r="S4004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G2:G4004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  <row r="135" spans="1:2">
      <c r="A135" s="136" t="s">
        <v>6091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2025-09-01T19:25:45Z</dcterms:modified>
  <cp:category/>
  <cp:contentStatus/>
</cp:coreProperties>
</file>