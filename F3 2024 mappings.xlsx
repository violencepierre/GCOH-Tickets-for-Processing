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"/>
    </mc:Choice>
  </mc:AlternateContent>
  <xr:revisionPtr revIDLastSave="0" documentId="13_ncr:1_{AA761B10-CA61-40D6-8BA8-BE38EC6155FB}" xr6:coauthVersionLast="47" xr6:coauthVersionMax="47" xr10:uidLastSave="{00000000-0000-0000-0000-000000000000}"/>
  <bookViews>
    <workbookView xWindow="732" yWindow="732" windowWidth="17280" windowHeight="888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"ac6d8df5-6f9b-4747-92f4-7285cc6d05a1"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/>
  <c r="Q4793" i="1"/>
  <c r="P4793" i="1"/>
  <c r="Q4794" i="1"/>
  <c r="P4794" i="1"/>
  <c r="B4791" i="1"/>
  <c r="H4791" i="1"/>
  <c r="J4791" i="1"/>
  <c r="K4791" i="1"/>
  <c r="Q4791" i="1"/>
  <c r="P4791" i="1"/>
  <c r="B4790" i="1"/>
  <c r="H4790" i="1"/>
  <c r="J4790" i="1"/>
  <c r="K4790" i="1"/>
  <c r="Q4790" i="1"/>
  <c r="P4790" i="1"/>
  <c r="B4789" i="1"/>
  <c r="H4789" i="1"/>
  <c r="J4789" i="1"/>
  <c r="K4789" i="1"/>
  <c r="Q4789" i="1"/>
  <c r="P4789" i="1"/>
  <c r="B4788" i="1"/>
  <c r="H4788" i="1"/>
  <c r="J4788" i="1"/>
  <c r="K4788" i="1"/>
  <c r="Q4788" i="1"/>
  <c r="P4788" i="1"/>
  <c r="B4787" i="1"/>
  <c r="H4787" i="1"/>
  <c r="J4787" i="1"/>
  <c r="K4787" i="1"/>
  <c r="Q4787" i="1"/>
  <c r="P4787" i="1"/>
  <c r="B4786" i="1"/>
  <c r="H4786" i="1"/>
  <c r="J4786" i="1"/>
  <c r="K4786" i="1"/>
  <c r="Q4786" i="1"/>
  <c r="P4786" i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/>
  <c r="Q4783" i="1"/>
  <c r="P4783" i="1"/>
  <c r="Q4784" i="1"/>
  <c r="P4784" i="1"/>
  <c r="Q4785" i="1"/>
  <c r="P4785" i="1"/>
  <c r="B4781" i="1"/>
  <c r="H4781" i="1"/>
  <c r="J4781" i="1"/>
  <c r="K4781" i="1"/>
  <c r="Q4781" i="1"/>
  <c r="P4781" i="1"/>
  <c r="B4780" i="1"/>
  <c r="H4780" i="1"/>
  <c r="J4780" i="1"/>
  <c r="K4780" i="1"/>
  <c r="Q4780" i="1"/>
  <c r="P4780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/>
  <c r="Q4758" i="1"/>
  <c r="P4758" i="1"/>
  <c r="Q4759" i="1"/>
  <c r="P4759" i="1"/>
  <c r="Q4760" i="1"/>
  <c r="P4760" i="1"/>
  <c r="Q4761" i="1"/>
  <c r="P4761" i="1"/>
  <c r="Q4762" i="1"/>
  <c r="P4762" i="1"/>
  <c r="Q4763" i="1"/>
  <c r="P4763" i="1"/>
  <c r="Q4764" i="1"/>
  <c r="P4764" i="1"/>
  <c r="Q4765" i="1"/>
  <c r="P4765" i="1"/>
  <c r="Q4766" i="1"/>
  <c r="P4766" i="1"/>
  <c r="Q4767" i="1"/>
  <c r="P4767" i="1"/>
  <c r="Q4768" i="1"/>
  <c r="P4768" i="1"/>
  <c r="Q4769" i="1"/>
  <c r="P4769" i="1"/>
  <c r="Q4770" i="1"/>
  <c r="P4770" i="1"/>
  <c r="Q4771" i="1"/>
  <c r="P4771" i="1"/>
  <c r="Q4772" i="1"/>
  <c r="P4772" i="1"/>
  <c r="Q4773" i="1"/>
  <c r="P4773" i="1"/>
  <c r="Q4774" i="1"/>
  <c r="P4774" i="1"/>
  <c r="Q4775" i="1"/>
  <c r="P4775" i="1"/>
  <c r="Q4776" i="1"/>
  <c r="P4776" i="1"/>
  <c r="Q4777" i="1"/>
  <c r="P4777" i="1"/>
  <c r="Q4778" i="1"/>
  <c r="P4778" i="1"/>
  <c r="Q4779" i="1"/>
  <c r="P4779" i="1"/>
  <c r="B4756" i="1"/>
  <c r="H4756" i="1"/>
  <c r="J4756" i="1"/>
  <c r="Q4756" i="1"/>
  <c r="P4756" i="1"/>
  <c r="B4755" i="1"/>
  <c r="H4755" i="1"/>
  <c r="J4755" i="1"/>
  <c r="Q4755" i="1"/>
  <c r="P4755" i="1"/>
  <c r="K4754" i="1"/>
  <c r="K4753" i="1"/>
  <c r="K4752" i="1"/>
  <c r="B4754" i="1"/>
  <c r="H4754" i="1"/>
  <c r="J4754" i="1"/>
  <c r="Q4754" i="1"/>
  <c r="P4754" i="1"/>
  <c r="B4753" i="1"/>
  <c r="H4753" i="1"/>
  <c r="J4753" i="1"/>
  <c r="Q4753" i="1"/>
  <c r="P4753" i="1"/>
  <c r="B4752" i="1"/>
  <c r="H4752" i="1"/>
  <c r="J4752" i="1"/>
  <c r="Q4752" i="1"/>
  <c r="P4752" i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/>
  <c r="Q4730" i="1"/>
  <c r="P4730" i="1"/>
  <c r="Q4731" i="1"/>
  <c r="P4731" i="1"/>
  <c r="Q4732" i="1"/>
  <c r="P4732" i="1"/>
  <c r="Q4733" i="1"/>
  <c r="P4733" i="1"/>
  <c r="Q4734" i="1"/>
  <c r="P4734" i="1"/>
  <c r="Q4735" i="1"/>
  <c r="P4735" i="1"/>
  <c r="Q4736" i="1"/>
  <c r="P4736" i="1"/>
  <c r="Q4737" i="1"/>
  <c r="P4737" i="1"/>
  <c r="Q4738" i="1"/>
  <c r="P4738" i="1"/>
  <c r="Q4739" i="1"/>
  <c r="P4739" i="1"/>
  <c r="Q4740" i="1"/>
  <c r="P4740" i="1"/>
  <c r="Q4741" i="1"/>
  <c r="P4741" i="1"/>
  <c r="Q4742" i="1"/>
  <c r="P4742" i="1"/>
  <c r="Q4743" i="1"/>
  <c r="P4743" i="1"/>
  <c r="Q4744" i="1"/>
  <c r="P4744" i="1"/>
  <c r="Q4745" i="1"/>
  <c r="P4745" i="1"/>
  <c r="Q4746" i="1"/>
  <c r="P4746" i="1"/>
  <c r="Q4747" i="1"/>
  <c r="P4747" i="1"/>
  <c r="Q4748" i="1"/>
  <c r="P4748" i="1"/>
  <c r="Q4749" i="1"/>
  <c r="P4749" i="1"/>
  <c r="Q4750" i="1"/>
  <c r="P4750" i="1"/>
  <c r="Q4751" i="1"/>
  <c r="P4751" i="1"/>
  <c r="B4728" i="1"/>
  <c r="H4728" i="1"/>
  <c r="J4728" i="1"/>
  <c r="K4728" i="1"/>
  <c r="Q4728" i="1"/>
  <c r="P4728" i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/>
  <c r="Q4724" i="1"/>
  <c r="P4724" i="1"/>
  <c r="Q4725" i="1"/>
  <c r="P4725" i="1"/>
  <c r="Q4726" i="1"/>
  <c r="P4726" i="1"/>
  <c r="B4722" i="1"/>
  <c r="H4722" i="1"/>
  <c r="K4722" i="1"/>
  <c r="Q4722" i="1"/>
  <c r="P4722" i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/>
  <c r="Q4716" i="1"/>
  <c r="P4716" i="1"/>
  <c r="Q4717" i="1"/>
  <c r="P4717" i="1"/>
  <c r="Q4718" i="1"/>
  <c r="P4718" i="1"/>
  <c r="Q4719" i="1"/>
  <c r="P4719" i="1"/>
  <c r="Q4720" i="1"/>
  <c r="P4720" i="1"/>
  <c r="Q4721" i="1"/>
  <c r="P4721" i="1"/>
  <c r="J4713" i="1"/>
  <c r="J4711" i="1"/>
  <c r="J4709" i="1"/>
  <c r="J4708" i="1"/>
  <c r="J4706" i="1"/>
  <c r="J4702" i="1"/>
  <c r="K4714" i="1"/>
  <c r="Q4714" i="1"/>
  <c r="P4714" i="1"/>
  <c r="B4714" i="1"/>
  <c r="H4714" i="1"/>
  <c r="Q4713" i="1"/>
  <c r="P4713" i="1"/>
  <c r="B4713" i="1"/>
  <c r="H4713" i="1"/>
  <c r="K4713" i="1"/>
  <c r="H4712" i="1"/>
  <c r="J4712" i="1"/>
  <c r="K4712" i="1"/>
  <c r="Q4712" i="1"/>
  <c r="P4712" i="1"/>
  <c r="B4712" i="1"/>
  <c r="H4711" i="1"/>
  <c r="K4711" i="1"/>
  <c r="Q4711" i="1"/>
  <c r="P4711" i="1"/>
  <c r="B4711" i="1"/>
  <c r="H4710" i="1"/>
  <c r="J4710" i="1"/>
  <c r="K4710" i="1"/>
  <c r="Q4710" i="1"/>
  <c r="P4710" i="1"/>
  <c r="B4710" i="1"/>
  <c r="Q4708" i="1"/>
  <c r="P4708" i="1"/>
  <c r="Q4709" i="1"/>
  <c r="P4709" i="1"/>
  <c r="B4709" i="1"/>
  <c r="H4709" i="1"/>
  <c r="K4709" i="1"/>
  <c r="B4708" i="1"/>
  <c r="H4708" i="1"/>
  <c r="K4708" i="1"/>
  <c r="Q4706" i="1"/>
  <c r="P4706" i="1"/>
  <c r="Q4707" i="1"/>
  <c r="P4707" i="1"/>
  <c r="B4707" i="1"/>
  <c r="H4707" i="1"/>
  <c r="J4707" i="1"/>
  <c r="K4707" i="1"/>
  <c r="B4706" i="1"/>
  <c r="H4706" i="1"/>
  <c r="K4706" i="1"/>
  <c r="Q4705" i="1"/>
  <c r="P4705" i="1"/>
  <c r="B4705" i="1"/>
  <c r="H4705" i="1"/>
  <c r="J4705" i="1"/>
  <c r="K4705" i="1"/>
  <c r="B4704" i="1"/>
  <c r="H4704" i="1"/>
  <c r="J4704" i="1"/>
  <c r="K4704" i="1"/>
  <c r="Q4704" i="1"/>
  <c r="P4704" i="1"/>
  <c r="B4703" i="1"/>
  <c r="H4703" i="1"/>
  <c r="J4703" i="1"/>
  <c r="K4703" i="1"/>
  <c r="Q4703" i="1"/>
  <c r="P4703" i="1"/>
  <c r="B4702" i="1"/>
  <c r="H4702" i="1"/>
  <c r="K4702" i="1"/>
  <c r="Q4702" i="1"/>
  <c r="P4702" i="1"/>
  <c r="B4701" i="1"/>
  <c r="H4701" i="1"/>
  <c r="J4701" i="1"/>
  <c r="K4701" i="1"/>
  <c r="Q4701" i="1"/>
  <c r="P4701" i="1"/>
  <c r="B4700" i="1"/>
  <c r="H4700" i="1"/>
  <c r="J4700" i="1"/>
  <c r="K4700" i="1"/>
  <c r="Q4700" i="1"/>
  <c r="P4700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/>
  <c r="Q4689" i="1"/>
  <c r="P4689" i="1"/>
  <c r="Q4690" i="1"/>
  <c r="P4690" i="1"/>
  <c r="Q4691" i="1"/>
  <c r="P4691" i="1"/>
  <c r="Q4692" i="1"/>
  <c r="P4692" i="1"/>
  <c r="Q4693" i="1"/>
  <c r="P4693" i="1"/>
  <c r="Q4694" i="1"/>
  <c r="P4694" i="1"/>
  <c r="Q4695" i="1"/>
  <c r="P4695" i="1"/>
  <c r="Q4696" i="1"/>
  <c r="P4696" i="1"/>
  <c r="Q4697" i="1"/>
  <c r="P4697" i="1"/>
  <c r="Q4698" i="1"/>
  <c r="P4698" i="1"/>
  <c r="Q4699" i="1"/>
  <c r="P4699" i="1"/>
  <c r="B4687" i="1"/>
  <c r="H4687" i="1"/>
  <c r="J4687" i="1"/>
  <c r="K4687" i="1"/>
  <c r="Q4687" i="1"/>
  <c r="P4687" i="1"/>
  <c r="B4686" i="1"/>
  <c r="H4686" i="1"/>
  <c r="J4686" i="1"/>
  <c r="K4686" i="1"/>
  <c r="Q4686" i="1"/>
  <c r="P4686" i="1"/>
  <c r="B4685" i="1"/>
  <c r="H4685" i="1"/>
  <c r="J4685" i="1"/>
  <c r="K4685" i="1"/>
  <c r="Q4685" i="1"/>
  <c r="P4685" i="1"/>
  <c r="B4684" i="1"/>
  <c r="H4684" i="1"/>
  <c r="J4684" i="1"/>
  <c r="K4684" i="1"/>
  <c r="Q4684" i="1"/>
  <c r="P4684" i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/>
  <c r="Q4680" i="1"/>
  <c r="P4680" i="1"/>
  <c r="Q4681" i="1"/>
  <c r="P4681" i="1"/>
  <c r="Q4682" i="1"/>
  <c r="P4682" i="1"/>
  <c r="Q4683" i="1"/>
  <c r="P4683" i="1"/>
  <c r="B4678" i="1"/>
  <c r="H4678" i="1"/>
  <c r="J4678" i="1"/>
  <c r="K4678" i="1"/>
  <c r="Q4678" i="1"/>
  <c r="P4678" i="1"/>
  <c r="B4677" i="1"/>
  <c r="H4677" i="1"/>
  <c r="J4677" i="1"/>
  <c r="K4677" i="1"/>
  <c r="Q4677" i="1"/>
  <c r="P4677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/>
  <c r="Q4657" i="1"/>
  <c r="P4657" i="1"/>
  <c r="Q4658" i="1"/>
  <c r="P4658" i="1"/>
  <c r="Q4659" i="1"/>
  <c r="P4659" i="1"/>
  <c r="Q4660" i="1"/>
  <c r="P4660" i="1"/>
  <c r="Q4661" i="1"/>
  <c r="P4661" i="1"/>
  <c r="Q4662" i="1"/>
  <c r="P4662" i="1"/>
  <c r="Q4663" i="1"/>
  <c r="P4663" i="1"/>
  <c r="Q4664" i="1"/>
  <c r="P4664" i="1"/>
  <c r="Q4665" i="1"/>
  <c r="P4665" i="1"/>
  <c r="Q4666" i="1"/>
  <c r="P4666" i="1"/>
  <c r="Q4667" i="1"/>
  <c r="P4667" i="1"/>
  <c r="Q4668" i="1"/>
  <c r="P4668" i="1"/>
  <c r="Q4669" i="1"/>
  <c r="P4669" i="1"/>
  <c r="Q4670" i="1"/>
  <c r="P4670" i="1"/>
  <c r="Q4671" i="1"/>
  <c r="P4671" i="1"/>
  <c r="Q4672" i="1"/>
  <c r="P4672" i="1"/>
  <c r="Q4673" i="1"/>
  <c r="P4673" i="1"/>
  <c r="Q4674" i="1"/>
  <c r="P4674" i="1"/>
  <c r="Q4675" i="1"/>
  <c r="P4675" i="1"/>
  <c r="Q4676" i="1"/>
  <c r="P4676" i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/>
  <c r="Q4620" i="1"/>
  <c r="P4620" i="1"/>
  <c r="Q4621" i="1"/>
  <c r="P4621" i="1"/>
  <c r="Q4622" i="1"/>
  <c r="P4622" i="1"/>
  <c r="Q4623" i="1"/>
  <c r="P4623" i="1"/>
  <c r="Q4624" i="1"/>
  <c r="P4624" i="1"/>
  <c r="Q4625" i="1"/>
  <c r="P4625" i="1"/>
  <c r="Q4626" i="1"/>
  <c r="P4626" i="1"/>
  <c r="Q4627" i="1"/>
  <c r="P4627" i="1"/>
  <c r="Q4628" i="1"/>
  <c r="P4628" i="1"/>
  <c r="Q4629" i="1"/>
  <c r="P4629" i="1"/>
  <c r="Q4630" i="1"/>
  <c r="P4630" i="1"/>
  <c r="Q4631" i="1"/>
  <c r="P4631" i="1"/>
  <c r="Q4632" i="1"/>
  <c r="P4632" i="1"/>
  <c r="Q4633" i="1"/>
  <c r="P4633" i="1"/>
  <c r="Q4634" i="1"/>
  <c r="P4634" i="1"/>
  <c r="Q4635" i="1"/>
  <c r="P4635" i="1"/>
  <c r="Q4636" i="1"/>
  <c r="P4636" i="1"/>
  <c r="Q4637" i="1"/>
  <c r="P4637" i="1"/>
  <c r="Q4638" i="1"/>
  <c r="P4638" i="1"/>
  <c r="Q4639" i="1"/>
  <c r="P4639" i="1"/>
  <c r="Q4640" i="1"/>
  <c r="P4640" i="1"/>
  <c r="Q4641" i="1"/>
  <c r="P4641" i="1"/>
  <c r="Q4642" i="1"/>
  <c r="P4642" i="1"/>
  <c r="Q4643" i="1"/>
  <c r="P4643" i="1"/>
  <c r="Q4644" i="1"/>
  <c r="P4644" i="1"/>
  <c r="Q4645" i="1"/>
  <c r="P4645" i="1"/>
  <c r="Q4646" i="1"/>
  <c r="P4646" i="1"/>
  <c r="Q4647" i="1"/>
  <c r="P4647" i="1"/>
  <c r="Q4648" i="1"/>
  <c r="P4648" i="1"/>
  <c r="Q4649" i="1"/>
  <c r="P4649" i="1"/>
  <c r="Q4650" i="1"/>
  <c r="P4650" i="1"/>
  <c r="Q4651" i="1"/>
  <c r="P4651" i="1"/>
  <c r="Q4652" i="1"/>
  <c r="P4652" i="1"/>
  <c r="Q4653" i="1"/>
  <c r="P4653" i="1"/>
  <c r="Q4654" i="1"/>
  <c r="P4654" i="1"/>
  <c r="Q4655" i="1"/>
  <c r="P4655" i="1"/>
  <c r="B4618" i="1"/>
  <c r="J4618" i="1"/>
  <c r="K4618" i="1"/>
  <c r="Q4618" i="1"/>
  <c r="P4618" i="1"/>
  <c r="B4617" i="1"/>
  <c r="H4617" i="1"/>
  <c r="J4617" i="1"/>
  <c r="K4617" i="1"/>
  <c r="Q4617" i="1"/>
  <c r="P4617" i="1"/>
  <c r="B4616" i="1"/>
  <c r="H4616" i="1"/>
  <c r="J4616" i="1"/>
  <c r="K4616" i="1"/>
  <c r="Q4616" i="1"/>
  <c r="P4616" i="1"/>
  <c r="B4615" i="1"/>
  <c r="H4615" i="1"/>
  <c r="J4615" i="1"/>
  <c r="K4615" i="1"/>
  <c r="Q4615" i="1"/>
  <c r="P4615" i="1"/>
  <c r="B4614" i="1"/>
  <c r="H4614" i="1"/>
  <c r="J4614" i="1"/>
  <c r="K4614" i="1"/>
  <c r="Q4614" i="1"/>
  <c r="P4614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/>
  <c r="Q4591" i="1"/>
  <c r="P4591" i="1"/>
  <c r="Q4592" i="1"/>
  <c r="P4592" i="1"/>
  <c r="Q4593" i="1"/>
  <c r="P4593" i="1"/>
  <c r="Q4594" i="1"/>
  <c r="P4594" i="1"/>
  <c r="Q4595" i="1"/>
  <c r="P4595" i="1"/>
  <c r="Q4596" i="1"/>
  <c r="P4596" i="1"/>
  <c r="Q4597" i="1"/>
  <c r="P4597" i="1"/>
  <c r="Q4598" i="1"/>
  <c r="P4598" i="1"/>
  <c r="Q4599" i="1"/>
  <c r="P4599" i="1"/>
  <c r="Q4600" i="1"/>
  <c r="P4600" i="1"/>
  <c r="Q4601" i="1"/>
  <c r="P4601" i="1"/>
  <c r="Q4602" i="1"/>
  <c r="P4602" i="1"/>
  <c r="Q4603" i="1"/>
  <c r="P4603" i="1"/>
  <c r="Q4604" i="1"/>
  <c r="P4604" i="1"/>
  <c r="Q4605" i="1"/>
  <c r="P4605" i="1"/>
  <c r="Q4606" i="1"/>
  <c r="P4606" i="1"/>
  <c r="Q4607" i="1"/>
  <c r="P4607" i="1"/>
  <c r="Q4608" i="1"/>
  <c r="P4608" i="1"/>
  <c r="Q4609" i="1"/>
  <c r="P4609" i="1"/>
  <c r="Q4610" i="1"/>
  <c r="P4610" i="1"/>
  <c r="Q4611" i="1"/>
  <c r="P4611" i="1"/>
  <c r="Q4612" i="1"/>
  <c r="P4612" i="1"/>
  <c r="Q4613" i="1"/>
  <c r="P4613" i="1"/>
  <c r="B4589" i="1"/>
  <c r="H4589" i="1"/>
  <c r="J4589" i="1"/>
  <c r="K4589" i="1"/>
  <c r="Q4589" i="1"/>
  <c r="P4589" i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/>
  <c r="Q4587" i="1"/>
  <c r="P4587" i="1"/>
  <c r="Q4588" i="1"/>
  <c r="P4588" i="1"/>
  <c r="B4585" i="1"/>
  <c r="H4585" i="1"/>
  <c r="J4585" i="1"/>
  <c r="K4585" i="1"/>
  <c r="Q4585" i="1"/>
  <c r="P4585" i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/>
  <c r="Q4561" i="1"/>
  <c r="P4561" i="1"/>
  <c r="Q4562" i="1"/>
  <c r="P4562" i="1"/>
  <c r="Q4563" i="1"/>
  <c r="P4563" i="1"/>
  <c r="Q4564" i="1"/>
  <c r="P4564" i="1"/>
  <c r="Q4565" i="1"/>
  <c r="P4565" i="1"/>
  <c r="Q4566" i="1"/>
  <c r="P4566" i="1"/>
  <c r="Q4567" i="1"/>
  <c r="P4567" i="1"/>
  <c r="Q4568" i="1"/>
  <c r="P4568" i="1"/>
  <c r="Q4569" i="1"/>
  <c r="P4569" i="1"/>
  <c r="Q4570" i="1"/>
  <c r="P4570" i="1"/>
  <c r="Q4571" i="1"/>
  <c r="P4571" i="1"/>
  <c r="Q4572" i="1"/>
  <c r="P4572" i="1"/>
  <c r="Q4573" i="1"/>
  <c r="P4573" i="1"/>
  <c r="Q4574" i="1"/>
  <c r="P4574" i="1"/>
  <c r="Q4575" i="1"/>
  <c r="P4575" i="1"/>
  <c r="Q4576" i="1"/>
  <c r="P4576" i="1"/>
  <c r="Q4577" i="1"/>
  <c r="P4577" i="1"/>
  <c r="Q4578" i="1"/>
  <c r="P4578" i="1"/>
  <c r="Q4579" i="1"/>
  <c r="P4579" i="1"/>
  <c r="Q4580" i="1"/>
  <c r="P4580" i="1"/>
  <c r="Q4581" i="1"/>
  <c r="P4581" i="1"/>
  <c r="Q4582" i="1"/>
  <c r="P4582" i="1"/>
  <c r="Q4583" i="1"/>
  <c r="P4583" i="1"/>
  <c r="Q4584" i="1"/>
  <c r="P4584" i="1"/>
  <c r="B4559" i="1"/>
  <c r="H4559" i="1"/>
  <c r="J4559" i="1"/>
  <c r="K4559" i="1"/>
  <c r="Q4559" i="1"/>
  <c r="P4559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/>
  <c r="Q4515" i="1"/>
  <c r="P4515" i="1"/>
  <c r="Q4516" i="1"/>
  <c r="P4516" i="1"/>
  <c r="Q4517" i="1"/>
  <c r="P4517" i="1"/>
  <c r="Q4518" i="1"/>
  <c r="P4518" i="1"/>
  <c r="Q4519" i="1"/>
  <c r="P4519" i="1"/>
  <c r="Q4520" i="1"/>
  <c r="P4520" i="1"/>
  <c r="Q4521" i="1"/>
  <c r="P4521" i="1"/>
  <c r="Q4522" i="1"/>
  <c r="P4522" i="1"/>
  <c r="Q4523" i="1"/>
  <c r="P4523" i="1"/>
  <c r="Q4524" i="1"/>
  <c r="P4524" i="1"/>
  <c r="Q4525" i="1"/>
  <c r="P4525" i="1"/>
  <c r="Q4526" i="1"/>
  <c r="P4526" i="1"/>
  <c r="Q4527" i="1"/>
  <c r="P4527" i="1"/>
  <c r="Q4528" i="1"/>
  <c r="P4528" i="1"/>
  <c r="Q4529" i="1"/>
  <c r="P4529" i="1"/>
  <c r="Q4530" i="1"/>
  <c r="P4530" i="1"/>
  <c r="Q4531" i="1"/>
  <c r="P4531" i="1"/>
  <c r="Q4532" i="1"/>
  <c r="P4532" i="1"/>
  <c r="Q4533" i="1"/>
  <c r="P4533" i="1"/>
  <c r="Q4534" i="1"/>
  <c r="P4534" i="1"/>
  <c r="Q4535" i="1"/>
  <c r="P4535" i="1"/>
  <c r="Q4536" i="1"/>
  <c r="P4536" i="1"/>
  <c r="Q4537" i="1"/>
  <c r="P4537" i="1"/>
  <c r="Q4538" i="1"/>
  <c r="P4538" i="1"/>
  <c r="Q4539" i="1"/>
  <c r="P4539" i="1"/>
  <c r="Q4540" i="1"/>
  <c r="P4540" i="1"/>
  <c r="Q4541" i="1"/>
  <c r="P4541" i="1"/>
  <c r="Q4542" i="1"/>
  <c r="P4542" i="1"/>
  <c r="Q4543" i="1"/>
  <c r="P4543" i="1"/>
  <c r="Q4544" i="1"/>
  <c r="P4544" i="1"/>
  <c r="Q4545" i="1"/>
  <c r="P4545" i="1"/>
  <c r="Q4546" i="1"/>
  <c r="P4546" i="1"/>
  <c r="Q4547" i="1"/>
  <c r="P4547" i="1"/>
  <c r="Q4548" i="1"/>
  <c r="P4548" i="1"/>
  <c r="Q4549" i="1"/>
  <c r="P4549" i="1"/>
  <c r="Q4550" i="1"/>
  <c r="P4550" i="1"/>
  <c r="Q4551" i="1"/>
  <c r="P4551" i="1"/>
  <c r="Q4552" i="1"/>
  <c r="P4552" i="1"/>
  <c r="Q4553" i="1"/>
  <c r="P4553" i="1"/>
  <c r="Q4554" i="1"/>
  <c r="P4554" i="1"/>
  <c r="Q4555" i="1"/>
  <c r="P4555" i="1"/>
  <c r="Q4556" i="1"/>
  <c r="P4556" i="1"/>
  <c r="Q4557" i="1"/>
  <c r="P4557" i="1"/>
  <c r="Q4558" i="1"/>
  <c r="P4558" i="1"/>
  <c r="B4513" i="1"/>
  <c r="H4513" i="1"/>
  <c r="J4513" i="1"/>
  <c r="K4513" i="1"/>
  <c r="Q4513" i="1"/>
  <c r="P4513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/>
  <c r="Q4494" i="1"/>
  <c r="P4494" i="1"/>
  <c r="Q4495" i="1"/>
  <c r="P4495" i="1"/>
  <c r="Q4496" i="1"/>
  <c r="P4496" i="1"/>
  <c r="Q4497" i="1"/>
  <c r="P4497" i="1"/>
  <c r="Q4498" i="1"/>
  <c r="P4498" i="1"/>
  <c r="Q4499" i="1"/>
  <c r="P4499" i="1"/>
  <c r="Q4500" i="1"/>
  <c r="P4500" i="1"/>
  <c r="Q4501" i="1"/>
  <c r="P4501" i="1"/>
  <c r="Q4502" i="1"/>
  <c r="P4502" i="1"/>
  <c r="Q4503" i="1"/>
  <c r="P4503" i="1"/>
  <c r="Q4504" i="1"/>
  <c r="P4504" i="1"/>
  <c r="Q4505" i="1"/>
  <c r="P4505" i="1"/>
  <c r="Q4506" i="1"/>
  <c r="P4506" i="1"/>
  <c r="Q4507" i="1"/>
  <c r="P4507" i="1"/>
  <c r="Q4508" i="1"/>
  <c r="P4508" i="1"/>
  <c r="Q4509" i="1"/>
  <c r="P4509" i="1"/>
  <c r="Q4510" i="1"/>
  <c r="P4510" i="1"/>
  <c r="Q4511" i="1"/>
  <c r="P4511" i="1"/>
  <c r="Q4512" i="1"/>
  <c r="P4512" i="1"/>
  <c r="B4492" i="1"/>
  <c r="H4492" i="1"/>
  <c r="K4492" i="1"/>
  <c r="Q4492" i="1"/>
  <c r="P4492" i="1"/>
  <c r="B4491" i="1"/>
  <c r="H4491" i="1"/>
  <c r="J4491" i="1"/>
  <c r="K4491" i="1"/>
  <c r="Q4491" i="1"/>
  <c r="P4491" i="1"/>
  <c r="B4490" i="1"/>
  <c r="H4490" i="1"/>
  <c r="K4490" i="1"/>
  <c r="Q4490" i="1"/>
  <c r="P4490" i="1"/>
  <c r="B4489" i="1"/>
  <c r="H4489" i="1"/>
  <c r="K4489" i="1"/>
  <c r="Q4489" i="1"/>
  <c r="P4489" i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/>
  <c r="Q4488" i="1"/>
  <c r="P4488" i="1"/>
  <c r="B4486" i="1"/>
  <c r="H4486" i="1"/>
  <c r="K4486" i="1"/>
  <c r="Q4486" i="1"/>
  <c r="P4486" i="1"/>
  <c r="B4485" i="1"/>
  <c r="H4485" i="1"/>
  <c r="K4485" i="1"/>
  <c r="Q4485" i="1"/>
  <c r="P4485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/>
  <c r="Q4451" i="1"/>
  <c r="P4451" i="1"/>
  <c r="Q4452" i="1"/>
  <c r="P4452" i="1"/>
  <c r="Q4453" i="1"/>
  <c r="P4453" i="1"/>
  <c r="Q4454" i="1"/>
  <c r="P4454" i="1"/>
  <c r="Q4455" i="1"/>
  <c r="P4455" i="1"/>
  <c r="Q4456" i="1"/>
  <c r="P4456" i="1"/>
  <c r="Q4457" i="1"/>
  <c r="P4457" i="1"/>
  <c r="Q4458" i="1"/>
  <c r="P4458" i="1"/>
  <c r="Q4459" i="1"/>
  <c r="P4459" i="1"/>
  <c r="Q4460" i="1"/>
  <c r="P4460" i="1"/>
  <c r="Q4461" i="1"/>
  <c r="P4461" i="1"/>
  <c r="Q4462" i="1"/>
  <c r="P4462" i="1"/>
  <c r="Q4463" i="1"/>
  <c r="P4463" i="1"/>
  <c r="Q4464" i="1"/>
  <c r="P4464" i="1"/>
  <c r="Q4465" i="1"/>
  <c r="P4465" i="1"/>
  <c r="Q4466" i="1"/>
  <c r="P4466" i="1"/>
  <c r="Q4467" i="1"/>
  <c r="P4467" i="1"/>
  <c r="Q4468" i="1"/>
  <c r="P4468" i="1"/>
  <c r="Q4469" i="1"/>
  <c r="P4469" i="1"/>
  <c r="Q4470" i="1"/>
  <c r="P4470" i="1"/>
  <c r="Q4471" i="1"/>
  <c r="P4471" i="1"/>
  <c r="Q4472" i="1"/>
  <c r="P4472" i="1"/>
  <c r="Q4473" i="1"/>
  <c r="P4473" i="1"/>
  <c r="Q4474" i="1"/>
  <c r="P4474" i="1"/>
  <c r="Q4475" i="1"/>
  <c r="P4475" i="1"/>
  <c r="Q4476" i="1"/>
  <c r="P4476" i="1"/>
  <c r="Q4477" i="1"/>
  <c r="P4477" i="1"/>
  <c r="Q4478" i="1"/>
  <c r="P4478" i="1"/>
  <c r="Q4479" i="1"/>
  <c r="P4479" i="1"/>
  <c r="Q4480" i="1"/>
  <c r="P4480" i="1"/>
  <c r="Q4481" i="1"/>
  <c r="P4481" i="1"/>
  <c r="Q4482" i="1"/>
  <c r="P4482" i="1"/>
  <c r="Q4483" i="1"/>
  <c r="P4483" i="1"/>
  <c r="Q4484" i="1"/>
  <c r="P4484" i="1"/>
  <c r="B4449" i="1"/>
  <c r="H4449" i="1"/>
  <c r="J4449" i="1"/>
  <c r="K4449" i="1"/>
  <c r="Q4449" i="1"/>
  <c r="P4449" i="1"/>
  <c r="B4448" i="1"/>
  <c r="H4448" i="1"/>
  <c r="K4448" i="1"/>
  <c r="Q4448" i="1"/>
  <c r="P4448" i="1"/>
  <c r="B4447" i="1"/>
  <c r="H4447" i="1"/>
  <c r="K4447" i="1"/>
  <c r="Q4447" i="1"/>
  <c r="P4447" i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/>
  <c r="Q4424" i="1"/>
  <c r="P4424" i="1"/>
  <c r="Q4425" i="1"/>
  <c r="P4425" i="1"/>
  <c r="Q4426" i="1"/>
  <c r="P4426" i="1"/>
  <c r="Q4427" i="1"/>
  <c r="P4427" i="1"/>
  <c r="Q4428" i="1"/>
  <c r="P4428" i="1"/>
  <c r="Q4429" i="1"/>
  <c r="P4429" i="1"/>
  <c r="Q4430" i="1"/>
  <c r="P4430" i="1"/>
  <c r="Q4431" i="1"/>
  <c r="P4431" i="1"/>
  <c r="Q4432" i="1"/>
  <c r="P4432" i="1"/>
  <c r="Q4433" i="1"/>
  <c r="P4433" i="1"/>
  <c r="Q4434" i="1"/>
  <c r="P4434" i="1"/>
  <c r="Q4435" i="1"/>
  <c r="P4435" i="1"/>
  <c r="Q4436" i="1"/>
  <c r="P4436" i="1"/>
  <c r="Q4437" i="1"/>
  <c r="P4437" i="1"/>
  <c r="Q4438" i="1"/>
  <c r="P4438" i="1"/>
  <c r="Q4439" i="1"/>
  <c r="P4439" i="1"/>
  <c r="Q4440" i="1"/>
  <c r="P4440" i="1"/>
  <c r="Q4441" i="1"/>
  <c r="P4441" i="1"/>
  <c r="Q4442" i="1"/>
  <c r="P4442" i="1"/>
  <c r="Q4443" i="1"/>
  <c r="P4443" i="1"/>
  <c r="Q4444" i="1"/>
  <c r="P4444" i="1"/>
  <c r="Q4445" i="1"/>
  <c r="P4445" i="1"/>
  <c r="Q4446" i="1"/>
  <c r="P4446" i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/>
  <c r="B4421" i="1"/>
  <c r="H4421" i="1"/>
  <c r="J4421" i="1"/>
  <c r="K4421" i="1"/>
  <c r="Q4421" i="1"/>
  <c r="P4421" i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/>
  <c r="Q4420" i="1"/>
  <c r="P4420" i="1"/>
  <c r="B4418" i="1"/>
  <c r="H4418" i="1"/>
  <c r="J4418" i="1"/>
  <c r="K4418" i="1"/>
  <c r="Q4418" i="1"/>
  <c r="P441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/>
  <c r="Q4400" i="1"/>
  <c r="P4400" i="1"/>
  <c r="Q4401" i="1"/>
  <c r="P4401" i="1"/>
  <c r="Q4402" i="1"/>
  <c r="P4402" i="1"/>
  <c r="Q4403" i="1"/>
  <c r="P4403" i="1"/>
  <c r="Q4404" i="1"/>
  <c r="P4404" i="1"/>
  <c r="Q4405" i="1"/>
  <c r="P4405" i="1"/>
  <c r="Q4406" i="1"/>
  <c r="P4406" i="1"/>
  <c r="Q4407" i="1"/>
  <c r="P4407" i="1"/>
  <c r="Q4408" i="1"/>
  <c r="P4408" i="1"/>
  <c r="Q4409" i="1"/>
  <c r="P4409" i="1"/>
  <c r="Q4410" i="1"/>
  <c r="P4410" i="1"/>
  <c r="Q4411" i="1"/>
  <c r="P4411" i="1"/>
  <c r="Q4412" i="1"/>
  <c r="P4412" i="1"/>
  <c r="Q4413" i="1"/>
  <c r="P4413" i="1"/>
  <c r="Q4414" i="1"/>
  <c r="P4414" i="1"/>
  <c r="Q4415" i="1"/>
  <c r="P4415" i="1"/>
  <c r="Q4416" i="1"/>
  <c r="P4416" i="1"/>
  <c r="Q4417" i="1"/>
  <c r="P4417" i="1"/>
  <c r="B4398" i="1"/>
  <c r="H4398" i="1"/>
  <c r="K4398" i="1"/>
  <c r="Q4398" i="1"/>
  <c r="P4398" i="1"/>
  <c r="B4397" i="1"/>
  <c r="H4397" i="1"/>
  <c r="J4397" i="1"/>
  <c r="K4397" i="1"/>
  <c r="Q4397" i="1"/>
  <c r="P4397" i="1"/>
  <c r="B4396" i="1"/>
  <c r="H4396" i="1"/>
  <c r="J4396" i="1"/>
  <c r="K4396" i="1"/>
  <c r="Q4396" i="1"/>
  <c r="P4396" i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/>
  <c r="Q4394" i="1"/>
  <c r="P4394" i="1"/>
  <c r="Q4395" i="1"/>
  <c r="P4395" i="1"/>
  <c r="B4392" i="1"/>
  <c r="H4392" i="1"/>
  <c r="K4392" i="1"/>
  <c r="Q4392" i="1"/>
  <c r="P4392" i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/>
  <c r="Q4381" i="1"/>
  <c r="P4381" i="1"/>
  <c r="Q4382" i="1"/>
  <c r="P4382" i="1"/>
  <c r="Q4383" i="1"/>
  <c r="P4383" i="1"/>
  <c r="Q4384" i="1"/>
  <c r="P4384" i="1"/>
  <c r="Q4385" i="1"/>
  <c r="P4385" i="1"/>
  <c r="Q4386" i="1"/>
  <c r="P4386" i="1"/>
  <c r="Q4387" i="1"/>
  <c r="P4387" i="1"/>
  <c r="Q4388" i="1"/>
  <c r="P4388" i="1"/>
  <c r="Q4389" i="1"/>
  <c r="P4389" i="1"/>
  <c r="Q4390" i="1"/>
  <c r="P4390" i="1"/>
  <c r="Q4391" i="1"/>
  <c r="P4391" i="1"/>
  <c r="B4379" i="1"/>
  <c r="H4379" i="1"/>
  <c r="K4379" i="1"/>
  <c r="Q4379" i="1"/>
  <c r="P4379" i="1"/>
  <c r="B4378" i="1"/>
  <c r="H4378" i="1"/>
  <c r="K4378" i="1"/>
  <c r="Q4378" i="1"/>
  <c r="P4378" i="1"/>
  <c r="B4376" i="1"/>
  <c r="B4377" i="1"/>
  <c r="H4376" i="1"/>
  <c r="H4377" i="1"/>
  <c r="K4376" i="1"/>
  <c r="K4377" i="1"/>
  <c r="Q4376" i="1"/>
  <c r="P4376" i="1"/>
  <c r="Q4377" i="1"/>
  <c r="P4377" i="1"/>
  <c r="B4375" i="1"/>
  <c r="H4375" i="1"/>
  <c r="J4375" i="1"/>
  <c r="K4375" i="1"/>
  <c r="Q4375" i="1"/>
  <c r="P4375" i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/>
  <c r="Q4372" i="1"/>
  <c r="P4372" i="1"/>
  <c r="Q4373" i="1"/>
  <c r="P4373" i="1"/>
  <c r="Q4374" i="1"/>
  <c r="P4374" i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/>
  <c r="Q4361" i="1"/>
  <c r="P4361" i="1"/>
  <c r="Q4362" i="1"/>
  <c r="P4362" i="1"/>
  <c r="Q4363" i="1"/>
  <c r="P4363" i="1"/>
  <c r="Q4364" i="1"/>
  <c r="P4364" i="1"/>
  <c r="Q4365" i="1"/>
  <c r="P4365" i="1"/>
  <c r="Q4366" i="1"/>
  <c r="P4366" i="1"/>
  <c r="Q4367" i="1"/>
  <c r="P4367" i="1"/>
  <c r="Q4368" i="1"/>
  <c r="P4368" i="1"/>
  <c r="Q4369" i="1"/>
  <c r="P4369" i="1"/>
  <c r="Q4370" i="1"/>
  <c r="P4370" i="1"/>
  <c r="B4359" i="1"/>
  <c r="H4359" i="1"/>
  <c r="J4359" i="1"/>
  <c r="K4359" i="1"/>
  <c r="Q4359" i="1"/>
  <c r="P4359" i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/>
  <c r="Q4350" i="1"/>
  <c r="P4350" i="1"/>
  <c r="Q4351" i="1"/>
  <c r="P4351" i="1"/>
  <c r="Q4352" i="1"/>
  <c r="P4352" i="1"/>
  <c r="Q4353" i="1"/>
  <c r="P4353" i="1"/>
  <c r="Q4354" i="1"/>
  <c r="P4354" i="1"/>
  <c r="Q4355" i="1"/>
  <c r="P4355" i="1"/>
  <c r="Q4356" i="1"/>
  <c r="P4356" i="1"/>
  <c r="Q4357" i="1"/>
  <c r="P4357" i="1"/>
  <c r="Q4358" i="1"/>
  <c r="P4358" i="1"/>
  <c r="B4348" i="1"/>
  <c r="H4348" i="1"/>
  <c r="J4348" i="1"/>
  <c r="K4348" i="1"/>
  <c r="Q4348" i="1"/>
  <c r="P4348" i="1"/>
  <c r="B4347" i="1"/>
  <c r="H4347" i="1"/>
  <c r="J4347" i="1"/>
  <c r="K4347" i="1"/>
  <c r="Q4347" i="1"/>
  <c r="P4347" i="1"/>
  <c r="B4345" i="1"/>
  <c r="B4346" i="1"/>
  <c r="H4345" i="1"/>
  <c r="H4346" i="1"/>
  <c r="K4345" i="1"/>
  <c r="K4346" i="1"/>
  <c r="Q4345" i="1"/>
  <c r="P4345" i="1"/>
  <c r="Q4346" i="1"/>
  <c r="P4346" i="1"/>
  <c r="B4343" i="1"/>
  <c r="B4344" i="1"/>
  <c r="H4343" i="1"/>
  <c r="H4344" i="1"/>
  <c r="J4343" i="1"/>
  <c r="J4344" i="1"/>
  <c r="K4343" i="1"/>
  <c r="K4344" i="1"/>
  <c r="Q4343" i="1"/>
  <c r="P4343" i="1"/>
  <c r="Q4344" i="1"/>
  <c r="P4344" i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/>
  <c r="B4341" i="1"/>
  <c r="H4341" i="1"/>
  <c r="J4341" i="1"/>
  <c r="K4341" i="1"/>
  <c r="Q4341" i="1"/>
  <c r="P4341" i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/>
  <c r="B4339" i="1"/>
  <c r="H4339" i="1"/>
  <c r="K4339" i="1"/>
  <c r="Q4339" i="1"/>
  <c r="P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/>
  <c r="Q4319" i="1"/>
  <c r="P4319" i="1"/>
  <c r="Q4320" i="1"/>
  <c r="P4320" i="1"/>
  <c r="Q4321" i="1"/>
  <c r="P4321" i="1"/>
  <c r="Q4322" i="1"/>
  <c r="P4322" i="1"/>
  <c r="Q4323" i="1"/>
  <c r="P4323" i="1"/>
  <c r="Q4324" i="1"/>
  <c r="P4324" i="1"/>
  <c r="Q4325" i="1"/>
  <c r="P4325" i="1"/>
  <c r="Q4326" i="1"/>
  <c r="P4326" i="1"/>
  <c r="Q4327" i="1"/>
  <c r="P4327" i="1"/>
  <c r="Q4328" i="1"/>
  <c r="P4328" i="1"/>
  <c r="Q4329" i="1"/>
  <c r="P4329" i="1"/>
  <c r="Q4330" i="1"/>
  <c r="P4330" i="1"/>
  <c r="Q4331" i="1"/>
  <c r="P4331" i="1"/>
  <c r="Q4332" i="1"/>
  <c r="P4332" i="1"/>
  <c r="Q4333" i="1"/>
  <c r="P4333" i="1"/>
  <c r="Q4334" i="1"/>
  <c r="P4334" i="1"/>
  <c r="Q4335" i="1"/>
  <c r="P4335" i="1"/>
  <c r="Q4336" i="1"/>
  <c r="P4336" i="1"/>
  <c r="Q4337" i="1"/>
  <c r="P4337" i="1"/>
  <c r="Q4338" i="1"/>
  <c r="P4338" i="1"/>
  <c r="B4317" i="1"/>
  <c r="H4317" i="1"/>
  <c r="K4317" i="1"/>
  <c r="Q4317" i="1"/>
  <c r="P4317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/>
  <c r="Q4298" i="1"/>
  <c r="P4298" i="1"/>
  <c r="Q4299" i="1"/>
  <c r="P4299" i="1"/>
  <c r="Q4300" i="1"/>
  <c r="P4300" i="1"/>
  <c r="Q4301" i="1"/>
  <c r="P4301" i="1"/>
  <c r="Q4302" i="1"/>
  <c r="P4302" i="1"/>
  <c r="Q4303" i="1"/>
  <c r="P4303" i="1"/>
  <c r="Q4304" i="1"/>
  <c r="P4304" i="1"/>
  <c r="Q4305" i="1"/>
  <c r="P4305" i="1"/>
  <c r="Q4306" i="1"/>
  <c r="P4306" i="1"/>
  <c r="Q4307" i="1"/>
  <c r="P4307" i="1"/>
  <c r="Q4308" i="1"/>
  <c r="P4308" i="1"/>
  <c r="Q4309" i="1"/>
  <c r="P4309" i="1"/>
  <c r="Q4310" i="1"/>
  <c r="P4310" i="1"/>
  <c r="Q4311" i="1"/>
  <c r="P4311" i="1"/>
  <c r="Q4312" i="1"/>
  <c r="P4312" i="1"/>
  <c r="Q4313" i="1"/>
  <c r="P4313" i="1"/>
  <c r="Q4314" i="1"/>
  <c r="P4314" i="1"/>
  <c r="Q4315" i="1"/>
  <c r="P4315" i="1"/>
  <c r="Q4316" i="1"/>
  <c r="P4316" i="1"/>
  <c r="B4296" i="1"/>
  <c r="H4296" i="1"/>
  <c r="K4296" i="1"/>
  <c r="Q4296" i="1"/>
  <c r="P4296" i="1"/>
  <c r="B4294" i="1"/>
  <c r="B4295" i="1"/>
  <c r="H4294" i="1"/>
  <c r="H4295" i="1"/>
  <c r="J4294" i="1"/>
  <c r="J4295" i="1"/>
  <c r="K4294" i="1"/>
  <c r="K4295" i="1"/>
  <c r="Q4294" i="1"/>
  <c r="P4294" i="1"/>
  <c r="Q4295" i="1"/>
  <c r="P4295" i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/>
  <c r="Q4290" i="1"/>
  <c r="P4290" i="1"/>
  <c r="Q4291" i="1"/>
  <c r="P4291" i="1"/>
  <c r="Q4292" i="1"/>
  <c r="P4292" i="1"/>
  <c r="Q4293" i="1"/>
  <c r="P4293" i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/>
  <c r="Q4276" i="1"/>
  <c r="P4276" i="1"/>
  <c r="Q4277" i="1"/>
  <c r="P4277" i="1"/>
  <c r="Q4278" i="1"/>
  <c r="P4278" i="1"/>
  <c r="Q4279" i="1"/>
  <c r="P4279" i="1"/>
  <c r="Q4280" i="1"/>
  <c r="P4280" i="1"/>
  <c r="Q4281" i="1"/>
  <c r="P4281" i="1"/>
  <c r="Q4282" i="1"/>
  <c r="P4282" i="1"/>
  <c r="Q4283" i="1"/>
  <c r="P4283" i="1"/>
  <c r="Q4284" i="1"/>
  <c r="P4284" i="1"/>
  <c r="Q4285" i="1"/>
  <c r="P4285" i="1"/>
  <c r="Q4286" i="1"/>
  <c r="P4286" i="1"/>
  <c r="Q4287" i="1"/>
  <c r="P4287" i="1"/>
  <c r="Q4288" i="1"/>
  <c r="P4288" i="1"/>
  <c r="B4273" i="1"/>
  <c r="B4274" i="1"/>
  <c r="H4273" i="1"/>
  <c r="H4274" i="1"/>
  <c r="J4273" i="1"/>
  <c r="J4274" i="1"/>
  <c r="K4273" i="1"/>
  <c r="K4274" i="1"/>
  <c r="Q4273" i="1"/>
  <c r="P4273" i="1"/>
  <c r="Q4274" i="1"/>
  <c r="P427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/>
  <c r="Q4226" i="1"/>
  <c r="P4226" i="1"/>
  <c r="Q4227" i="1"/>
  <c r="P4227" i="1"/>
  <c r="Q4228" i="1"/>
  <c r="P4228" i="1"/>
  <c r="Q4229" i="1"/>
  <c r="P4229" i="1"/>
  <c r="Q4230" i="1"/>
  <c r="P4230" i="1"/>
  <c r="Q4231" i="1"/>
  <c r="P4231" i="1"/>
  <c r="Q4232" i="1"/>
  <c r="P4232" i="1"/>
  <c r="Q4233" i="1"/>
  <c r="P4233" i="1"/>
  <c r="Q4234" i="1"/>
  <c r="P4234" i="1"/>
  <c r="Q4235" i="1"/>
  <c r="P4235" i="1"/>
  <c r="Q4236" i="1"/>
  <c r="P4236" i="1"/>
  <c r="Q4237" i="1"/>
  <c r="P4237" i="1"/>
  <c r="Q4238" i="1"/>
  <c r="P4238" i="1"/>
  <c r="Q4239" i="1"/>
  <c r="P4239" i="1"/>
  <c r="Q4240" i="1"/>
  <c r="P4240" i="1"/>
  <c r="Q4241" i="1"/>
  <c r="P4241" i="1"/>
  <c r="Q4242" i="1"/>
  <c r="P4242" i="1"/>
  <c r="Q4243" i="1"/>
  <c r="P4243" i="1"/>
  <c r="Q4244" i="1"/>
  <c r="P4244" i="1"/>
  <c r="Q4245" i="1"/>
  <c r="P4245" i="1"/>
  <c r="Q4246" i="1"/>
  <c r="P4246" i="1"/>
  <c r="Q4247" i="1"/>
  <c r="P4247" i="1"/>
  <c r="Q4248" i="1"/>
  <c r="P4248" i="1"/>
  <c r="Q4249" i="1"/>
  <c r="P4249" i="1"/>
  <c r="Q4250" i="1"/>
  <c r="P4250" i="1"/>
  <c r="Q4251" i="1"/>
  <c r="P4251" i="1"/>
  <c r="Q4252" i="1"/>
  <c r="P4252" i="1"/>
  <c r="Q4253" i="1"/>
  <c r="P4253" i="1"/>
  <c r="Q4254" i="1"/>
  <c r="P4254" i="1"/>
  <c r="Q4255" i="1"/>
  <c r="P4255" i="1"/>
  <c r="Q4256" i="1"/>
  <c r="P4256" i="1"/>
  <c r="Q4257" i="1"/>
  <c r="P4257" i="1"/>
  <c r="Q4258" i="1"/>
  <c r="P4258" i="1"/>
  <c r="Q4259" i="1"/>
  <c r="P4259" i="1"/>
  <c r="Q4260" i="1"/>
  <c r="P4260" i="1"/>
  <c r="Q4261" i="1"/>
  <c r="P4261" i="1"/>
  <c r="Q4262" i="1"/>
  <c r="P4262" i="1"/>
  <c r="Q4263" i="1"/>
  <c r="P4263" i="1"/>
  <c r="Q4264" i="1"/>
  <c r="P4264" i="1"/>
  <c r="Q4265" i="1"/>
  <c r="P4265" i="1"/>
  <c r="Q4266" i="1"/>
  <c r="P4266" i="1"/>
  <c r="Q4267" i="1"/>
  <c r="P4267" i="1"/>
  <c r="Q4268" i="1"/>
  <c r="P4268" i="1"/>
  <c r="Q4269" i="1"/>
  <c r="P4269" i="1"/>
  <c r="Q4270" i="1"/>
  <c r="P4270" i="1"/>
  <c r="Q4271" i="1"/>
  <c r="P4271" i="1"/>
  <c r="Q4272" i="1"/>
  <c r="P4272" i="1"/>
  <c r="B4224" i="1"/>
  <c r="H4224" i="1"/>
  <c r="K4224" i="1"/>
  <c r="Q4224" i="1"/>
  <c r="P4224" i="1"/>
  <c r="B4223" i="1"/>
  <c r="H4223" i="1"/>
  <c r="J4223" i="1"/>
  <c r="K4223" i="1"/>
  <c r="Q4223" i="1"/>
  <c r="P4223" i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/>
  <c r="Q4212" i="1"/>
  <c r="P4212" i="1"/>
  <c r="Q4213" i="1"/>
  <c r="P4213" i="1"/>
  <c r="Q4214" i="1"/>
  <c r="P4214" i="1"/>
  <c r="Q4215" i="1"/>
  <c r="P4215" i="1"/>
  <c r="Q4216" i="1"/>
  <c r="P4216" i="1"/>
  <c r="Q4217" i="1"/>
  <c r="P4217" i="1"/>
  <c r="Q4218" i="1"/>
  <c r="P4218" i="1"/>
  <c r="Q4219" i="1"/>
  <c r="P4219" i="1"/>
  <c r="Q4220" i="1"/>
  <c r="P4220" i="1"/>
  <c r="Q4221" i="1"/>
  <c r="P4221" i="1"/>
  <c r="Q4222" i="1"/>
  <c r="P4222" i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/>
  <c r="Q4201" i="1"/>
  <c r="P4201" i="1"/>
  <c r="Q4202" i="1"/>
  <c r="P4202" i="1"/>
  <c r="Q4203" i="1"/>
  <c r="P4203" i="1"/>
  <c r="Q4204" i="1"/>
  <c r="P4204" i="1"/>
  <c r="Q4205" i="1"/>
  <c r="P4205" i="1"/>
  <c r="Q4206" i="1"/>
  <c r="P4206" i="1"/>
  <c r="Q4207" i="1"/>
  <c r="P4207" i="1"/>
  <c r="Q4208" i="1"/>
  <c r="P4208" i="1"/>
  <c r="Q4209" i="1"/>
  <c r="P4209" i="1"/>
  <c r="Q4210" i="1"/>
  <c r="P4210" i="1"/>
  <c r="B4199" i="1"/>
  <c r="H4199" i="1"/>
  <c r="K4199" i="1"/>
  <c r="Q4199" i="1"/>
  <c r="P4199" i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/>
  <c r="Q4197" i="1"/>
  <c r="P4197" i="1"/>
  <c r="Q4198" i="1"/>
  <c r="P419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/>
  <c r="Q4180" i="1"/>
  <c r="P4180" i="1"/>
  <c r="Q4181" i="1"/>
  <c r="P4181" i="1"/>
  <c r="Q4182" i="1"/>
  <c r="P4182" i="1"/>
  <c r="Q4183" i="1"/>
  <c r="P4183" i="1"/>
  <c r="Q4184" i="1"/>
  <c r="P4184" i="1"/>
  <c r="Q4185" i="1"/>
  <c r="P4185" i="1"/>
  <c r="Q4186" i="1"/>
  <c r="P4186" i="1"/>
  <c r="Q4187" i="1"/>
  <c r="P4187" i="1"/>
  <c r="Q4188" i="1"/>
  <c r="P4188" i="1"/>
  <c r="Q4189" i="1"/>
  <c r="P4189" i="1"/>
  <c r="Q4190" i="1"/>
  <c r="P4190" i="1"/>
  <c r="Q4191" i="1"/>
  <c r="P4191" i="1"/>
  <c r="Q4192" i="1"/>
  <c r="P4192" i="1"/>
  <c r="Q4193" i="1"/>
  <c r="P4193" i="1"/>
  <c r="Q4194" i="1"/>
  <c r="P4194" i="1"/>
  <c r="Q4195" i="1"/>
  <c r="P4195" i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/>
  <c r="Q4174" i="1"/>
  <c r="P4174" i="1"/>
  <c r="Q4175" i="1"/>
  <c r="P4175" i="1"/>
  <c r="Q4176" i="1"/>
  <c r="P4176" i="1"/>
  <c r="Q4177" i="1"/>
  <c r="P4177" i="1"/>
  <c r="Q4178" i="1"/>
  <c r="P4178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/>
  <c r="Q4164" i="1"/>
  <c r="P4164" i="1"/>
  <c r="Q4165" i="1"/>
  <c r="P4165" i="1"/>
  <c r="Q4166" i="1"/>
  <c r="P4166" i="1"/>
  <c r="Q4167" i="1"/>
  <c r="P4167" i="1"/>
  <c r="Q4168" i="1"/>
  <c r="P4168" i="1"/>
  <c r="Q4169" i="1"/>
  <c r="P4169" i="1"/>
  <c r="Q4170" i="1"/>
  <c r="P4170" i="1"/>
  <c r="Q4171" i="1"/>
  <c r="P4171" i="1"/>
  <c r="H4160" i="1"/>
  <c r="H4161" i="1"/>
  <c r="H4162" i="1"/>
  <c r="J4160" i="1"/>
  <c r="J4161" i="1"/>
  <c r="J4162" i="1"/>
  <c r="K4160" i="1"/>
  <c r="K4161" i="1"/>
  <c r="K4162" i="1"/>
  <c r="Q4160" i="1"/>
  <c r="P4160" i="1"/>
  <c r="Q4161" i="1"/>
  <c r="P4161" i="1"/>
  <c r="Q4162" i="1"/>
  <c r="P4162" i="1"/>
  <c r="K4159" i="1"/>
  <c r="K4158" i="1"/>
  <c r="K4157" i="1"/>
  <c r="K4156" i="1"/>
  <c r="K4155" i="1"/>
  <c r="H4158" i="1"/>
  <c r="H4159" i="1"/>
  <c r="J4158" i="1"/>
  <c r="J4159" i="1"/>
  <c r="Q4158" i="1"/>
  <c r="P4158" i="1"/>
  <c r="Q4159" i="1"/>
  <c r="P4159" i="1"/>
  <c r="H4157" i="1"/>
  <c r="J4157" i="1"/>
  <c r="Q4157" i="1"/>
  <c r="P4157" i="1"/>
  <c r="H4156" i="1"/>
  <c r="J4156" i="1"/>
  <c r="Q4156" i="1"/>
  <c r="P4156" i="1"/>
  <c r="H4155" i="1"/>
  <c r="J4155" i="1"/>
  <c r="Q4155" i="1"/>
  <c r="P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H4151" i="1"/>
  <c r="J4151" i="1"/>
  <c r="Q4151" i="1"/>
  <c r="P4151" i="1"/>
  <c r="H4150" i="1"/>
  <c r="J4150" i="1"/>
  <c r="Q4150" i="1"/>
  <c r="P4150" i="1"/>
  <c r="H4149" i="1"/>
  <c r="J4149" i="1"/>
  <c r="Q4149" i="1"/>
  <c r="P4149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Q4131" i="1"/>
  <c r="P4131" i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H4119" i="1"/>
  <c r="Q4119" i="1"/>
  <c r="P4119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H4005" i="1"/>
  <c r="J4005" i="1"/>
  <c r="Q4005" i="1"/>
  <c r="P4005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H3948" i="1"/>
  <c r="Q3948" i="1"/>
  <c r="P3948" i="1"/>
  <c r="H3947" i="1"/>
  <c r="J3947" i="1"/>
  <c r="Q3947" i="1"/>
  <c r="P3947" i="1"/>
  <c r="C2" i="2"/>
  <c r="B4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P3693" i="1"/>
  <c r="Q3692" i="1"/>
  <c r="P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<sst xmlns="http://schemas.openxmlformats.org/spreadsheetml/2006/main" count="42613" uniqueCount="7041">
  <si>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</si>
  <si>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</si>
  <si>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</si>
  <si>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</si>
  <si>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</si>
  <si>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</si>
  <si>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</si>
  <si>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</si>
  <si>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</si>
  <si>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</si>
  <si>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</si>
  <si>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</si>
  <si>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</si>
  <si>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</si>
  <si>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</si>
  <si>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</si>
  <si>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</si>
  <si>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</si>
  <si>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</si>
  <si>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</si>
  <si>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</si>
  <si>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</si>
  <si>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</si>
  <si>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</si>
  <si>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</si>
  <si>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</si>
  <si>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</si>
  <si>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</si>
  <si>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</si>
  <si>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</si>
  <si>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</si>
  <si>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</si>
  <si>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</si>
  <si>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</si>
  <si>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</si>
  <si>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</si>
  <si>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</si>
  <si>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</si>
  <si>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</si>
  <si>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</si>
  <si>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</si>
  <si>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</si>
  <si>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</si>
  <si>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</si>
  <si>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</si>
  <si>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</si>
  <si>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</si>
  <si>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</si>
  <si>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</si>
  <si>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</si>
  <si>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</si>
  <si>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</si>
  <si>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</si>
  <si>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</si>
  <si>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</si>
  <si>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</si>
  <si>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</si>
  <si>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</si>
  <si>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</si>
  <si>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</si>
  <si>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</si>
  <si>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</si>
  <si>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</si>
  <si>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</si>
  <si>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</si>
  <si>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</si>
  <si>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</si>
  <si>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</si>
  <si>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</si>
  <si>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</si>
  <si>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</si>
  <si>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</si>
  <si>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</si>
  <si>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</si>
  <si>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</si>
  <si>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</si>
  <si>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</si>
  <si>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</si>
  <si>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</si>
  <si>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</si>
  <si>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</si>
  <si>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</si>
  <si>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</si>
  <si>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</si>
  <si>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</si>
  <si>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</si>
  <si>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</si>
  <si>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</si>
  <si>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</si>
  <si>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</si>
  <si>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</si>
  <si>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</si>
  <si>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</si>
  <si>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</si>
  <si>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</si>
  <si>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</si>
  <si>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</si>
  <si>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</si>
  <si>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</si>
  <si>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</si>
  <si>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</si>
  <si>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</si>
  <si>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</si>
  <si>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</si>
  <si>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</si>
  <si>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</si>
  <si>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</si>
  <si>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</si>
  <si>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</si>
  <si>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</si>
  <si>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</si>
  <si>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</si>
  <si>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</si>
  <si>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</si>
  <si>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</si>
  <si>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</si>
  <si>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</si>
  <si>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</si>
  <si>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</si>
  <si>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</si>
  <si>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</si>
  <si>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</si>
  <si>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</si>
  <si>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</si>
  <si>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</si>
  <si>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</si>
  <si>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</si>
  <si>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</si>
  <si>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</si>
  <si>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</si>
  <si>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</si>
  <si>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</si>
  <si>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</si>
  <si>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</si>
  <si>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</si>
  <si>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</si>
  <si>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</si>
  <si>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</si>
  <si>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</si>
  <si>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</si>
  <si>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</si>
  <si>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</si>
  <si>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</si>
  <si>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</si>
  <si>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</si>
  <si>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</si>
  <si>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</si>
  <si>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</si>
  <si>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</si>
  <si>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</si>
  <si>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</si>
  <si>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</si>
  <si>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</si>
  <si>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</si>
  <si>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</si>
  <si>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</si>
  <si>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</si>
  <si>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</si>
  <si>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</si>
  <si>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</si>
  <si>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</si>
  <si>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</si>
  <si>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</si>
  <si>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</si>
  <si>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</si>
  <si>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</si>
  <si>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</si>
  <si>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</si>
  <si>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</si>
  <si>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</si>
  <si>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</si>
  <si>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</si>
  <si>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</si>
  <si>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</si>
  <si>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</si>
  <si>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</si>
  <si>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</si>
  <si>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</si>
  <si>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</si>
  <si>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</si>
  <si>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</si>
  <si>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</si>
  <si>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</si>
  <si>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</si>
  <si>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</si>
  <si>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</si>
  <si>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</si>
  <si>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</si>
  <si>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</si>
  <si>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</si>
  <si>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</si>
  <si>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</si>
  <si>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</si>
  <si>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</si>
  <si>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</si>
  <si>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</si>
  <si>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</si>
  <si>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</si>
  <si>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</si>
  <si>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</si>
  <si>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</si>
  <si>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</si>
  <si>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</si>
  <si>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</si>
  <si>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</si>
  <si>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</si>
  <si>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</si>
  <si>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</si>
  <si>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</si>
  <si>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</si>
  <si>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</si>
  <si>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</si>
  <si>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</si>
  <si>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</si>
  <si>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</si>
  <si>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</si>
  <si>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</si>
  <si>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</si>
  <si>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</si>
  <si>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</si>
  <si>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</si>
  <si>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</si>
  <si>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</si>
  <si>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</si>
  <si>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</si>
  <si>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</si>
  <si>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</si>
  <si>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</si>
  <si>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</si>
  <si>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</si>
  <si>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</si>
  <si>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</si>
  <si>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</si>
  <si>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</si>
  <si>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</si>
  <si>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</si>
  <si>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</si>
  <si>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</si>
  <si>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</si>
  <si>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</si>
  <si>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</si>
  <si>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</si>
  <si>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</si>
  <si>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</si>
  <si>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</si>
  <si>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</si>
  <si>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</si>
  <si>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</si>
  <si>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</si>
  <si>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</si>
  <si>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</si>
  <si>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</si>
  <si>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</si>
  <si>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</si>
  <si>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</si>
  <si>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</si>
  <si>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</si>
  <si>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</si>
  <si>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</si>
  <si>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</si>
  <si>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</si>
  <si>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</si>
  <si>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</si>
  <si>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</si>
  <si>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</si>
  <si>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</si>
  <si>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</si>
  <si>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</si>
  <si>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</si>
  <si>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</si>
  <si>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</si>
  <si>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</si>
  <si>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</si>
  <si>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</si>
  <si>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</si>
  <si>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</si>
  <si>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</si>
  <si>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</si>
  <si>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</si>
  <si>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</si>
  <si>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</si>
  <si>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</si>
  <si>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</si>
  <si>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</si>
  <si>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</si>
  <si>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</si>
  <si>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</si>
  <si>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</si>
  <si>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</si>
  <si>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</si>
  <si>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</si>
  <si>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</si>
  <si>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</si>
  <si>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</si>
  <si>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</si>
  <si>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</si>
  <si>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</si>
  <si>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</si>
  <si>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</si>
  <si>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</si>
  <si>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</si>
  <si>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</si>
  <si>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</si>
  <si>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</si>
  <si>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</si>
  <si>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</si>
  <si>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</si>
  <si>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</si>
  <si>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</si>
  <si>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</si>
  <si>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</si>
  <si>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</si>
  <si>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</si>
  <si>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</si>
  <si>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</si>
  <si>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</si>
  <si>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</si>
  <si>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</si>
  <si>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</si>
  <si>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</si>
  <si>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</si>
  <si>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</si>
  <si>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</si>
  <si>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</si>
  <si>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</si>
  <si>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</si>
  <si>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</si>
  <si>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</si>
  <si>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</si>
  <si>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</si>
  <si>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</si>
  <si>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</si>
  <si>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</si>
  <si>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</si>
  <si>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</si>
  <si>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</si>
  <si>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</si>
  <si>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</si>
  <si>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</si>
  <si>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</si>
  <si>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</si>
  <si>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</si>
  <si>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</si>
  <si>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</si>
  <si>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</si>
  <si>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</si>
  <si>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</si>
  <si>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</si>
  <si>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</si>
  <si>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</si>
  <si>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</si>
  <si>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</si>
  <si>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</si>
  <si>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</si>
  <si>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</si>
  <si>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</si>
  <si>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</si>
  <si>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</si>
  <si>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</si>
  <si>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</si>
  <si>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</si>
  <si>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</si>
  <si>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</si>
  <si>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</si>
  <si>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</si>
  <si>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</si>
  <si>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</si>
  <si>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</si>
  <si>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</si>
  <si>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</si>
  <si>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</si>
  <si>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</si>
  <si>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</si>
  <si>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</si>
  <si>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</si>
  <si>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</si>
  <si>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</si>
  <si>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</si>
  <si>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</si>
  <si>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</si>
  <si>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</si>
  <si>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</si>
  <si>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</si>
  <si>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</si>
  <si>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</si>
  <si>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</si>
  <si>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</si>
  <si>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</si>
  <si>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</si>
  <si>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</si>
  <si>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</si>
  <si>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</si>
  <si>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</si>
  <si>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</si>
  <si>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</si>
  <si>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</si>
  <si>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</si>
  <si>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</si>
  <si>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</si>
  <si>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</si>
  <si>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</si>
  <si>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</si>
  <si>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</si>
  <si>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</si>
  <si>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</si>
  <si>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</si>
  <si>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</si>
  <si>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</si>
  <si>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</si>
  <si>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</si>
  <si>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</si>
  <si>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</si>
  <si>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</si>
  <si>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</si>
  <si>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</si>
  <si>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</si>
  <si>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</si>
  <si>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</si>
  <si>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</si>
  <si>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</si>
  <si>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</si>
  <si>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</si>
  <si>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</si>
  <si>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</si>
  <si>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</si>
  <si>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</si>
  <si>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</si>
  <si>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</si>
  <si>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</si>
  <si>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</si>
  <si>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</si>
  <si>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</si>
  <si>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</si>
  <si>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</si>
  <si>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</si>
  <si>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</si>
  <si>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</si>
  <si>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</si>
  <si>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</si>
  <si>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</si>
  <si>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</si>
  <si>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</si>
  <si>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</si>
  <si>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</si>
  <si>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</si>
  <si>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</si>
  <si>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</si>
  <si>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</si>
  <si>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</si>
  <si>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</si>
  <si>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</si>
  <si>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</si>
  <si>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</si>
  <si>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</si>
  <si>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</si>
  <si>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</si>
  <si>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</si>
  <si>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</si>
  <si>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</si>
  <si>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</si>
  <si>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</si>
  <si>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</si>
  <si>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</si>
  <si>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</si>
  <si>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</si>
  <si>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</si>
  <si>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</si>
  <si>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</si>
  <si>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</si>
  <si>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</si>
  <si>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</si>
  <si>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</si>
  <si>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</si>
  <si>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</si>
  <si>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</si>
  <si>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</si>
  <si>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</si>
  <si>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</si>
  <si>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</si>
  <si>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</si>
  <si>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</si>
  <si>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</si>
  <si>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</si>
  <si>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</si>
  <si>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</si>
  <si>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</si>
  <si>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</si>
  <si>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</si>
  <si>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</si>
  <si>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</si>
  <si>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</si>
  <si>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</si>
  <si>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</si>
  <si>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</si>
  <si>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</si>
  <si>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</si>
  <si>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</si>
  <si>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</si>
  <si>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</si>
  <si>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</si>
  <si>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</si>
  <si>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</si>
  <si>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</si>
  <si>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</si>
  <si>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</si>
  <si>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</si>
  <si>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</si>
  <si>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</si>
  <si>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</si>
  <si>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</si>
  <si>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</si>
  <si>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</si>
  <si>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</si>
  <si>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</si>
  <si>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</si>
  <si>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</si>
  <si>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</si>
  <si>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</si>
  <si>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</si>
  <si>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</si>
  <si>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</si>
  <si>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</si>
  <si>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</si>
  <si>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</si>
  <si>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</si>
  <si>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</si>
  <si>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</si>
  <si>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</si>
  <si>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</si>
  <si>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</si>
  <si>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</si>
  <si>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</si>
  <si>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</si>
  <si>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</si>
  <si>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</si>
  <si>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</si>
  <si>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</si>
  <si>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</si>
  <si>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</si>
  <si>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</si>
  <si>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</si>
  <si>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</si>
  <si>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</si>
  <si>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</si>
  <si>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</si>
  <si>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</si>
  <si>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</si>
  <si>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</si>
  <si>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</si>
  <si>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</si>
  <si>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</si>
  <si>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</si>
  <si>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</si>
  <si>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</si>
  <si>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</si>
  <si>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</si>
  <si>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</si>
  <si>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</si>
  <si>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</si>
  <si>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</si>
  <si>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</si>
  <si>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</si>
  <si>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</si>
  <si>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</si>
  <si>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</si>
  <si>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</si>
  <si>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</si>
  <si>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</si>
  <si>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</si>
  <si>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</si>
  <si>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</si>
  <si>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</si>
  <si>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</si>
  <si>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</si>
  <si>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</si>
  <si>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</si>
  <si>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</si>
  <si>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</si>
  <si>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</si>
  <si>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</si>
  <si>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</si>
  <si>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</si>
  <si>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</si>
  <si>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</si>
  <si>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</si>
  <si>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</si>
  <si>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</si>
  <si>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</si>
  <si>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</si>
  <si>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</si>
  <si>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</si>
  <si>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</si>
  <si>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</si>
  <si>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</si>
  <si>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</si>
  <si>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</si>
  <si>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</si>
  <si>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</si>
  <si>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</si>
  <si>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</si>
  <si>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</si>
  <si>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</si>
  <si>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</si>
  <si>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</si>
  <si>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</si>
  <si>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</si>
  <si>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</si>
  <si>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</si>
  <si>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</si>
  <si>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</si>
  <si>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</si>
  <si>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</si>
  <si>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</si>
  <si>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</si>
  <si>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</si>
  <si>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</si>
  <si>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</si>
  <si>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</si>
  <si>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</si>
  <si>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</si>
  <si>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</si>
  <si>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</si>
  <si>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</si>
  <si>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</si>
  <si>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</si>
  <si>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</si>
  <si>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</si>
  <si>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</si>
  <si>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</si>
  <si>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</si>
  <si>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</si>
  <si>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</si>
  <si>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</si>
  <si>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</si>
  <si>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</si>
  <si>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</si>
  <si>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</si>
  <si>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</si>
  <si>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</si>
  <si>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</si>
  <si>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</si>
  <si>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</si>
  <si>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</si>
  <si>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</si>
  <si>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</si>
  <si>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</si>
  <si>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</si>
  <si>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</si>
  <si>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</si>
  <si>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</si>
  <si>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</si>
  <si>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</si>
  <si>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</si>
  <si>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</si>
  <si>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</si>
  <si>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</si>
  <si>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</si>
  <si>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</si>
  <si>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</si>
  <si>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</si>
  <si>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</si>
  <si>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</si>
  <si>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</si>
  <si>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</si>
  <si>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</si>
  <si>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</si>
  <si>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</si>
  <si>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</si>
  <si>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</si>
  <si>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</si>
  <si>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</si>
  <si>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</si>
  <si>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</si>
  <si>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</si>
  <si>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</si>
  <si>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</si>
  <si>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</si>
  <si>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</si>
  <si>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</si>
  <si>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</si>
  <si>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</si>
  <si>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</si>
  <si>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</si>
  <si>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</si>
  <si>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</si>
  <si>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</si>
  <si>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</si>
  <si>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</si>
  <si>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</si>
  <si>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</si>
  <si>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</si>
  <si>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</si>
  <si>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</si>
  <si>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</si>
  <si>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</si>
  <si>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</si>
  <si>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</si>
  <si>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</si>
  <si>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</si>
  <si>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</si>
  <si>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</si>
  <si>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</si>
  <si>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</si>
  <si>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</si>
  <si>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</si>
  <si>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</si>
  <si>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</si>
  <si>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</si>
  <si>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</si>
  <si>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</si>
  <si>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</si>
  <si>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</si>
  <si>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</si>
  <si>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</si>
  <si>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</si>
  <si>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</si>
  <si>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</si>
  <si>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</si>
  <si>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</si>
  <si>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</si>
  <si>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</si>
  <si>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</si>
  <si>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</si>
  <si>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</si>
  <si>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</si>
  <si>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</si>
  <si>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</si>
  <si>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</si>
  <si>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</si>
  <si>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</si>
  <si>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</si>
  <si>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</si>
  <si>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</si>
  <si>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</si>
  <si>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</si>
  <si>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</si>
  <si>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</si>
  <si>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</si>
  <si>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</si>
  <si>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</si>
  <si>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</si>
  <si>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</si>
  <si>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</si>
  <si>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</si>
  <si>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</si>
  <si>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</si>
  <si>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</si>
  <si>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</si>
  <si>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</si>
  <si>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</si>
  <si>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</si>
  <si>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</si>
  <si>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</si>
  <si>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</si>
  <si>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</si>
  <si>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</si>
  <si>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</si>
  <si>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</si>
  <si>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</si>
  <si>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</si>
  <si>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</si>
  <si>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</si>
  <si>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</si>
  <si>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</si>
  <si>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</si>
  <si>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</si>
  <si>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</si>
  <si>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</si>
  <si>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</si>
  <si>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</si>
  <si>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</si>
  <si>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</si>
  <si>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</si>
  <si>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</si>
  <si>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</si>
  <si>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</si>
  <si>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</si>
  <si>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</si>
  <si>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</si>
  <si>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</si>
  <si>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</si>
  <si>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</si>
  <si>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</si>
  <si>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</si>
  <si>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</si>
  <si>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</si>
  <si>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</si>
  <si>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</si>
  <si>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</si>
  <si>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</si>
  <si>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</si>
  <si>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</si>
  <si>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</si>
  <si>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</si>
  <si>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</si>
  <si>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</si>
  <si>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</si>
  <si>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</si>
  <si>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</si>
  <si>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</si>
  <si>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</si>
  <si>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</si>
  <si>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</si>
  <si>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</si>
  <si>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</si>
  <si>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</si>
  <si>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</si>
  <si>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</si>
  <si>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</si>
  <si>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</si>
  <si>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</si>
  <si>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</si>
  <si>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</si>
  <si>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</si>
  <si>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</si>
  <si>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</si>
  <si>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</si>
  <si>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</si>
  <si>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</si>
  <si>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</si>
  <si>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</si>
  <si>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</si>
  <si>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</si>
  <si>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</si>
  <si>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</si>
  <si>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</si>
  <si>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</si>
  <si>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</si>
  <si>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</si>
  <si>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</si>
  <si>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</si>
  <si>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</si>
  <si>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</si>
  <si>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</si>
  <si>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</si>
  <si>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</si>
  <si>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</si>
  <si>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</si>
  <si>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</si>
  <si>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</si>
  <si>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</si>
  <si>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</si>
  <si>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</si>
  <si>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</si>
  <si>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</si>
  <si>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</si>
  <si>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</si>
  <si>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</si>
  <si>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</si>
  <si>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</si>
  <si>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</si>
  <si>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</si>
  <si>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</si>
  <si>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</si>
  <si>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</si>
  <si>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</si>
  <si>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</si>
  <si>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</si>
  <si>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</si>
  <si>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</si>
  <si>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</si>
  <si>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</si>
  <si>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</si>
  <si>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</si>
  <si>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</si>
  <si>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</si>
  <si>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</si>
  <si>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</si>
  <si>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</si>
  <si>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</si>
  <si>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</si>
  <si>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</si>
  <si>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</si>
  <si>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</si>
  <si>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</si>
  <si>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</si>
  <si>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</si>
  <si>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</si>
  <si>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</si>
  <si>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</si>
  <si>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</si>
  <si>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</si>
  <si>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</si>
  <si>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</si>
  <si>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</si>
  <si>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</si>
  <si>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</si>
  <si>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</si>
  <si>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</si>
  <si>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</si>
  <si>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</si>
  <si>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</si>
  <si>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</si>
  <si>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</si>
  <si>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</si>
  <si>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</si>
  <si>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</si>
  <si>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</si>
  <si>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</si>
  <si>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</si>
  <si>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</si>
  <si>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</si>
  <si>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</si>
  <si>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</si>
  <si>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</si>
  <si>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</si>
  <si>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</si>
  <si>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</si>
  <si>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</si>
  <si>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</si>
  <si>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</si>
  <si>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</si>
  <si>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</si>
  <si>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</si>
  <si>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</si>
  <si>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</si>
  <si>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</si>
  <si>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</si>
  <si>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</si>
  <si>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</si>
  <si>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</si>
  <si>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</si>
  <si>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</si>
  <si>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</si>
  <si>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</si>
  <si>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</si>
  <si>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</si>
  <si>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</si>
  <si>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</si>
  <si>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</si>
  <si>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</si>
  <si>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</si>
  <si>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</si>
  <si>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</si>
  <si>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</si>
  <si>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</si>
  <si>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</si>
  <si>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</si>
  <si>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</si>
  <si>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</si>
  <si>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</si>
  <si>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</si>
  <si>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</si>
  <si>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</si>
  <si>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</si>
  <si>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</si>
  <si>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</si>
  <si>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</si>
  <si>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</si>
  <si>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</si>
  <si>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</si>
  <si>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</si>
  <si>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</si>
  <si>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</si>
  <si>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</si>
  <si>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</si>
  <si>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</si>
  <si>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</si>
  <si>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</si>
  <si>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</si>
  <si>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</si>
  <si>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</si>
  <si>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</si>
  <si>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</si>
  <si>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</si>
  <si>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</si>
  <si>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</si>
  <si>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</si>
  <si>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</si>
  <si>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</si>
  <si>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</si>
  <si>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</si>
  <si>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</si>
  <si>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</si>
  <si>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</si>
  <si>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</si>
  <si>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</si>
  <si>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</si>
  <si>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</si>
  <si>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</si>
  <si>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</si>
  <si>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</si>
  <si>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</si>
  <si>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</si>
  <si>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</si>
  <si>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</si>
  <si>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</si>
  <si>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</si>
  <si>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</si>
  <si>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</si>
  <si>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</si>
  <si>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</si>
  <si>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</si>
  <si>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</si>
  <si>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</si>
  <si>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</si>
  <si>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</si>
  <si>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</si>
  <si>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</si>
  <si>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</si>
  <si>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</si>
  <si>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</si>
  <si>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</si>
  <si>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</si>
  <si>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</si>
  <si>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</si>
  <si>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</si>
  <si>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</si>
  <si>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</si>
  <si>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</si>
  <si>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</si>
  <si>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</si>
  <si>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</si>
  <si>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</si>
  <si>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</si>
  <si>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</si>
  <si>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</si>
  <si>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</si>
  <si>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</si>
  <si>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</si>
  <si>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</si>
  <si>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</si>
  <si>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</si>
  <si>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</si>
  <si>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</si>
  <si>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</si>
  <si>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</si>
  <si>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</si>
  <si>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</si>
  <si>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</si>
  <si>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</si>
  <si>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</si>
  <si>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</si>
  <si>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</si>
  <si>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</si>
  <si>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</si>
  <si>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</si>
  <si>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</si>
  <si>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</si>
  <si>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</si>
  <si>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</si>
  <si>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</si>
  <si>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</si>
  <si>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</si>
  <si>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</si>
  <si>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</si>
  <si>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</si>
  <si>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</si>
  <si>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</si>
  <si>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</si>
  <si>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</si>
  <si>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</si>
  <si>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</si>
  <si>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</si>
  <si>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</si>
  <si>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</si>
  <si>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</si>
  <si>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</si>
  <si>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</si>
  <si>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</si>
  <si>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</si>
  <si>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</si>
  <si>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</si>
  <si>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</si>
  <si>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</si>
  <si>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</si>
  <si>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</si>
  <si>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</si>
  <si>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</si>
  <si>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</si>
  <si>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</si>
  <si>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</si>
  <si>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</si>
  <si>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</si>
  <si>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</si>
  <si>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</si>
  <si>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</si>
  <si>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</si>
  <si>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</si>
  <si>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</si>
  <si>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</si>
  <si>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</si>
  <si>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</si>
  <si>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</si>
  <si>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</si>
  <si>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</si>
  <si>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</si>
  <si>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</si>
  <si>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</si>
  <si>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</si>
  <si>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</si>
  <si>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</si>
  <si>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</si>
  <si>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</si>
  <si>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</si>
  <si>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</si>
  <si>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</si>
  <si>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</si>
  <si>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</si>
  <si>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</si>
  <si>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</si>
  <si>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</si>
  <si>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</si>
  <si>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</si>
  <si>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</si>
  <si>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</si>
  <si>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</si>
  <si>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</si>
  <si>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</si>
  <si>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</si>
  <si>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</si>
  <si>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</si>
  <si>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</si>
  <si>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</si>
  <si>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</si>
  <si>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</si>
  <si>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</si>
  <si>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</si>
  <si>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</si>
  <si>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</si>
  <si>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</si>
  <si>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</si>
  <si>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</si>
  <si>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</si>
  <si>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</si>
  <si>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</si>
  <si>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</si>
  <si>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</si>
  <si>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</si>
  <si>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</si>
  <si>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</si>
  <si>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</si>
  <si>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</si>
  <si>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</si>
  <si>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</si>
  <si>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</si>
  <si>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</si>
  <si>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</si>
  <si>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</si>
  <si>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</si>
  <si>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</si>
  <si>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</si>
  <si>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</si>
  <si>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</si>
  <si>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</si>
  <si>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</si>
  <si>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</si>
  <si>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</si>
  <si>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</si>
  <si>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</si>
  <si>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</si>
  <si>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</si>
  <si>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</si>
  <si>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</si>
  <si>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</si>
  <si>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</si>
  <si>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</si>
  <si>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</si>
  <si>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</si>
  <si>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</si>
  <si>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</si>
  <si>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</si>
  <si>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</si>
  <si>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</si>
  <si>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</si>
  <si>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</si>
  <si>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</si>
  <si>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</si>
  <si>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</si>
  <si>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</si>
  <si>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</si>
  <si>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</si>
  <si>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</si>
  <si>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</si>
  <si>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</si>
  <si>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</si>
  <si>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</si>
  <si>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</si>
  <si>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</si>
  <si>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</si>
  <si>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</si>
  <si>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</si>
  <si>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</si>
  <si>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</si>
  <si>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</si>
  <si>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</si>
  <si>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</si>
  <si>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</si>
  <si>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</si>
  <si>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</si>
  <si>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</si>
  <si>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</si>
  <si>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</si>
  <si>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</si>
  <si>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</si>
  <si>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</si>
  <si>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</si>
  <si>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</si>
  <si>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</si>
  <si>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</si>
  <si>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</si>
  <si>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</si>
  <si>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</si>
  <si>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</si>
  <si>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</si>
  <si>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</si>
  <si>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</si>
  <si>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</si>
  <si>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</si>
  <si>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</si>
  <si>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</si>
  <si>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</si>
  <si>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</si>
  <si>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</si>
  <si>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</si>
  <si>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</si>
  <si>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</si>
  <si>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</si>
  <si>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</si>
  <si>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</si>
  <si>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</si>
  <si>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</si>
  <si>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</si>
  <si>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</si>
  <si>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</si>
  <si>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</si>
  <si>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</si>
  <si>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</si>
  <si>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</si>
  <si>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</si>
  <si>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</si>
  <si>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</si>
  <si>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</si>
  <si>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</si>
  <si>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</si>
  <si>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</si>
  <si>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</si>
  <si>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</si>
  <si>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</si>
  <si>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</si>
  <si>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</si>
  <si>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</si>
  <si>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</si>
  <si>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</si>
  <si>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</si>
  <si>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</si>
  <si>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</si>
  <si>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</si>
  <si>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</si>
  <si>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</si>
  <si>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</si>
  <si>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</si>
  <si>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</si>
  <si>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</si>
  <si>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</si>
  <si>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</si>
  <si>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</si>
  <si>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</si>
  <si>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</si>
  <si>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</si>
  <si>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</si>
  <si>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</si>
  <si>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</si>
  <si>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</si>
  <si>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</si>
  <si>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</si>
  <si>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</si>
  <si>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</si>
  <si>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</si>
  <si>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</si>
  <si>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</si>
  <si>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</si>
  <si>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</si>
  <si>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</si>
  <si>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</si>
  <si>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</si>
  <si>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</si>
  <si>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</si>
  <si>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</si>
  <si>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</si>
  <si>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</si>
  <si>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</si>
  <si>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</si>
  <si>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</si>
  <si>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</si>
  <si>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</si>
  <si>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</si>
  <si>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</si>
  <si>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</si>
  <si>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</si>
  <si>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</si>
  <si>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</si>
  <si>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</si>
  <si>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</si>
  <si>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</si>
  <si>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</si>
  <si>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</si>
  <si>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</si>
  <si>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</si>
  <si>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</si>
  <si>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</si>
  <si>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</si>
  <si>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</si>
  <si>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</si>
  <si>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</si>
  <si>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</si>
  <si>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</si>
  <si>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</si>
  <si>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</si>
  <si>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</si>
  <si>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</si>
  <si>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</si>
  <si>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</si>
  <si>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</si>
  <si>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</si>
  <si>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</si>
  <si>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</si>
  <si>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</si>
  <si>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</si>
  <si>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</si>
  <si>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</si>
  <si>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</si>
  <si>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</si>
  <si>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</si>
  <si>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</si>
  <si>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</si>
  <si>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</si>
  <si>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</si>
  <si>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</si>
  <si>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</si>
  <si>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</si>
  <si>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</si>
  <si>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</si>
  <si>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</si>
  <si>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</si>
  <si>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</si>
  <si>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</si>
  <si>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</si>
  <si>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</si>
  <si>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</si>
  <si>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</si>
  <si>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</si>
  <si>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</si>
  <si>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</si>
  <si>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</si>
  <si>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</si>
  <si>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</si>
  <si>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</si>
  <si>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</si>
  <si>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</si>
  <si>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</si>
  <si>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</si>
  <si>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</si>
  <si>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</si>
  <si>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</si>
  <si>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</si>
  <si>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</si>
  <si>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</si>
  <si>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</si>
  <si>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</si>
  <si>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</si>
  <si>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</si>
  <si>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</si>
  <si>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</si>
  <si>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</si>
  <si>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</si>
  <si>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</si>
  <si>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</si>
  <si>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</si>
  <si>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</si>
  <si>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</si>
  <si>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</si>
  <si>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</si>
  <si>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</si>
  <si>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</si>
  <si>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</si>
  <si>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</si>
  <si>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</si>
  <si>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</si>
  <si>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</si>
  <si>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</si>
  <si>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</si>
  <si>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</si>
  <si>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</si>
  <si>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</si>
  <si>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</si>
  <si>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</si>
  <si>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</si>
  <si>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</si>
  <si>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</si>
  <si>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</si>
  <si>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</si>
  <si>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</si>
  <si>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</si>
  <si>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</si>
  <si>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</si>
  <si>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</si>
  <si>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</si>
  <si>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</si>
  <si>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</si>
  <si>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</si>
  <si>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</si>
  <si>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</si>
  <si>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</si>
  <si>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</si>
  <si>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</si>
  <si>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</si>
  <si>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</si>
  <si>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</si>
  <si>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</si>
  <si>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</si>
  <si>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</si>
  <si>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</si>
  <si>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</si>
  <si>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</si>
  <si>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</si>
  <si>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</si>
  <si>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</si>
  <si>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</si>
  <si>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</si>
  <si>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</si>
  <si>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</si>
  <si>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</si>
  <si>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</si>
  <si>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</si>
  <si>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</si>
  <si>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</si>
  <si>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</si>
  <si>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</si>
  <si>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</si>
  <si>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</si>
  <si>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</si>
  <si>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</si>
  <si>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</si>
  <si>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</si>
  <si>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</si>
  <si>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</si>
  <si>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</si>
  <si>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</si>
  <si>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</si>
  <si>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</si>
  <si>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</si>
  <si>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</si>
  <si>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</si>
  <si>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</si>
  <si>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</si>
  <si>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</si>
  <si>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</si>
  <si>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</si>
  <si>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</si>
  <si>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</si>
  <si>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</si>
  <si>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</si>
  <si>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</si>
  <si>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</si>
  <si>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</si>
  <si>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</si>
  <si>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</si>
  <si>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</si>
  <si>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</si>
  <si>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</si>
  <si>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</si>
  <si>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</si>
  <si>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</si>
  <si>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</si>
  <si>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</si>
  <si>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</si>
  <si>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</si>
  <si>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</si>
  <si>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</si>
  <si>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</si>
  <si>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</si>
  <si>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</si>
  <si>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</si>
  <si>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</si>
  <si>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</si>
  <si>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</si>
  <si>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</si>
  <si>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</si>
  <si>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</si>
  <si>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</si>
  <si>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</si>
  <si>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</si>
  <si>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</si>
  <si>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</si>
  <si>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</si>
  <si>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</si>
  <si>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</si>
  <si>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</si>
  <si>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</si>
  <si>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</si>
  <si>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</si>
  <si>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</si>
  <si>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</si>
  <si>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</si>
  <si>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</si>
  <si>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</si>
  <si>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</si>
  <si>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</si>
  <si>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</si>
  <si>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</si>
  <si>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</si>
  <si>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</si>
  <si>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</si>
  <si>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</si>
  <si>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</si>
  <si>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</si>
  <si>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</si>
  <si>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</si>
  <si>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</si>
  <si>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</si>
  <si>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</si>
  <si>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</si>
  <si>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</si>
  <si>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</si>
  <si>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</si>
  <si>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</si>
  <si>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</si>
  <si>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</si>
  <si>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</si>
  <si>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</si>
  <si>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</si>
  <si>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</si>
  <si>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</si>
  <si>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</si>
  <si>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</si>
  <si>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</si>
  <si>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</si>
  <si>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</si>
  <si>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</si>
  <si>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</si>
  <si>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</si>
  <si>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</si>
  <si>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</si>
  <si>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</si>
  <si>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</si>
  <si>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</si>
  <si>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</si>
  <si>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</si>
  <si>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</si>
  <si>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</si>
  <si>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</si>
  <si>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</si>
  <si>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</si>
  <si>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</si>
  <si>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</si>
  <si>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</si>
  <si>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</si>
  <si>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</si>
  <si>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</si>
  <si>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</si>
  <si>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</si>
  <si>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</si>
  <si>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</si>
  <si>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</si>
  <si>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</si>
  <si>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</si>
  <si>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</si>
  <si>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</si>
  <si>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</si>
  <si>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</si>
  <si>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</si>
  <si>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</si>
  <si>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</si>
  <si>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</si>
  <si>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</si>
  <si>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</si>
  <si>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</si>
  <si>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</si>
  <si>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</si>
  <si>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</si>
  <si>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</si>
  <si>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</si>
  <si>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</si>
  <si>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</si>
  <si>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</si>
  <si>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</si>
  <si>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</si>
  <si>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</si>
  <si>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</si>
  <si>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</si>
  <si>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</si>
  <si>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</si>
  <si>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</si>
  <si>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</si>
  <si>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</si>
  <si>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</si>
  <si>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</si>
  <si>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</si>
  <si>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</si>
  <si>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</si>
  <si>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</si>
  <si>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</si>
  <si>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</si>
  <si>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</si>
  <si>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</si>
  <si>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</si>
  <si>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</si>
  <si>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</si>
  <si>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</si>
  <si>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</si>
  <si>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</si>
  <si>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</si>
  <si>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</si>
  <si>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</si>
  <si>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</si>
  <si>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</si>
  <si>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</si>
  <si>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</si>
  <si>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</si>
  <si>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</si>
  <si>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</si>
  <si>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</si>
  <si>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</si>
  <si>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</si>
  <si>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</si>
  <si>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</si>
  <si>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</si>
  <si>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</si>
  <si>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</si>
  <si>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</si>
  <si>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</si>
  <si>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</si>
  <si>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</si>
  <si>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</si>
  <si>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</si>
  <si>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</si>
  <si>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</si>
  <si>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</si>
  <si>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</si>
  <si>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</si>
  <si>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</si>
  <si>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</si>
  <si>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</si>
  <si>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</si>
  <si>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</si>
  <si>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</si>
  <si>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</si>
  <si>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</si>
  <si>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</si>
  <si>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</si>
  <si>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</si>
  <si>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</si>
  <si>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</si>
  <si>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</si>
  <si>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</si>
  <si>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</si>
  <si>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</si>
  <si>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</si>
  <si>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</si>
  <si>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</si>
  <si>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</si>
  <si>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</si>
  <si>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</si>
  <si>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</si>
  <si>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</si>
  <si>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</si>
  <si>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</si>
  <si>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</si>
  <si>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</si>
  <si>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</si>
  <si>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</si>
  <si>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</si>
  <si>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</si>
  <si>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</si>
  <si>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</si>
  <si>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</si>
  <si>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</si>
  <si>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</si>
  <si>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</si>
  <si>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</si>
  <si>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</si>
  <si>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</si>
  <si>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</si>
  <si>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</si>
  <si>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</si>
  <si>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</si>
  <si>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</si>
  <si>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</si>
  <si>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</si>
  <si>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</si>
  <si>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</si>
  <si>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</si>
  <si>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</si>
  <si>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</si>
  <si>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</si>
  <si>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</si>
  <si>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</si>
  <si>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</si>
  <si>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</si>
  <si>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</si>
  <si>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</si>
  <si>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</si>
  <si>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</si>
  <si>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</si>
  <si>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</si>
  <si>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</si>
  <si>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</si>
  <si>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</si>
  <si>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</si>
  <si>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</si>
  <si>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</si>
  <si>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</si>
  <si>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</si>
  <si>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</si>
  <si>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</si>
  <si>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</si>
  <si>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</si>
  <si>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</si>
  <si>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</si>
  <si>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</si>
  <si>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</si>
  <si>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</si>
  <si>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</si>
  <si>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</si>
  <si>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</si>
  <si>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</si>
  <si>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</si>
  <si>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</si>
  <si>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</si>
  <si>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</si>
  <si>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</si>
  <si>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</si>
  <si>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</si>
  <si>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</si>
  <si>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</si>
  <si>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</si>
  <si>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</si>
  <si>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</si>
  <si>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</si>
  <si>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</si>
  <si>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</si>
  <si>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</si>
  <si>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</si>
  <si>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</si>
  <si>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</si>
  <si>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</si>
  <si>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</si>
  <si>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</si>
  <si>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</si>
  <si>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</si>
  <si>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</si>
  <si>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</si>
  <si>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</si>
  <si>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</si>
  <si>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</si>
  <si>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</si>
  <si>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</si>
  <si>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</si>
  <si>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</si>
  <si>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</si>
  <si>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</si>
  <si>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</si>
  <si>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</si>
  <si>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</si>
  <si>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</si>
  <si>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</si>
  <si>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</si>
  <si>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</si>
  <si>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</si>
  <si>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</si>
  <si>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</si>
  <si>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</si>
  <si>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</si>
  <si>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</si>
  <si>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</si>
  <si>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</si>
  <si>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</si>
  <si>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</si>
  <si>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</si>
  <si>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</si>
  <si>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</si>
  <si>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</si>
  <si>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</si>
  <si>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</si>
  <si>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</si>
  <si>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</si>
  <si>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</si>
  <si>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</si>
  <si>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</si>
  <si>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</si>
  <si>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</si>
  <si>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</si>
  <si>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</si>
  <si>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</si>
  <si>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</si>
  <si>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</si>
  <si>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</si>
  <si>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</si>
  <si>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</si>
  <si>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</si>
  <si>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</si>
  <si>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</si>
  <si>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</si>
  <si>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</si>
  <si>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</si>
  <si>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</si>
  <si>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</si>
  <si>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</si>
  <si>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</si>
  <si>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</si>
  <si>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</si>
  <si>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</si>
  <si>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</si>
  <si>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</si>
  <si>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</si>
  <si>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</si>
  <si>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</si>
  <si>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</si>
  <si>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</si>
  <si>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</si>
  <si>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</si>
  <si>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</si>
  <si>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</si>
  <si>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</si>
  <si>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</si>
  <si>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</si>
  <si>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</si>
  <si>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</si>
  <si>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</si>
  <si>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</si>
  <si>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</si>
  <si>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</si>
  <si>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</si>
  <si>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</si>
  <si>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</si>
  <si>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</si>
  <si>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</si>
  <si>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</si>
  <si>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</si>
  <si>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</si>
  <si>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</si>
  <si>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</si>
  <si>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</si>
  <si>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</si>
  <si>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</si>
  <si>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</si>
  <si>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</si>
  <si>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</si>
  <si>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</si>
  <si>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</si>
  <si>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</si>
  <si>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</si>
  <si>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</si>
  <si>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</si>
  <si>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</si>
  <si>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</si>
  <si>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</si>
  <si>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</si>
  <si>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</si>
  <si>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</si>
  <si>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</si>
  <si>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</si>
  <si>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</si>
  <si>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</si>
  <si>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</si>
  <si>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</si>
  <si>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</si>
  <si>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</si>
  <si>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</si>
  <si>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</si>
  <si>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</si>
  <si>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</si>
  <si>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</si>
  <si>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</si>
  <si>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</si>
  <si>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</si>
  <si>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</si>
  <si>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</si>
  <si>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</si>
  <si>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</si>
  <si>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</si>
  <si>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</si>
  <si>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</si>
  <si>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</si>
  <si>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</si>
  <si>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</si>
  <si>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</si>
  <si>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</si>
  <si>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</si>
  <si>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</si>
  <si>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</si>
  <si>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</si>
  <si>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</si>
  <si>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</si>
  <si>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</si>
  <si>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</si>
  <si>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</si>
  <si>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</si>
  <si>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</si>
  <si>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</si>
  <si>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</si>
  <si>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</si>
  <si>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</si>
  <si>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</si>
  <si>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</si>
  <si>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</si>
  <si>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</si>
  <si>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</si>
  <si>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</si>
  <si>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</si>
  <si>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</si>
  <si>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</si>
  <si>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</si>
  <si>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</si>
  <si>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</si>
  <si>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</si>
  <si>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</si>
  <si>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</si>
  <si>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</si>
  <si>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</si>
  <si>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</si>
  <si>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</si>
  <si>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</si>
  <si>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</si>
  <si>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</si>
  <si>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</si>
  <si>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</si>
  <si>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</si>
  <si>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</si>
  <si>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</si>
  <si>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</si>
  <si>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</si>
  <si>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</si>
  <si>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</si>
  <si>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</si>
  <si>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</si>
  <si>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</si>
  <si>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</si>
  <si>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</si>
  <si>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</si>
  <si>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</si>
  <si>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</si>
  <si>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</si>
  <si>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</si>
  <si>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</si>
  <si>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</si>
  <si>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</si>
  <si>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</si>
  <si>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</si>
  <si>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</si>
  <si>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</si>
  <si>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</si>
  <si>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</si>
  <si>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</si>
  <si>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</si>
  <si>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</si>
  <si>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</si>
  <si>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</si>
  <si>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</si>
  <si>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</si>
  <si>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</si>
  <si>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</si>
  <si>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</si>
  <si>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</si>
  <si>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</si>
  <si>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</si>
  <si>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</si>
  <si>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</si>
  <si>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</si>
  <si>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</si>
  <si>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</si>
  <si>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</si>
  <si>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</si>
  <si>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</si>
  <si>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</si>
  <si>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</si>
  <si>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</si>
  <si>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</si>
  <si>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</si>
  <si>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</si>
  <si>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</si>
  <si>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</si>
  <si>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</si>
  <si>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</si>
  <si>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</si>
  <si>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</si>
  <si>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</si>
  <si>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</si>
  <si>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</si>
  <si>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</si>
  <si>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</si>
  <si>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</si>
  <si>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</si>
  <si>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</si>
  <si>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</si>
  <si>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</si>
  <si>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</si>
  <si>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</si>
  <si>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</si>
  <si>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</si>
  <si>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</si>
  <si>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</si>
  <si>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</si>
  <si>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</si>
  <si>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</si>
  <si>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</si>
  <si>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</si>
  <si>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</si>
  <si>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</si>
  <si>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</si>
  <si>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</si>
  <si>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</si>
  <si>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</si>
  <si>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</si>
  <si>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</si>
  <si>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</si>
  <si>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</si>
  <si>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</si>
  <si>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</si>
  <si>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</si>
  <si>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</si>
  <si>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</si>
  <si>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</si>
  <si>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</si>
  <si>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</si>
  <si>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</si>
  <si>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</si>
  <si>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</si>
  <si>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</si>
  <si>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</si>
  <si>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</si>
  <si>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</si>
  <si>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</si>
  <si>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</si>
  <si>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</si>
  <si>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</si>
  <si>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</si>
  <si>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</si>
  <si>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</si>
  <si>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</si>
  <si>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</si>
  <si>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</si>
  <si>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</si>
  <si>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</si>
  <si>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</si>
  <si>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</si>
  <si>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</si>
  <si>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</si>
  <si>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</si>
  <si>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</si>
  <si>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</si>
  <si>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</si>
  <si>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</si>
  <si>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</si>
  <si>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</si>
  <si>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</si>
  <si>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</si>
  <si>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</si>
  <si>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</si>
  <si>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</si>
  <si>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</si>
  <si>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</si>
  <si>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</si>
  <si>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</si>
  <si>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</si>
  <si>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</si>
  <si>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</si>
  <si>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</si>
  <si>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</si>
  <si>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</si>
  <si>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</si>
  <si>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</si>
  <si>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</si>
  <si>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</si>
  <si>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</si>
  <si>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</si>
  <si>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</si>
  <si>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</si>
  <si>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</si>
  <si>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</si>
  <si>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</si>
  <si>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</si>
  <si>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</si>
  <si>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</si>
  <si>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</si>
  <si>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</si>
  <si>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</si>
  <si>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</si>
  <si>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</si>
  <si>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</si>
  <si>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</si>
  <si>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</si>
  <si>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</si>
  <si>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</si>
  <si>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</si>
  <si>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</si>
  <si>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</si>
  <si>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</si>
  <si>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</si>
  <si>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</si>
  <si>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</si>
  <si>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</si>
  <si>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</si>
  <si>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</si>
  <si>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</si>
  <si>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</si>
  <si>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</si>
  <si>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</si>
  <si>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</si>
  <si>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</si>
  <si>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</si>
  <si>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</si>
  <si>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</si>
  <si>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</si>
  <si>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</si>
  <si>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</si>
  <si>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</si>
  <si>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</si>
  <si>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</si>
  <si>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</si>
  <si>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</si>
  <si>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</si>
  <si>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</si>
  <si>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</si>
  <si>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</si>
  <si>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</si>
  <si>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</si>
  <si>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</si>
  <si>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</si>
  <si>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</si>
  <si>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</si>
  <si>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</si>
  <si>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</si>
  <si>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</si>
  <si>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</si>
  <si>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</si>
  <si>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</si>
  <si>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</si>
  <si>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</si>
  <si>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</si>
  <si>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</si>
  <si>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</si>
  <si>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</si>
  <si>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</si>
  <si>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</si>
  <si>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</si>
  <si>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</si>
  <si>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</si>
  <si>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</si>
  <si>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</si>
  <si>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</si>
  <si>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</si>
  <si>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</si>
  <si>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</si>
  <si>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</si>
  <si>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</si>
  <si>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</si>
  <si>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</si>
  <si>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</si>
  <si>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</si>
  <si>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</si>
  <si>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</si>
  <si>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</si>
  <si>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</si>
  <si>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</si>
  <si>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</si>
  <si>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</si>
  <si>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</si>
  <si>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</si>
  <si>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</si>
  <si>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</si>
  <si>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</si>
  <si>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</si>
  <si>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</si>
  <si>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</si>
  <si>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</si>
  <si>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</si>
  <si>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</si>
  <si>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</si>
  <si>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</si>
  <si>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</si>
  <si>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</si>
  <si>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</si>
  <si>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</si>
  <si>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</si>
  <si>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</si>
  <si>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</si>
  <si>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</si>
  <si>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</si>
  <si>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</si>
  <si>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</si>
  <si>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</si>
  <si>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</si>
  <si>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</si>
  <si>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</si>
  <si>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</si>
  <si>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</si>
  <si>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</si>
  <si>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</si>
  <si>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</si>
  <si>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</si>
  <si>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</si>
  <si>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</si>
  <si>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</si>
  <si>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</si>
  <si>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</si>
  <si>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</si>
  <si>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</si>
  <si>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</si>
  <si>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</si>
  <si>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</si>
  <si>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</si>
  <si>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</si>
  <si>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</si>
  <si>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</si>
  <si>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</si>
  <si>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</si>
  <si>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</si>
  <si>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</si>
  <si>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</si>
  <si>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</si>
  <si>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</si>
  <si>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</si>
  <si>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</si>
  <si>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</si>
  <si>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</si>
  <si>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</si>
  <si>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</si>
  <si>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</si>
  <si>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</si>
  <si>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</si>
  <si>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</si>
  <si>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</si>
  <si>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</si>
  <si>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</si>
  <si>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</si>
  <si>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</si>
  <si>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</si>
  <si>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</si>
  <si>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</si>
  <si>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</si>
  <si>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</si>
  <si>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</si>
  <si>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</si>
  <si>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</si>
  <si>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</si>
  <si>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</si>
  <si>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</si>
  <si>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</si>
  <si>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</si>
  <si>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</si>
  <si>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</si>
  <si>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</si>
  <si>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</si>
  <si>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</si>
  <si>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</si>
  <si>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</si>
  <si>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</si>
  <si>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</si>
  <si>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</si>
  <si>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</si>
  <si>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</si>
  <si>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</si>
  <si>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</si>
  <si>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</si>
  <si>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</si>
  <si>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</si>
  <si>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</si>
  <si>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</si>
  <si>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</si>
  <si>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</si>
  <si>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</si>
  <si>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</si>
  <si>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</si>
  <si>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</si>
  <si>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</si>
  <si>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</si>
  <si>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</si>
  <si>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</si>
  <si>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</si>
  <si>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</si>
  <si>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</si>
  <si>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</si>
  <si>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</si>
  <si>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</si>
  <si>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</si>
  <si>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</si>
  <si>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</si>
  <si>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</si>
  <si>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</si>
  <si>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</si>
  <si>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</si>
  <si>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</si>
  <si>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</si>
  <si>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</si>
  <si>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</si>
  <si>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</si>
  <si>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</si>
  <si>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</si>
  <si>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</si>
  <si>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</si>
  <si>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</si>
  <si>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</si>
  <si>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</si>
  <si>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</si>
  <si>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</si>
  <si>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</si>
  <si>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</si>
  <si>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</si>
  <si>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</si>
  <si>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</si>
  <si>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</si>
  <si>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</si>
  <si>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</si>
  <si>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</si>
  <si>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</si>
  <si>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</si>
  <si>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</si>
  <si>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</si>
  <si>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</si>
  <si>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</si>
  <si>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</si>
  <si>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</si>
  <si>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</si>
  <si>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</si>
  <si>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</si>
  <si>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</si>
  <si>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</si>
  <si>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</si>
  <si>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</si>
  <si>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</si>
  <si>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</si>
  <si>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</si>
  <si>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</si>
  <si>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</si>
  <si>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</si>
  <si>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</si>
  <si>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</si>
  <si>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</si>
  <si>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</si>
  <si>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</si>
  <si>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</si>
  <si>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</si>
  <si>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</si>
  <si>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</si>
  <si>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</si>
  <si>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</si>
  <si>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</si>
  <si>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</si>
  <si>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</si>
  <si>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</si>
  <si>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</si>
  <si>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</si>
  <si>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</si>
  <si>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</si>
  <si>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</si>
  <si>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</si>
  <si>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</si>
  <si>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</si>
  <si>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</si>
  <si>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</si>
  <si>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</si>
  <si>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</si>
  <si>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</si>
  <si>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</si>
  <si>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</si>
  <si>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</si>
  <si>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</si>
  <si>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</si>
  <si>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</si>
  <si>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</si>
  <si>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</si>
  <si>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</si>
  <si>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</si>
  <si>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</si>
  <si>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</si>
  <si>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</si>
  <si>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</si>
  <si>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</si>
  <si>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</si>
  <si>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</si>
  <si>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</si>
  <si>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</si>
  <si>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</si>
  <si>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</si>
  <si>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</si>
  <si>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</si>
  <si>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</si>
  <si>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</si>
  <si>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</si>
  <si>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</si>
  <si>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</si>
  <si>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</si>
  <si>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</si>
  <si>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</si>
  <si>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</si>
  <si>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</si>
  <si>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</si>
  <si>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</si>
  <si>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</si>
  <si>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</si>
  <si>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</si>
  <si>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</si>
  <si>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</si>
  <si>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</si>
  <si>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</si>
  <si>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</si>
  <si>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</si>
  <si>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</si>
  <si>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</si>
  <si>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</si>
  <si>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</si>
  <si>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</si>
  <si>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</si>
  <si>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</si>
  <si>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</si>
  <si>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</si>
  <si>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</si>
  <si>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</si>
  <si>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</si>
  <si>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</si>
  <si>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</si>
  <si>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</si>
  <si>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</si>
  <si>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</si>
  <si>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</si>
  <si>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</si>
  <si>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</si>
  <si>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</si>
  <si>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</si>
  <si>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</si>
  <si>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</si>
  <si>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</si>
  <si>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</si>
  <si>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</si>
  <si>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</si>
  <si>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</si>
  <si>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</si>
  <si>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</si>
  <si>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</si>
  <si>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</si>
  <si>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</si>
  <si>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</si>
  <si>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</si>
  <si>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</si>
  <si>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</si>
  <si>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</si>
  <si>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</si>
  <si>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</si>
  <si>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</si>
  <si>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</si>
  <si>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</si>
  <si>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</si>
  <si>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</si>
  <si>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</si>
  <si>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</si>
  <si>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</si>
  <si>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</si>
  <si>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</si>
  <si>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</si>
  <si>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</si>
  <si>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</si>
  <si>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</si>
  <si>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</si>
  <si>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</si>
  <si>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</si>
  <si>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</si>
  <si>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</si>
  <si>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</si>
  <si>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</si>
  <si>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</si>
  <si>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</si>
  <si>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</si>
  <si>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</si>
  <si>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</si>
  <si>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</si>
  <si>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</si>
  <si>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</si>
  <si>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</si>
  <si>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</si>
  <si>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</si>
  <si>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</si>
  <si>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</si>
  <si>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</si>
  <si>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</si>
  <si>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</si>
  <si>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</si>
  <si>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</si>
  <si>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</si>
  <si>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</si>
  <si>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</si>
  <si>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</si>
  <si>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</si>
  <si>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</si>
  <si>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</si>
  <si>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</si>
  <si>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</si>
  <si>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</si>
  <si>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</si>
  <si>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</si>
  <si>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</si>
  <si>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</si>
  <si>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</si>
  <si>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</si>
  <si>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</si>
  <si>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</si>
  <si>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</si>
  <si>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</si>
  <si>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</si>
  <si>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</si>
  <si>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</si>
  <si>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</si>
  <si>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</si>
  <si>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</si>
  <si>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</si>
  <si>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</si>
  <si>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</si>
  <si>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</si>
  <si>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</si>
  <si>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</si>
  <si>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</si>
  <si>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</si>
  <si>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</si>
  <si>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</si>
  <si>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</si>
  <si>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</si>
  <si>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</si>
  <si>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</si>
  <si>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</si>
  <si>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</si>
  <si>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</si>
  <si>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</si>
  <si>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</si>
  <si>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</si>
  <si>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</si>
  <si>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</si>
  <si>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</si>
  <si>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</si>
  <si>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</si>
  <si>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</si>
  <si>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</si>
  <si>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</si>
  <si>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</si>
  <si>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</si>
  <si>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</si>
  <si>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</si>
  <si>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</si>
  <si>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</si>
  <si>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</si>
  <si>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</si>
  <si>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</si>
  <si>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</si>
  <si>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</si>
  <si>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</si>
  <si>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</si>
  <si>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</si>
  <si>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</si>
  <si>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</si>
  <si>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</si>
  <si>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</si>
  <si>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</si>
  <si>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</si>
  <si>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</si>
  <si>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</si>
  <si>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</si>
  <si>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</si>
  <si>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</si>
  <si>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</si>
  <si>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</si>
  <si>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</si>
  <si>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</si>
  <si>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</si>
  <si>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</si>
  <si>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</si>
  <si>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</si>
  <si>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</si>
  <si>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</si>
  <si>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</si>
  <si>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</si>
  <si>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</si>
  <si>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</si>
  <si>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</si>
  <si>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</si>
  <si>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</si>
  <si>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</si>
  <si>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</si>
  <si>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</si>
  <si>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</si>
  <si>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</si>
  <si>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</si>
  <si>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</si>
  <si>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</si>
  <si>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</si>
  <si>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</si>
  <si>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</si>
  <si>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</si>
  <si>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</si>
  <si>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</si>
  <si>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</si>
  <si>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</si>
  <si>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</si>
  <si>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</si>
  <si>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</si>
  <si>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</si>
  <si>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</si>
  <si>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</si>
  <si>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</si>
  <si>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</si>
  <si>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</si>
  <si>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</si>
  <si>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</si>
  <si>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</si>
  <si>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</si>
  <si>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</si>
  <si>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</si>
  <si>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</si>
  <si>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</si>
  <si>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</si>
  <si>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</si>
  <si>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</si>
  <si>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</si>
  <si>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</si>
  <si>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</si>
  <si>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</si>
  <si>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</si>
  <si>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</si>
  <si>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</si>
  <si>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</si>
  <si>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</si>
  <si>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</si>
  <si>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</si>
  <si>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</si>
  <si>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</si>
  <si>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</si>
  <si>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</si>
  <si>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</si>
  <si>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</si>
  <si>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</si>
  <si>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</si>
  <si>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</si>
  <si>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</si>
  <si>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</si>
  <si>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</si>
  <si>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</si>
  <si>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</si>
  <si>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</si>
  <si>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</si>
  <si>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</si>
  <si>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</si>
  <si>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</si>
  <si>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</si>
  <si>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</si>
  <si>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</si>
  <si>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</si>
  <si>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</si>
  <si>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</si>
  <si>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</si>
  <si>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</si>
  <si>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</si>
  <si>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</si>
  <si>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</si>
  <si>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</si>
  <si>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</si>
  <si>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</si>
  <si>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</si>
  <si>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</si>
  <si>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</si>
  <si>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</si>
  <si>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</si>
  <si>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</si>
  <si>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</si>
  <si>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</si>
  <si>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</si>
  <si>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</si>
  <si>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</si>
  <si>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</si>
  <si>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</si>
  <si>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</si>
  <si>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</si>
  <si>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</si>
  <si>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</si>
  <si>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</si>
  <si>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</si>
  <si>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</si>
  <si>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</si>
  <si>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</si>
  <si>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</si>
  <si>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</si>
  <si>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</si>
  <si>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</si>
  <si>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</si>
  <si>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</si>
  <si>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</si>
  <si>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</si>
  <si>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</si>
  <si>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</si>
  <si>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</si>
  <si>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</si>
  <si>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</si>
  <si>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</si>
  <si>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</si>
  <si>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</si>
  <si>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</si>
  <si>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</si>
  <si>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</si>
  <si>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</si>
  <si>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</si>
  <si>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</si>
  <si>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</si>
  <si>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</si>
  <si>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</si>
  <si>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</si>
  <si>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</si>
  <si>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</si>
  <si>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</si>
  <si>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</si>
  <si>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</si>
  <si>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</si>
  <si>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</si>
  <si>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</si>
  <si>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</si>
  <si>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</si>
  <si>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</si>
  <si>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</si>
  <si>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</si>
  <si>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</si>
  <si>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</si>
  <si>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</si>
  <si>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</si>
  <si>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</si>
  <si>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</si>
  <si>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</si>
  <si>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</si>
  <si>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</si>
  <si>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</si>
  <si>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</si>
  <si>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</si>
  <si>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</si>
  <si>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</si>
  <si>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</si>
  <si>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</si>
  <si>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</si>
  <si>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</si>
  <si>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</si>
  <si>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</si>
  <si>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</si>
  <si>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</si>
  <si>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</si>
  <si>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</si>
  <si>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</si>
  <si>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</si>
  <si>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</si>
  <si>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</si>
  <si>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</si>
  <si>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</si>
  <si>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</si>
  <si>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</si>
  <si>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</si>
  <si>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</si>
  <si>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</si>
  <si>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</si>
  <si>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</si>
  <si>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</si>
  <si>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</si>
  <si>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</si>
  <si>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</si>
  <si>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</si>
  <si>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</si>
  <si>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</si>
  <si>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</si>
  <si>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</si>
  <si>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</si>
  <si>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</si>
  <si>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</si>
  <si>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</si>
  <si>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</si>
  <si>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</si>
  <si>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</si>
  <si>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</si>
  <si>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</si>
  <si>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</si>
  <si>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</si>
  <si>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</si>
  <si>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</si>
  <si>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</si>
  <si>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</si>
  <si>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</si>
  <si>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</si>
  <si>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</si>
  <si>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</si>
  <si>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</si>
  <si>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</si>
  <si>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</si>
  <si>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</si>
  <si>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</si>
  <si>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</si>
  <si>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</si>
  <si>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</si>
  <si>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</si>
  <si>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</si>
  <si>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</si>
  <si>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</si>
  <si>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</si>
  <si>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</si>
  <si>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</si>
  <si>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</si>
  <si>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</si>
  <si>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</si>
  <si>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</si>
  <si>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</si>
  <si>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</si>
  <si>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</si>
  <si>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</si>
  <si>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</si>
  <si>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</si>
  <si>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</si>
  <si>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</si>
  <si>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</si>
  <si>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</si>
  <si>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</si>
  <si>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</si>
  <si>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</si>
  <si>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</si>
  <si>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</si>
  <si>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</si>
  <si>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</si>
  <si>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</si>
  <si>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</si>
  <si>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</si>
  <si>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</si>
  <si>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</si>
  <si>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</si>
  <si>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</si>
  <si>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</si>
  <si>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</si>
  <si>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</si>
  <si>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</si>
  <si>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</si>
  <si>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</si>
  <si>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</si>
  <si>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</si>
  <si>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</si>
  <si>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</si>
  <si>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</si>
  <si>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</si>
  <si>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</si>
  <si>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</si>
  <si>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</si>
  <si>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</si>
  <si>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</si>
  <si>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</si>
  <si>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</si>
  <si>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</si>
  <si>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</si>
  <si>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</si>
  <si>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</si>
  <si>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</si>
  <si>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</si>
  <si>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</si>
  <si>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</si>
  <si>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</si>
  <si>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</si>
  <si>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</si>
  <si>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</si>
  <si>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</si>
  <si>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</si>
  <si>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</si>
  <si>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</si>
  <si>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</si>
  <si>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</si>
  <si>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</si>
  <si>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</si>
  <si>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</si>
  <si>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</si>
  <si>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</si>
  <si>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</si>
  <si>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</si>
  <si>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</si>
  <si>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</si>
  <si>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</si>
  <si>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</si>
  <si>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</si>
  <si>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</si>
  <si>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</si>
  <si>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</si>
  <si>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</si>
  <si>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</si>
  <si>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</si>
  <si>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</si>
  <si>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</si>
  <si>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</si>
  <si>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</si>
  <si>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</si>
  <si>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</si>
  <si>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</si>
  <si>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</si>
  <si>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</si>
  <si>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</si>
  <si>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</si>
  <si>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</si>
  <si>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</si>
  <si>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</si>
  <si>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</si>
  <si>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</si>
  <si>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</si>
  <si>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</si>
  <si>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</si>
  <si>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</si>
  <si>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</si>
  <si>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</si>
  <si>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</si>
  <si>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</si>
  <si>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</si>
  <si>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</si>
  <si>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</si>
  <si>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</si>
  <si>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</si>
  <si>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</si>
  <si>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</si>
  <si>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</si>
  <si>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</si>
  <si>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</si>
  <si>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</si>
  <si>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</si>
  <si>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</si>
  <si>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</si>
  <si>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</si>
  <si>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</si>
  <si>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</si>
  <si>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</si>
  <si>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</si>
  <si>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</si>
  <si>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</si>
  <si>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</si>
  <si>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</si>
  <si>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</si>
  <si>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</si>
  <si>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</si>
  <si>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</si>
  <si>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</si>
  <si>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</si>
  <si>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</si>
  <si>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</si>
  <si>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</si>
  <si>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</si>
  <si>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</si>
  <si>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</si>
  <si>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</si>
  <si>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</si>
  <si>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</si>
  <si>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</si>
  <si>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</si>
  <si>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</si>
  <si>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</si>
  <si>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</si>
  <si>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</si>
  <si>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</si>
  <si>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</si>
  <si>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</si>
  <si>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</si>
  <si>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</si>
  <si>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</si>
  <si>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</si>
  <si>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</si>
  <si>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</si>
  <si>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</si>
  <si>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</si>
  <si>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</si>
  <si>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</si>
  <si>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</si>
  <si>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</si>
  <si>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</si>
  <si>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</si>
  <si>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</si>
  <si>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</si>
  <si>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</si>
  <si>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</si>
  <si>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</si>
  <si>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</si>
  <si>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</si>
  <si>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</si>
  <si>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</si>
  <si>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</si>
  <si>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</si>
  <si>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</si>
  <si>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</si>
  <si>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</si>
  <si>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</si>
  <si>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</si>
  <si>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</si>
  <si>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</si>
  <si>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</si>
  <si>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</si>
  <si>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</si>
  <si>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</si>
  <si>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</si>
  <si>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</si>
  <si>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</si>
  <si>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</si>
  <si>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</si>
  <si>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</si>
  <si>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</si>
  <si>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</si>
  <si>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</si>
  <si>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</si>
  <si>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</si>
  <si>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</si>
  <si>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</si>
  <si>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</si>
  <si>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</si>
  <si>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</si>
  <si>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</si>
  <si>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</si>
  <si>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</si>
  <si>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</si>
  <si>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</si>
  <si>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</si>
  <si>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</si>
  <si>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</si>
  <si>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</si>
  <si>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</si>
  <si>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</si>
  <si>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</si>
  <si>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</si>
  <si>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</si>
  <si>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</si>
  <si>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</si>
  <si>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</si>
  <si>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</si>
  <si>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</si>
  <si>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</si>
  <si>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</si>
  <si>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</si>
  <si>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</si>
  <si>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</si>
  <si>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</si>
  <si>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</si>
  <si>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</si>
  <si>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</si>
  <si>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</si>
  <si>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</si>
  <si>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</si>
  <si>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</si>
  <si>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</si>
  <si>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</si>
  <si>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</si>
  <si>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</si>
  <si>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</si>
  <si>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</si>
  <si>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</si>
  <si>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</si>
  <si>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</si>
  <si>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</si>
  <si>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</si>
  <si>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</si>
  <si>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</si>
  <si>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</si>
  <si>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</si>
  <si>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</si>
  <si>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</si>
  <si>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</si>
  <si>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</si>
  <si>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</si>
  <si>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</si>
  <si>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</si>
  <si>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</si>
  <si>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</si>
  <si>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</si>
  <si>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</si>
  <si>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</si>
  <si>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</si>
  <si>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</si>
  <si>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</si>
  <si>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</si>
  <si>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</si>
  <si>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</si>
  <si>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</si>
  <si>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</si>
  <si>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</si>
  <si>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</si>
  <si>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</si>
  <si>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</si>
  <si>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</si>
  <si>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</si>
  <si>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</si>
  <si>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</si>
  <si>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</si>
  <si>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</si>
  <si>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</si>
  <si>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</si>
  <si>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</si>
  <si>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</si>
  <si>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</si>
  <si>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</si>
  <si>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</si>
  <si>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</si>
  <si>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</si>
  <si>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</si>
  <si>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</si>
  <si>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</si>
  <si>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</si>
  <si>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</si>
  <si>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</si>
  <si>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</si>
  <si>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</si>
  <si>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</si>
  <si>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</si>
  <si>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</si>
  <si>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</si>
  <si>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</si>
  <si>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</si>
  <si>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</si>
  <si>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</si>
  <si>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</si>
  <si>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</si>
  <si>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</si>
  <si>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</si>
  <si>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</si>
  <si>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</si>
  <si>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</si>
  <si>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</si>
  <si>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</si>
  <si>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</si>
  <si>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</si>
  <si>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</si>
  <si>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</si>
  <si>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</si>
  <si>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</si>
  <si>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</si>
  <si>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</si>
  <si>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</si>
  <si>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</si>
  <si>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</si>
  <si>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</si>
  <si>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</si>
  <si>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</si>
  <si>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</si>
  <si>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</si>
  <si>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</si>
  <si>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</si>
  <si>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</si>
  <si>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</si>
  <si>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</si>
  <si>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</si>
  <si>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</si>
  <si>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</si>
  <si>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</si>
  <si>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</si>
  <si>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</si>
  <si>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</si>
  <si>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</si>
  <si>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</si>
  <si>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</si>
  <si>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</si>
  <si>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</si>
  <si>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</si>
  <si>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</si>
  <si>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</si>
  <si>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</si>
  <si>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</si>
  <si>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</si>
  <si>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</si>
  <si>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</si>
  <si>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</si>
  <si>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</si>
  <si>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</si>
  <si>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</si>
  <si>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</si>
  <si>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</si>
  <si>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</si>
  <si>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</si>
  <si>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</si>
  <si>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</si>
  <si>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</si>
  <si>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</si>
  <si>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</si>
  <si>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</si>
  <si>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</si>
  <si>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</si>
  <si>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</si>
  <si>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</si>
  <si>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</si>
  <si>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</si>
  <si>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</si>
  <si>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</si>
  <si>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</si>
  <si>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</si>
  <si>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</si>
  <si>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</si>
  <si>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</si>
  <si>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</si>
  <si>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</si>
  <si>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</si>
  <si>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</si>
  <si>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</si>
  <si>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</si>
  <si>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</si>
  <si>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</si>
  <si>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</si>
  <si>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</si>
  <si>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</si>
  <si>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</si>
  <si>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</si>
  <si>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</si>
  <si>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</si>
  <si>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</si>
  <si>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</si>
  <si>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</si>
  <si>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</si>
  <si>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</si>
  <si>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</si>
  <si>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</si>
  <si>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</si>
  <si>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</si>
  <si>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</si>
  <si>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</si>
  <si>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</si>
  <si>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</si>
  <si>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</si>
  <si>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</si>
  <si>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</si>
  <si>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</si>
  <si>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</si>
  <si>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</si>
  <si>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</si>
  <si>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</si>
  <si>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</si>
  <si>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</si>
  <si>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</si>
  <si>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</si>
  <si>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</si>
  <si>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</si>
  <si>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</si>
  <si>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</si>
  <si>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</si>
  <si>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</si>
  <si>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</si>
  <si>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</si>
  <si>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</si>
  <si>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</si>
  <si>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</si>
  <si>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</si>
  <si>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</si>
  <si>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</si>
  <si>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</si>
  <si>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</si>
  <si>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</si>
  <si>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</si>
  <si>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</si>
  <si>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</si>
  <si>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</si>
  <si>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</si>
  <si>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</si>
  <si>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</si>
  <si>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</si>
  <si>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</si>
  <si>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</si>
  <si>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</si>
  <si>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</si>
  <si>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</si>
  <si>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</si>
  <si>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</si>
  <si>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</si>
  <si>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</si>
  <si>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</si>
  <si>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</si>
  <si>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</si>
  <si>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</si>
  <si>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</si>
  <si>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</si>
  <si>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</si>
  <si>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</si>
  <si>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</si>
  <si>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</si>
  <si>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</si>
  <si>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</si>
  <si>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</si>
  <si>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</si>
  <si>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</si>
  <si>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</si>
  <si>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</si>
  <si>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</si>
  <si>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</si>
  <si>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</si>
  <si>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</si>
  <si>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</si>
  <si>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</si>
  <si>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</si>
  <si>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</si>
  <si>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</si>
  <si>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</si>
  <si>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</si>
  <si>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</si>
  <si>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</si>
  <si>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</si>
  <si>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</si>
  <si>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</si>
  <si>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</si>
  <si>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</si>
  <si>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</si>
  <si>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</si>
  <si>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</si>
  <si>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</si>
  <si>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</si>
  <si>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</si>
  <si>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</si>
  <si>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</si>
  <si>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</si>
  <si>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</si>
  <si>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</si>
  <si>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</si>
  <si>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</si>
  <si>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</si>
  <si>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</si>
  <si>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</si>
  <si>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</si>
  <si>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</si>
  <si>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</si>
  <si>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</si>
  <si>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</si>
  <si>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</si>
  <si>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</si>
  <si>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</si>
  <si>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</si>
  <si>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</si>
  <si>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</si>
  <si>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</si>
  <si>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</si>
  <si>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</si>
  <si>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</si>
  <si>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</si>
  <si>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</si>
  <si>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</si>
  <si>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</si>
  <si>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</si>
  <si>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</si>
  <si>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</si>
  <si>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</si>
  <si>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</si>
  <si>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</si>
  <si>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</si>
  <si>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</si>
  <si>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</si>
  <si>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</si>
  <si>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</si>
  <si>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</si>
  <si>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</si>
  <si>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</si>
  <si>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</si>
  <si>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</si>
  <si>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</si>
  <si>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</si>
  <si>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</si>
  <si>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</si>
  <si>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</si>
  <si>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</si>
  <si>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</si>
  <si>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</si>
  <si>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</si>
  <si>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</si>
  <si>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</si>
  <si>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</si>
  <si>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</si>
  <si>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</si>
  <si>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</si>
  <si>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</si>
  <si>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</si>
  <si>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</si>
  <si>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</si>
  <si>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</si>
  <si>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</si>
  <si>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</si>
  <si>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</si>
  <si>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</si>
  <si>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</si>
  <si>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</si>
  <si>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</si>
  <si>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</si>
  <si>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</si>
  <si>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</si>
  <si>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</si>
  <si>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</si>
  <si>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</si>
  <si>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</si>
  <si>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</si>
  <si>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</si>
  <si>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</si>
  <si>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</si>
  <si>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</si>
  <si>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</si>
  <si>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</si>
  <si>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</si>
  <si>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</si>
  <si>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</si>
  <si>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</si>
  <si>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</si>
  <si>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</si>
  <si>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</si>
  <si>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</si>
  <si>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</si>
  <si>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</si>
  <si>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</si>
  <si>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</si>
  <si>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</si>
  <si>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</si>
  <si>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</si>
  <si>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</si>
  <si>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</si>
  <si>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</si>
  <si>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</si>
  <si>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</si>
  <si>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</si>
  <si>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</si>
  <si>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</si>
  <si>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</si>
  <si>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</si>
  <si>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</si>
  <si>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</si>
  <si>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</si>
  <si>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</si>
  <si>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</si>
  <si>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</si>
  <si>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</si>
  <si>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</si>
  <si>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</si>
  <si>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</si>
  <si>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</si>
  <si>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</si>
  <si>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</si>
  <si>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</si>
  <si>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</si>
  <si>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</si>
  <si>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</si>
  <si>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</si>
  <si>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</si>
  <si>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</si>
  <si>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</si>
  <si>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</si>
  <si>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</si>
  <si>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</si>
  <si>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</si>
  <si>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</si>
  <si>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</si>
  <si>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</si>
  <si>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</si>
  <si>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</si>
  <si>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</si>
  <si>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</si>
  <si>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</si>
  <si>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</si>
  <si>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</si>
  <si>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</si>
  <si>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</si>
  <si>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</si>
  <si>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</si>
  <si>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</si>
  <si>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</si>
  <si>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</si>
  <si>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</si>
  <si>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</si>
  <si>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</si>
  <si>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</si>
  <si>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</si>
  <si>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</si>
  <si>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</si>
  <si>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</si>
  <si>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</si>
  <si>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</si>
  <si>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</si>
  <si>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</si>
  <si>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</si>
  <si>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</si>
  <si>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</si>
  <si>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</si>
  <si>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</si>
  <si>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</si>
  <si>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</si>
  <si>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</si>
  <si>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</si>
  <si>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</si>
  <si>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</si>
  <si>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</si>
  <si>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</si>
  <si>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</si>
  <si>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</si>
  <si>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</si>
  <si>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</si>
  <si>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</si>
  <si>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</si>
  <si>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</si>
  <si>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</si>
  <si>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</si>
  <si>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</si>
  <si>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</si>
  <si>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</si>
  <si>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</si>
  <si>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</si>
  <si>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</si>
  <si>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</si>
  <si>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</si>
  <si>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</si>
  <si>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</si>
  <si>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</si>
  <si>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</si>
  <si>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</si>
  <si>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</si>
  <si>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</si>
  <si>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</si>
  <si>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</si>
  <si>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</si>
  <si>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</si>
  <si>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</si>
  <si>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</si>
  <si>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</si>
  <si>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</si>
  <si>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</si>
  <si>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</si>
  <si>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</si>
  <si>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</si>
  <si>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</si>
  <si>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</si>
  <si>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</si>
  <si>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</si>
  <si>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</si>
  <si>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</si>
  <si>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</si>
  <si>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</si>
  <si>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</si>
  <si>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</si>
  <si>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</si>
  <si>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</si>
  <si>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</si>
  <si>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</si>
  <si>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</si>
  <si>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</si>
  <si>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</si>
  <si>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</si>
  <si>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</si>
  <si>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</si>
  <si>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</si>
  <si>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</si>
  <si>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</si>
  <si>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</si>
  <si>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</si>
  <si>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</si>
  <si>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</si>
  <si>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</si>
  <si>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</si>
  <si>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</si>
  <si>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</si>
  <si>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</si>
  <si>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</si>
  <si>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</si>
  <si>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</si>
  <si>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</si>
  <si>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</si>
  <si>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</si>
  <si>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</si>
  <si>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</si>
  <si>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</si>
  <si>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</si>
  <si>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</si>
  <si>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</si>
  <si>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</si>
  <si>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</si>
  <si>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</si>
  <si>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</si>
  <si>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</si>
  <si>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</si>
  <si>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</si>
  <si>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</si>
  <si>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</si>
  <si>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</si>
  <si>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</si>
  <si>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</si>
  <si>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</si>
  <si>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</si>
  <si>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</si>
  <si>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</si>
  <si>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</si>
  <si>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</si>
  <si>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</si>
  <si>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</si>
  <si>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</si>
  <si>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</si>
  <si>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</si>
  <si>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</si>
  <si>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</si>
  <si>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</si>
  <si>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</si>
  <si>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</si>
  <si>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</si>
  <si>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</si>
  <si>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</si>
  <si>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</si>
  <si>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</si>
  <si>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</si>
  <si>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</si>
  <si>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</si>
  <si>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</si>
  <si>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</si>
  <si>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</si>
  <si>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</si>
  <si>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</si>
  <si>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</si>
  <si>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</si>
  <si>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</si>
  <si>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</si>
  <si>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</si>
  <si>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</si>
  <si>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</si>
  <si>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</si>
  <si>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</si>
  <si>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</si>
  <si>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</si>
  <si>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</si>
  <si>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</si>
  <si>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</si>
  <si>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</si>
  <si>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</si>
  <si>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</si>
  <si>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</si>
  <si>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</si>
  <si>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</si>
  <si>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</si>
  <si>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</si>
  <si>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</si>
  <si>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</si>
  <si>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</si>
  <si>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</si>
  <si>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</si>
  <si>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</si>
  <si>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</si>
  <si>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</si>
  <si>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</si>
  <si>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</si>
  <si>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</si>
  <si>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</si>
  <si>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</si>
  <si>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</si>
  <si>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</si>
  <si>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</si>
  <si>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</si>
  <si>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</si>
  <si>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</si>
  <si>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</si>
  <si>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</si>
  <si>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</si>
  <si>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</si>
  <si>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</si>
  <si>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</si>
  <si>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</si>
  <si>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</si>
  <si>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</si>
  <si>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</si>
  <si>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</si>
  <si>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</si>
  <si>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</si>
  <si>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</si>
  <si>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</si>
  <si>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</si>
  <si>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</si>
  <si>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</si>
  <si>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</si>
  <si>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</si>
  <si>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</si>
  <si>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</si>
  <si>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</si>
  <si>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</si>
  <si>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</si>
  <si>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</si>
  <si>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</si>
  <si>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</si>
  <si>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</si>
  <si>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</si>
  <si>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</si>
  <si>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</si>
  <si>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</si>
  <si>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</si>
  <si>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</si>
  <si>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</si>
  <si>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</si>
  <si>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</si>
  <si>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</si>
  <si>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</si>
  <si>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</si>
  <si>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</si>
  <si>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</si>
  <si>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</si>
  <si>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</si>
  <si>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</si>
  <si>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</si>
  <si>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</si>
  <si>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</si>
  <si>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</si>
  <si>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</si>
  <si>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</si>
  <si>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</si>
  <si>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</si>
  <si>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</si>
  <si>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</si>
  <si>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</si>
  <si>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</si>
  <si>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</si>
  <si>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</si>
  <si>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</si>
  <si>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</si>
  <si>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</si>
  <si>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</si>
  <si>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</si>
  <si>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</si>
  <si>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</si>
  <si>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</si>
  <si>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</si>
  <si>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</si>
  <si>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</si>
  <si>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</si>
  <si>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</si>
  <si>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</si>
  <si>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</si>
  <si>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</si>
  <si>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</si>
  <si>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</si>
  <si>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</si>
  <si>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</si>
  <si>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</si>
  <si>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</si>
  <si>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</si>
  <si>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</si>
  <si>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</si>
  <si>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</si>
  <si>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</si>
  <si>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</si>
  <si>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</si>
  <si>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</si>
  <si>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</si>
  <si>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</si>
  <si>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</si>
  <si>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</si>
  <si>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</si>
  <si>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</si>
  <si>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</si>
  <si>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</si>
  <si>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</si>
  <si>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</si>
  <si>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</si>
  <si>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</si>
  <si>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</si>
  <si>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</si>
  <si>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</si>
  <si>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</si>
  <si>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</si>
  <si>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</si>
  <si>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</si>
  <si>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</si>
  <si>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</si>
  <si>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</si>
  <si>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</si>
  <si>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</si>
  <si>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</si>
  <si>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</si>
  <si>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</si>
  <si>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</si>
  <si>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</si>
  <si>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</si>
  <si>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</si>
  <si>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</si>
  <si>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</si>
  <si>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</si>
  <si>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</si>
  <si>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</si>
  <si>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</si>
  <si>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</si>
  <si>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</si>
  <si>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</si>
  <si>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</si>
  <si>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</si>
  <si>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</si>
  <si>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</si>
  <si>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</si>
  <si>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</si>
  <si>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</si>
  <si>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</si>
  <si>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</si>
  <si>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</si>
  <si>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</si>
  <si>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</si>
  <si>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</si>
  <si>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</si>
  <si>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</si>
  <si>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</si>
  <si>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</si>
  <si>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</si>
  <si>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</si>
  <si>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</si>
  <si>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</si>
  <si>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</si>
  <si>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</si>
  <si>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</si>
  <si>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</si>
  <si>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</si>
  <si>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</si>
  <si>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</si>
  <si>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</si>
  <si>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</si>
  <si>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</si>
  <si>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</si>
  <si>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</si>
  <si>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</si>
  <si>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</si>
  <si>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</si>
  <si>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</si>
  <si>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</si>
  <si>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</si>
  <si>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</si>
  <si>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</si>
  <si>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</si>
  <si>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</si>
  <si>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</si>
  <si>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</si>
  <si>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</si>
  <si>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</si>
  <si>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</si>
  <si>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</si>
  <si>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</si>
  <si>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</si>
  <si>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</si>
  <si>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</si>
  <si>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</si>
  <si>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</si>
  <si>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</si>
  <si>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</si>
  <si>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</si>
  <si>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</si>
  <si>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</si>
  <si>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</si>
  <si>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</si>
  <si>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</si>
  <si>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</si>
  <si>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</si>
  <si>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</si>
  <si>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</si>
  <si>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</si>
  <si>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</si>
  <si>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</si>
  <si>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</si>
  <si>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</si>
  <si>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</si>
  <si>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</si>
  <si>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</si>
  <si>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</si>
  <si>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</si>
  <si>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</si>
  <si>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</si>
  <si>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</si>
  <si>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</si>
  <si>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</si>
  <si>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</si>
  <si>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</si>
  <si>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</si>
  <si>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</si>
  <si>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</si>
  <si>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</si>
  <si>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</si>
  <si>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</si>
  <si>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</si>
  <si>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</si>
  <si>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</si>
  <si>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</si>
  <si>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</si>
  <si>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</si>
  <si>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</si>
  <si>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</si>
  <si>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</si>
  <si>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</si>
  <si>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</si>
  <si>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</si>
  <si>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</si>
  <si>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</si>
  <si>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</si>
  <si>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</si>
  <si>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</si>
  <si>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</si>
  <si>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</si>
  <si>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</si>
  <si>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</si>
  <si>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</si>
  <si>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</si>
  <si>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</si>
  <si>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</si>
  <si>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</si>
  <si>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</si>
  <si>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</si>
  <si>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</si>
  <si>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</si>
  <si>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</si>
  <si>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</si>
  <si>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</si>
  <si>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</si>
  <si>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</si>
  <si>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</si>
  <si>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</si>
  <si>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</si>
  <si>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</si>
  <si>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</si>
  <si>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</si>
  <si>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</si>
  <si>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</si>
  <si>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</si>
  <si>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</si>
  <si>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</si>
  <si>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</si>
  <si>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</si>
  <si>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</si>
  <si>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</si>
  <si>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</si>
  <si>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</si>
  <si>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</si>
  <si>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</si>
  <si>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</si>
  <si>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</si>
  <si>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</si>
  <si>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</si>
  <si>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</si>
  <si>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</si>
  <si>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</si>
  <si>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</si>
  <si>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</si>
  <si>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</si>
  <si>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</si>
  <si>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</si>
  <si>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</si>
  <si>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</si>
  <si>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</si>
  <si>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</si>
  <si>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</si>
  <si>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</si>
  <si>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</si>
  <si>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</si>
  <si>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</si>
  <si>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</si>
  <si>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</si>
  <si>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</si>
  <si>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</si>
  <si>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</si>
  <si>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</si>
  <si>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</si>
  <si>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</si>
  <si>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</si>
  <si>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</si>
  <si>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</si>
  <si>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</si>
  <si>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</si>
  <si>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</si>
  <si>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</si>
  <si>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</si>
  <si>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</si>
  <si>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</si>
  <si>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</si>
  <si>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</si>
  <si>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</si>
  <si>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</si>
  <si>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</si>
  <si>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</si>
  <si>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</si>
  <si>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</si>
  <si>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</si>
  <si>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</si>
  <si>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</si>
  <si>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</si>
  <si>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</si>
  <si>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</si>
  <si>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</si>
  <si>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</si>
  <si>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</si>
  <si>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</si>
  <si>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</si>
  <si>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</si>
  <si>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</si>
  <si>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</si>
  <si>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</si>
  <si>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</si>
  <si>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</si>
  <si>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</si>
  <si>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</si>
  <si>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</si>
  <si>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</si>
  <si>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</si>
  <si>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</si>
  <si>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</si>
  <si>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</si>
  <si>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</si>
  <si>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</si>
  <si>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</si>
  <si>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</si>
  <si>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</si>
  <si>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</si>
  <si>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</si>
  <si>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</si>
  <si>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</si>
  <si>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</si>
  <si>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</si>
  <si>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</si>
  <si>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</si>
  <si>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</si>
  <si>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</si>
  <si>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</si>
  <si>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</si>
  <si>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</si>
  <si>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</si>
  <si>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</si>
  <si>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</si>
  <si>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</si>
  <si>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</si>
  <si>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</si>
  <si>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</si>
  <si>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</si>
  <si>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</si>
  <si>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</si>
  <si>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</si>
  <si>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</si>
  <si>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</si>
  <si>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</si>
  <si>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</si>
  <si>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</si>
  <si>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</si>
  <si>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</si>
  <si>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</si>
  <si>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</si>
  <si>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</si>
  <si>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</si>
  <si>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</si>
  <si>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</si>
  <si>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</si>
  <si>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</si>
  <si>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</si>
  <si>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</si>
  <si>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</si>
  <si>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</si>
  <si>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</si>
  <si>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</si>
  <si>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</si>
  <si>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</si>
  <si>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</si>
  <si>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</si>
  <si>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</si>
  <si>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</si>
  <si>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</si>
  <si>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</si>
  <si>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</si>
  <si>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</si>
  <si>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</si>
  <si>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</si>
  <si>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</si>
  <si>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</si>
  <si>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</si>
  <si>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</si>
  <si>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</si>
  <si>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</si>
  <si>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</si>
  <si>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</si>
  <si>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</si>
  <si>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</si>
  <si>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</si>
  <si>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</si>
  <si>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</si>
  <si>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</si>
  <si>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</si>
  <si>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</si>
  <si>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</si>
  <si>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</si>
  <si>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</si>
  <si>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</si>
  <si>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</si>
  <si>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</si>
  <si>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</si>
  <si>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</si>
  <si>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</si>
  <si>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</si>
  <si>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</si>
  <si>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</si>
  <si>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</si>
  <si>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</si>
  <si>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</si>
  <si>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</si>
  <si>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</si>
  <si>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</si>
  <si>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</si>
  <si>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</si>
  <si>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</si>
  <si>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</si>
  <si>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</si>
  <si>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</si>
  <si>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</si>
  <si>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</si>
  <si>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</si>
  <si>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</si>
  <si>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</si>
  <si>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</si>
  <si>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</si>
  <si>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</si>
  <si>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</si>
  <si>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</si>
  <si>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</si>
  <si>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</si>
  <si>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</si>
  <si>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</si>
  <si>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</si>
  <si>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</si>
  <si>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</si>
  <si>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</si>
  <si>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</si>
  <si>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</si>
  <si>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</si>
  <si>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</si>
  <si>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</si>
  <si>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</si>
  <si>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</si>
  <si>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</si>
  <si>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</si>
  <si>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</si>
  <si>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</si>
  <si>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</si>
  <si>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</si>
  <si>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</si>
  <si>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</si>
  <si>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</si>
  <si>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</si>
  <si>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</si>
  <si>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</si>
  <si>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</si>
  <si>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</si>
  <si>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</si>
  <si>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</si>
  <si>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</si>
  <si>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</si>
  <si>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</si>
  <si>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</si>
  <si>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</si>
  <si>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</si>
  <si>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</si>
  <si>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</si>
  <si>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</si>
  <si>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</si>
  <si>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</si>
  <si>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</si>
  <si>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</si>
  <si>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</si>
  <si>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</si>
  <si>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</si>
  <si>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</si>
  <si>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</si>
  <si>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</si>
  <si>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</si>
  <si>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</si>
  <si>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</si>
  <si>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</si>
  <si>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</si>
  <si>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</si>
  <si>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</si>
  <si>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</si>
  <si>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</si>
  <si>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</si>
  <si>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</si>
  <si>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</si>
  <si>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</si>
  <si>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</si>
  <si>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</si>
  <si>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</si>
  <si>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</si>
  <si>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</si>
  <si>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</si>
  <si>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</si>
  <si>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</si>
  <si>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</si>
  <si>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</si>
  <si>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</si>
  <si>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</si>
  <si>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</si>
  <si>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</si>
  <si>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</si>
  <si>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</si>
  <si>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</si>
  <si>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</si>
  <si>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</si>
  <si>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</si>
  <si>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</si>
  <si>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</si>
  <si>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</si>
  <si>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</si>
  <si>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</si>
  <si>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</si>
  <si>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</si>
  <si>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</si>
  <si>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</si>
  <si>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</si>
  <si>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</si>
  <si>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</si>
  <si>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</si>
  <si>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</si>
  <si>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</si>
  <si>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</si>
  <si>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</si>
  <si>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</si>
  <si>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</si>
  <si>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</si>
  <si>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</si>
  <si>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</si>
  <si>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</si>
  <si>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</si>
  <si>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</si>
  <si>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</si>
  <si>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</si>
  <si>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</si>
  <si>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</si>
  <si>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</si>
  <si>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</si>
  <si>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</si>
  <si>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</si>
  <si>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</si>
  <si>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</si>
  <si>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</si>
  <si>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</si>
  <si>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</si>
  <si>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</si>
  <si>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</si>
  <si>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</si>
  <si>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</si>
  <si>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</si>
  <si>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</si>
  <si>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</si>
  <si>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</si>
  <si>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</si>
  <si>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</si>
  <si>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</si>
  <si>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</si>
  <si>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</si>
  <si>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</si>
  <si>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</si>
  <si>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</si>
  <si>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</si>
  <si>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</si>
  <si>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</si>
  <si>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</si>
  <si>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</si>
  <si>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</si>
  <si>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</si>
  <si>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</si>
  <si>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</si>
  <si>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</si>
  <si>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</si>
  <si>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</si>
  <si>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</si>
  <si>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</si>
  <si>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</si>
  <si>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</si>
  <si>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</si>
  <si>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</si>
  <si>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</si>
  <si>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</si>
  <si>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</si>
  <si>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</si>
  <si>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</si>
  <si>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</si>
  <si>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</si>
  <si>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</si>
  <si>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</si>
  <si>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</si>
  <si>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</si>
  <si>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</si>
  <si>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</si>
  <si>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</si>
  <si>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</si>
  <si>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</si>
  <si>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</si>
  <si>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</si>
  <si>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</si>
  <si>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</si>
  <si>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</si>
  <si>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</si>
  <si>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</si>
  <si>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</si>
  <si>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</si>
  <si>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</si>
  <si>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</si>
  <si>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</si>
  <si>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</si>
  <si>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</si>
  <si>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</si>
  <si>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</si>
  <si>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</si>
  <si>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</si>
  <si>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</si>
  <si>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</si>
  <si>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</si>
  <si>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</si>
  <si>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</si>
  <si>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</si>
  <si>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</si>
  <si>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</si>
  <si>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</si>
  <si>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</si>
  <si>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</si>
  <si>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</si>
  <si>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</si>
  <si>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</si>
  <si>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</si>
  <si>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</si>
  <si>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</si>
  <si>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</si>
  <si>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</si>
  <si>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</si>
  <si>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</si>
  <si>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</si>
  <si>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</si>
  <si>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</si>
  <si>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</si>
  <si>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</si>
  <si>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</si>
  <si>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</si>
  <si>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</si>
  <si>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</si>
  <si>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</si>
  <si>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</si>
  <si>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</si>
  <si>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</si>
  <si>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</si>
  <si>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</si>
  <si>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</si>
  <si>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</si>
  <si>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</si>
  <si>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</si>
  <si>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</si>
  <si>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</si>
  <si>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</si>
  <si>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</si>
  <si>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</si>
  <si>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</si>
  <si>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</si>
  <si>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</si>
  <si>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</si>
  <si>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</si>
  <si>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</si>
  <si>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</si>
  <si>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</si>
  <si>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</si>
  <si>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</si>
  <si>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</si>
  <si>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</si>
  <si>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</si>
  <si>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</si>
  <si>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</si>
  <si>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</si>
  <si>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</si>
  <si>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</si>
  <si>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</si>
  <si>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</si>
  <si>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</si>
  <si>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</si>
  <si>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</si>
  <si>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</si>
  <si>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</si>
  <si>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</si>
  <si>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</si>
  <si>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</si>
  <si>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</si>
  <si>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</si>
  <si>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</si>
  <si>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</si>
  <si>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</si>
  <si>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</si>
  <si>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</si>
  <si>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</si>
  <si>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</si>
  <si>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</si>
  <si>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</si>
  <si>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</si>
  <si>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</si>
  <si>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</si>
  <si>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</si>
  <si>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</si>
  <si>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</si>
  <si>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</si>
  <si>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</si>
  <si>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</si>
  <si>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</si>
  <si>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</si>
  <si>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</si>
  <si>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</si>
  <si>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</si>
  <si>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</si>
  <si>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</si>
  <si>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</si>
  <si>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</si>
  <si>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</si>
  <si>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</si>
  <si>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</si>
  <si>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</si>
  <si>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</si>
  <si>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</si>
  <si>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</si>
  <si>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</si>
  <si>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</si>
  <si>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</si>
  <si>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</si>
  <si>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</si>
  <si>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</si>
  <si>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</si>
  <si>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</si>
  <si>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</si>
  <si>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</si>
  <si>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</si>
  <si>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</si>
  <si>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</si>
  <si>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</si>
  <si>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</si>
  <si>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</si>
  <si>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</si>
  <si>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</si>
  <si>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</si>
  <si>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</si>
  <si>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</si>
  <si>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</si>
  <si>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</si>
  <si>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</si>
  <si>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</si>
  <si>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</si>
  <si>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</si>
  <si>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</si>
  <si>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</si>
  <si>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</si>
  <si>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</si>
  <si>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</si>
  <si>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</si>
  <si>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</si>
  <si>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</si>
  <si>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</si>
  <si>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</si>
  <si>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</si>
  <si>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</si>
  <si>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</si>
  <si>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</si>
  <si>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</si>
  <si>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</si>
  <si>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</si>
  <si>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</si>
  <si>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</si>
  <si>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</si>
  <si>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</si>
  <si>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</si>
  <si>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</si>
  <si>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</si>
  <si>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</si>
  <si>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</si>
  <si>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</si>
  <si>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</si>
  <si>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</si>
  <si>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</si>
  <si>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</si>
  <si>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</si>
  <si>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</si>
  <si>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</si>
  <si>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</si>
  <si>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</si>
  <si>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</si>
  <si>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</si>
  <si>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</si>
  <si>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</si>
  <si>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</si>
  <si>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</si>
  <si>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</si>
  <si>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</si>
  <si>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</si>
  <si>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</si>
  <si>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</si>
  <si>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</si>
  <si>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</si>
  <si>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</si>
  <si>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</si>
  <si>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</si>
  <si>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</si>
  <si>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</si>
  <si>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</si>
  <si>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</si>
  <si>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</si>
  <si>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</si>
  <si>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</si>
  <si>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</si>
  <si>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</si>
  <si>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</si>
  <si>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</si>
  <si>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</si>
  <si>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</si>
  <si>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</si>
  <si>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</si>
  <si>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</si>
  <si>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</si>
  <si>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</si>
  <si>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</si>
  <si>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</si>
  <si>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</si>
  <si>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</si>
  <si>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</si>
  <si>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</si>
  <si>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</si>
  <si>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</si>
  <si>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</si>
  <si>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</si>
  <si>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</si>
  <si>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</si>
  <si>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</si>
  <si>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</si>
  <si>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</si>
  <si>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</si>
  <si>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</si>
  <si>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</si>
  <si>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</si>
  <si>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</si>
  <si>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</si>
  <si>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</si>
  <si>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</si>
  <si>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</si>
  <si>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</si>
  <si>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</si>
  <si>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</si>
  <si>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</si>
  <si>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</si>
  <si>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</si>
  <si>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</si>
  <si>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</si>
  <si>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</si>
  <si>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</si>
  <si>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</si>
  <si>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</si>
  <si>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</si>
  <si>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</si>
  <si>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</si>
  <si>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</si>
  <si>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</si>
  <si>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</si>
  <si>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</si>
  <si>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</si>
  <si>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</si>
  <si>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</si>
  <si>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</si>
  <si>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</si>
  <si>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</si>
  <si>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</si>
  <si>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</si>
  <si>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</si>
  <si>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</si>
  <si>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</si>
  <si>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</si>
  <si>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</si>
  <si>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</si>
  <si>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</si>
  <si>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</si>
  <si>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</si>
  <si>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</si>
  <si>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</si>
  <si>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</si>
  <si>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</si>
  <si>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</si>
  <si>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</si>
  <si>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</si>
  <si>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</si>
  <si>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</si>
  <si>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</si>
  <si>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</si>
  <si>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</si>
  <si>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</si>
  <si>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</si>
  <si>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</si>
  <si>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</si>
  <si>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</si>
  <si>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</si>
  <si>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</si>
  <si>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</si>
  <si>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</si>
  <si>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</si>
  <si>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</si>
  <si>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</si>
  <si>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</si>
  <si>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</si>
  <si>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</si>
  <si>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</si>
  <si>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</si>
  <si>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</si>
  <si>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</si>
  <si>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</si>
  <si>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</si>
  <si>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</si>
  <si>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</si>
  <si>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</si>
  <si>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</si>
  <si>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</si>
  <si>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</si>
  <si>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</si>
  <si>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</si>
  <si>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</si>
  <si>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</si>
  <si>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</si>
  <si>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</si>
  <si>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</si>
  <si>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</si>
  <si>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</si>
  <si>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</si>
  <si>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</si>
  <si>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</si>
  <si>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</si>
  <si>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</si>
  <si>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</si>
  <si>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</si>
  <si>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</si>
  <si>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</si>
  <si>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</si>
  <si>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</si>
  <si>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</si>
  <si>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</si>
  <si>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</si>
  <si>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</si>
  <si>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</si>
  <si>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</si>
  <si>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</si>
  <si>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</si>
  <si>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</si>
  <si>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</si>
  <si>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</si>
  <si>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</si>
  <si>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</si>
  <si>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</si>
  <si>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</si>
  <si>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</si>
  <si>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</si>
  <si>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</si>
  <si>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</si>
  <si>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</si>
  <si>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</si>
  <si>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</si>
  <si>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</si>
  <si>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</si>
  <si>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</si>
  <si>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</si>
  <si>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</si>
  <si>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</si>
  <si>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</si>
  <si>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</si>
  <si>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</si>
  <si>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</si>
  <si>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</si>
  <si>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</si>
  <si>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</si>
  <si>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</si>
  <si>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</si>
  <si>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</si>
  <si>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</si>
  <si>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</si>
  <si>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</si>
  <si>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</si>
  <si>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</si>
  <si>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</si>
  <si>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</si>
  <si>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</si>
  <si>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</si>
  <si>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</si>
  <si>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</si>
  <si>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</si>
  <si>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</si>
  <si>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</si>
  <si>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</si>
  <si>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</si>
  <si>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</si>
  <si>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</si>
  <si>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</si>
  <si>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</si>
  <si>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</si>
  <si>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</si>
  <si>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</si>
  <si>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</si>
  <si>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</si>
  <si>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</si>
  <si>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</si>
  <si>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</si>
  <si>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</si>
  <si>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</si>
  <si>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</si>
  <si>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</si>
  <si>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</si>
  <si>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</si>
  <si>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</si>
  <si>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</si>
  <si>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</si>
  <si>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</si>
  <si>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</si>
  <si>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</si>
  <si>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</si>
  <si>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</si>
  <si>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</si>
  <si>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</si>
  <si>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</si>
  <si>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</si>
  <si>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</si>
  <si>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</si>
  <si>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</si>
  <si>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</si>
  <si>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</si>
  <si>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</si>
  <si>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</si>
  <si>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</si>
  <si>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</si>
  <si>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</si>
  <si>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</si>
  <si>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</si>
  <si>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</si>
  <si>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</si>
  <si>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</si>
  <si>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</si>
  <si>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</si>
  <si>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</si>
  <si>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</si>
  <si>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</si>
  <si>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</si>
  <si>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</si>
  <si>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</si>
  <si>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</si>
  <si>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</si>
  <si>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</si>
  <si>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</si>
  <si>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</si>
  <si>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</si>
  <si>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</si>
  <si>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</si>
  <si>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</si>
  <si>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</si>
  <si>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</si>
  <si>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</si>
  <si>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</si>
  <si>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</si>
  <si>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</si>
  <si>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</si>
  <si>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</si>
  <si>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</si>
  <si>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</si>
  <si>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</si>
  <si>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</si>
  <si>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</si>
  <si>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</si>
  <si>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</si>
  <si>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</si>
  <si>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</si>
  <si>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</si>
  <si>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</si>
  <si>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</si>
  <si>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</si>
  <si>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</si>
  <si>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</si>
  <si>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</si>
  <si>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</si>
  <si>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</si>
  <si>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</si>
  <si>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</si>
  <si>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</si>
  <si>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</si>
  <si>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</si>
  <si>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</si>
  <si>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</si>
  <si>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</si>
  <si>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</si>
  <si>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</si>
  <si>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</si>
  <si>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</si>
  <si>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</si>
  <si>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</si>
  <si>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</si>
  <si>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</si>
  <si>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</si>
  <si>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</si>
  <si>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</si>
  <si>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</si>
  <si>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</si>
  <si>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</si>
  <si>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</si>
  <si>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</si>
  <si>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</si>
  <si>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</si>
  <si>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</si>
  <si>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</si>
  <si>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</si>
  <si>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</si>
  <si>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</si>
  <si>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</si>
  <si>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</si>
  <si>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</si>
  <si>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</si>
  <si>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</si>
  <si>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</si>
  <si>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</si>
  <si>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</si>
  <si>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</si>
  <si>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</si>
  <si>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</si>
  <si>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</si>
  <si>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</si>
  <si>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</si>
  <si>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</si>
  <si>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</si>
  <si>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</si>
  <si>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</si>
  <si>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</si>
  <si>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</si>
  <si>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</si>
  <si>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</si>
  <si>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</si>
  <si>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</si>
  <si>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</si>
  <si>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</si>
  <si>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</si>
  <si>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</si>
  <si>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</si>
  <si>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</si>
  <si>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</si>
  <si>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</si>
  <si>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</si>
  <si>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</si>
  <si>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</si>
  <si>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</si>
  <si>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</si>
  <si>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</si>
  <si>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</si>
  <si>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</si>
  <si>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</si>
  <si>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</si>
  <si>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</si>
  <si>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</si>
  <si>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</si>
  <si>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</si>
  <si>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</si>
  <si>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</si>
  <si>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</si>
  <si>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</si>
  <si>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</si>
  <si>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</si>
  <si>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</si>
  <si>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</si>
  <si>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</si>
  <si>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</si>
  <si>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</si>
  <si>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</si>
  <si>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</si>
  <si>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</si>
  <si>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</si>
  <si>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</si>
  <si>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</si>
  <si>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</si>
  <si>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</si>
  <si>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</si>
  <si>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</si>
  <si>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</si>
  <si>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</si>
  <si>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</si>
  <si>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</si>
  <si>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</si>
  <si>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</si>
  <si>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</si>
  <si>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</si>
  <si>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</si>
  <si>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</si>
  <si>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</si>
  <si>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</si>
  <si>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</si>
  <si>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</si>
  <si>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</si>
  <si>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</si>
  <si>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</si>
  <si>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</si>
  <si>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</si>
  <si>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</si>
  <si>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</si>
  <si>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</si>
  <si>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</si>
  <si>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</si>
  <si>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</si>
  <si>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</si>
  <si>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</si>
  <si>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</si>
  <si>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</si>
  <si>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</si>
  <si>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</si>
  <si>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</si>
  <si>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</si>
  <si>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</si>
  <si>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</si>
  <si>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</si>
  <si>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</si>
  <si>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</si>
  <si>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</si>
  <si>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</si>
  <si>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</si>
  <si>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</si>
  <si>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</si>
  <si>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</si>
  <si>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</si>
  <si>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</si>
  <si>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</si>
  <si>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</si>
  <si>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</si>
  <si>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</si>
  <si>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</si>
  <si>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</si>
  <si>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</si>
  <si>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</si>
  <si>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</si>
  <si>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</si>
  <si>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</si>
  <si>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</si>
  <si>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</si>
  <si>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</si>
  <si>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</si>
  <si>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</si>
  <si>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</si>
  <si>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</si>
  <si>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</si>
  <si>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</si>
  <si>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</si>
  <si>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</si>
  <si>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</si>
  <si>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</si>
  <si>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</si>
  <si>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</si>
  <si>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</si>
  <si>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</si>
  <si>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</si>
  <si>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</si>
  <si>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</si>
  <si>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</si>
  <si>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</si>
  <si>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</si>
  <si>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</si>
  <si>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</si>
  <si>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</si>
  <si>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</si>
  <si>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</si>
  <si>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</si>
  <si>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</si>
  <si>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</si>
  <si>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</si>
  <si>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</si>
  <si>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</si>
  <si>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</si>
  <si>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</si>
  <si>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</si>
  <si>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</si>
  <si>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</si>
  <si>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</si>
  <si>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</si>
  <si>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</si>
  <si>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</si>
  <si>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</si>
  <si>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</si>
  <si>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</si>
  <si>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</si>
  <si>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</si>
  <si>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</si>
  <si>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</si>
  <si>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</si>
  <si>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</si>
  <si>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</si>
  <si>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</si>
  <si>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</si>
  <si>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</si>
  <si>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</si>
  <si>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</si>
  <si>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</si>
  <si>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</si>
  <si>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</si>
  <si>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</si>
  <si>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</si>
  <si>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</si>
  <si>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</si>
  <si>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</si>
  <si>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</si>
  <si>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</si>
  <si>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</si>
  <si>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</si>
  <si>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</si>
  <si>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</si>
  <si>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</si>
  <si>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</si>
  <si>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</si>
  <si>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</si>
  <si>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</si>
  <si>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</si>
  <si>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</si>
  <si>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</si>
  <si>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</si>
  <si>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</si>
  <si>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</si>
  <si>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</si>
  <si>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</si>
  <si>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</si>
  <si>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</si>
  <si>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</si>
  <si>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</si>
  <si>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</si>
  <si>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</si>
  <si>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</si>
  <si>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</si>
  <si>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</si>
  <si>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</si>
  <si>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</si>
  <si>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</si>
  <si>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</si>
  <si>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</si>
  <si>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</si>
  <si>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</si>
  <si>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</si>
  <si>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</si>
  <si>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</si>
  <si>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</si>
  <si>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</si>
  <si>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</si>
  <si>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</si>
  <si>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</si>
  <si>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</si>
  <si>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</si>
  <si>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</si>
  <si>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</si>
  <si>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</si>
  <si>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</si>
  <si>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</si>
  <si>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</si>
  <si>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</si>
  <si>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</si>
  <si>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</si>
  <si>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</si>
  <si>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</si>
  <si>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</si>
  <si>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</si>
  <si>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</si>
  <si>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</si>
  <si>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</si>
  <si>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</si>
  <si>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</si>
  <si>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</si>
  <si>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</si>
  <si>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</si>
  <si>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</si>
  <si>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</si>
  <si>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</si>
  <si>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</si>
  <si>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</si>
  <si>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</si>
  <si>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</si>
  <si>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</si>
  <si>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</si>
  <si>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</si>
  <si>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</si>
  <si>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</si>
  <si>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</si>
  <si>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</si>
  <si>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</si>
  <si>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</si>
  <si>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</si>
  <si>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</si>
  <si>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</si>
  <si>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</si>
  <si>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</si>
  <si>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</si>
  <si>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</si>
  <si>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</si>
  <si>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</si>
  <si>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</si>
  <si>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</si>
  <si>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</si>
  <si>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</si>
  <si>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</si>
  <si>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</si>
  <si>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</si>
  <si>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</si>
  <si>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</si>
  <si>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</si>
  <si>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</si>
  <si>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</si>
  <si>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</si>
  <si>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</si>
  <si>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</si>
  <si>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</si>
  <si>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</si>
  <si>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</si>
  <si>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</si>
  <si>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</si>
  <si>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</si>
  <si>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</si>
  <si>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</si>
  <si>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</si>
  <si>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</si>
  <si>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</si>
  <si>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</si>
  <si>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</si>
  <si>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</si>
  <si>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</si>
  <si>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</si>
  <si>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</si>
  <si>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</si>
  <si>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</si>
  <si>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</si>
  <si>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</si>
  <si>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</si>
  <si>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</si>
  <si>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</si>
  <si>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</si>
  <si>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</si>
  <si>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</si>
  <si>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</si>
  <si>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</si>
  <si>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</si>
  <si>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</si>
  <si>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</si>
  <si>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</si>
  <si>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</si>
  <si>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</si>
  <si>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</si>
  <si>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</si>
  <si>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</si>
  <si>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</si>
  <si>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</si>
  <si>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</si>
  <si>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</si>
  <si>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</si>
  <si>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</si>
  <si>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</si>
  <si>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</si>
  <si>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</si>
  <si>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</si>
  <si>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</si>
  <si>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</si>
  <si>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</si>
  <si>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</si>
  <si>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</si>
  <si>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</si>
  <si>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</si>
  <si>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</si>
  <si>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</si>
  <si>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</si>
  <si>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</si>
  <si>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</si>
  <si>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</si>
  <si>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</si>
  <si>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</si>
  <si>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</si>
  <si>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</si>
  <si>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</si>
  <si>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</si>
  <si>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</si>
  <si>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</si>
  <si>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</si>
  <si>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</si>
  <si>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</si>
  <si>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</si>
  <si>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</si>
  <si>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</si>
  <si>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</si>
  <si>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</si>
  <si>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</si>
  <si>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</si>
  <si>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</si>
  <si>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</si>
  <si>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</si>
  <si>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</si>
  <si>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</si>
  <si>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</si>
  <si>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</si>
  <si>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</si>
  <si>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</si>
  <si>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</si>
  <si>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</si>
  <si>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</si>
  <si>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</si>
  <si>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</si>
  <si>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</si>
  <si>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</si>
  <si>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</si>
  <si>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</si>
  <si>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</si>
  <si>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</si>
  <si>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</si>
  <si>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</si>
  <si>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</si>
  <si>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</si>
  <si>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</si>
  <si>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</si>
  <si>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</si>
  <si>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</si>
  <si>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</si>
  <si>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</si>
  <si>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</si>
  <si>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</si>
  <si>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</si>
  <si>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</si>
  <si>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</si>
  <si>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</si>
  <si>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</si>
  <si>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</si>
  <si>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</si>
  <si>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</si>
  <si>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</si>
  <si>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</si>
  <si>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</si>
  <si>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</si>
  <si>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</si>
  <si>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</si>
  <si>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</si>
  <si>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</si>
  <si>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</si>
  <si>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</si>
  <si>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</si>
  <si>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</si>
  <si>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</si>
  <si>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</si>
  <si>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</si>
  <si>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</si>
  <si>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</si>
  <si>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</si>
  <si>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</si>
  <si>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</si>
  <si>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</si>
  <si>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</si>
  <si>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</si>
  <si>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</si>
  <si>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</si>
  <si>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</si>
  <si>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</si>
  <si>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</si>
  <si>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</si>
  <si>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</si>
  <si>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</si>
  <si>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</si>
  <si>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</si>
  <si>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</si>
  <si>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</si>
  <si>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</si>
  <si>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</si>
  <si>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</si>
  <si>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</si>
  <si>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</si>
  <si>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</si>
  <si>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</si>
  <si>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</si>
  <si>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</si>
  <si>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</si>
  <si>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</si>
  <si>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</si>
  <si>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</si>
  <si>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</si>
  <si>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</si>
  <si>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</si>
  <si>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</si>
  <si>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</si>
  <si>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</si>
  <si>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</si>
  <si>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</si>
  <si>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</si>
  <si>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</si>
  <si>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</si>
  <si>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</si>
  <si>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</si>
  <si>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</si>
  <si>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</si>
  <si>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</si>
  <si>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</si>
  <si>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</si>
  <si>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</si>
  <si>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</si>
  <si>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</si>
  <si>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</si>
  <si>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</si>
  <si>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</si>
  <si>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</si>
  <si>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</si>
  <si>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</si>
  <si>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</si>
  <si>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</si>
  <si>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</si>
  <si>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</si>
  <si>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</si>
  <si>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</si>
  <si>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</si>
  <si>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</si>
  <si>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</si>
  <si>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</si>
  <si>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</si>
  <si>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</si>
  <si>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</si>
  <si>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</si>
  <si>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</si>
  <si>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</si>
  <si>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</si>
  <si>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</si>
  <si>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</si>
  <si>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</si>
  <si>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</si>
  <si>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</si>
  <si>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</si>
  <si>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</si>
  <si>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</si>
  <si>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</si>
  <si>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</si>
  <si>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</si>
  <si>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</si>
  <si>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</si>
  <si>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</si>
  <si>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</si>
  <si>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</si>
  <si>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</si>
  <si>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</si>
  <si>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</si>
  <si>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</si>
  <si>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</si>
  <si>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</si>
  <si>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</si>
  <si>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</si>
  <si>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</si>
  <si>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</si>
  <si>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</si>
  <si>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</si>
  <si>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</si>
  <si>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</si>
  <si>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</si>
  <si>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</si>
  <si>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</si>
  <si>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</si>
  <si>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</si>
  <si>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</si>
  <si>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</si>
  <si>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</si>
  <si>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</si>
  <si>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</si>
  <si>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</si>
  <si>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</si>
  <si>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</si>
  <si>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</si>
  <si>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</si>
  <si>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</si>
  <si>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</si>
  <si>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</si>
  <si>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</si>
  <si>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</si>
  <si>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</si>
  <si>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</si>
  <si>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</si>
  <si>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</si>
  <si>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</si>
  <si>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</si>
  <si>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</si>
  <si>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</si>
  <si>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</si>
  <si>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</si>
  <si>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</si>
  <si>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</si>
  <si>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</si>
  <si>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</si>
  <si>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</si>
  <si>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</si>
  <si>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</si>
  <si>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</si>
  <si>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</si>
  <si>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</si>
  <si>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</si>
  <si>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</si>
  <si>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</si>
  <si>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</si>
  <si>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</si>
  <si>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</si>
  <si>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</si>
  <si>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</si>
  <si>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</si>
  <si>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</si>
  <si>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</si>
  <si>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</si>
  <si>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</si>
  <si>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</si>
  <si>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</si>
  <si>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</si>
  <si>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</si>
  <si>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</si>
  <si>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</si>
  <si>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</si>
  <si>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</si>
  <si>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</si>
  <si>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</si>
  <si>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</si>
  <si>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</si>
  <si>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</si>
  <si>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</si>
  <si>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</si>
  <si>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</si>
  <si>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</si>
  <si>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</si>
  <si>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</si>
  <si>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</si>
  <si>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</si>
  <si>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</si>
  <si>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</si>
  <si>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</si>
  <si>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</si>
  <si>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</si>
  <si>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</si>
  <si>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</si>
  <si>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</si>
  <si>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</si>
  <si>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</si>
  <si>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</si>
  <si>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</si>
  <si>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</si>
  <si>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</si>
  <si>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</si>
  <si>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</si>
  <si>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</si>
  <si>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</si>
  <si>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</si>
  <si>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</si>
  <si>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</si>
  <si>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</si>
  <si>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</si>
  <si>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</si>
  <si>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</si>
  <si>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</si>
  <si>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</si>
  <si>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</si>
  <si>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</si>
  <si>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</si>
  <si>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</si>
  <si>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</si>
  <si>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</si>
  <si>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</si>
  <si>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</si>
  <si>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</si>
  <si>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</si>
  <si>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</si>
  <si>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</si>
  <si>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</si>
  <si>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</si>
  <si>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</si>
  <si>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</si>
  <si>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</si>
  <si>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</si>
  <si>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</si>
  <si>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</si>
  <si>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</si>
  <si>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</si>
  <si>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</si>
  <si>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</si>
  <si>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</si>
  <si>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</si>
  <si>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</si>
  <si>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</si>
  <si>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</si>
  <si>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</si>
  <si>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</si>
  <si>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</si>
  <si>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</si>
  <si>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</si>
  <si>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</si>
  <si>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</si>
  <si>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</si>
  <si>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</si>
  <si>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</si>
  <si>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</si>
  <si>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</si>
  <si>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</si>
  <si>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</si>
  <si>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</si>
  <si>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</si>
  <si>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</si>
  <si>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</si>
  <si>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</si>
  <si>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</si>
  <si>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</si>
  <si>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</si>
  <si>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</si>
  <si>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</si>
  <si>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</si>
  <si>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</si>
  <si>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</si>
  <si>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</si>
  <si>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</si>
  <si>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</si>
  <si>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</si>
  <si>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</si>
  <si>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</si>
  <si>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</si>
  <si>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</si>
  <si>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</si>
  <si>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</si>
  <si>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</si>
  <si>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</si>
  <si>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</si>
  <si>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</si>
  <si>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</si>
  <si>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</si>
  <si>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</si>
  <si>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</si>
  <si>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</si>
  <si>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</si>
  <si>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</si>
  <si>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</si>
  <si>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</si>
  <si>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</si>
  <si>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</si>
  <si>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</si>
  <si>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</si>
  <si>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</si>
  <si>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</si>
  <si>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</si>
  <si>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</si>
  <si>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</si>
  <si>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</si>
  <si>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</si>
  <si>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</si>
  <si>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</si>
  <si>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</si>
  <si>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</si>
  <si>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</si>
  <si>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</si>
  <si>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</si>
  <si>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</si>
  <si>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</si>
  <si>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</si>
  <si>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</si>
  <si>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</si>
  <si>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</si>
  <si>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</si>
  <si>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</si>
  <si>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</si>
  <si>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</si>
  <si>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</si>
  <si>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</si>
  <si>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</si>
  <si>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</si>
  <si>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</si>
  <si>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</si>
  <si>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</si>
  <si>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</si>
  <si>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</si>
  <si>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</si>
  <si>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</si>
  <si>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</si>
  <si>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</si>
  <si>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</si>
  <si>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</si>
  <si>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</si>
  <si>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</si>
  <si>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</si>
  <si>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</si>
  <si>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</si>
  <si>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</si>
  <si>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</si>
  <si>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</si>
  <si>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</si>
  <si>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</si>
  <si>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</si>
  <si>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</si>
  <si>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</si>
  <si>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</si>
  <si>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</si>
  <si>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</si>
  <si>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</si>
  <si>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</si>
  <si>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</si>
  <si>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</si>
  <si>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</si>
  <si>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</si>
  <si>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</si>
  <si>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</si>
  <si>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</si>
  <si>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</si>
  <si>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</si>
  <si>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</si>
  <si>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</si>
  <si>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</si>
  <si>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</si>
  <si>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</si>
  <si>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</si>
  <si>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</si>
  <si>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</si>
  <si>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</si>
  <si>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</si>
  <si>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</si>
  <si>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</si>
  <si>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</si>
  <si>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</si>
  <si>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</si>
  <si>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</si>
  <si>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</si>
  <si>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</si>
  <si>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</si>
  <si>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</si>
  <si>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</si>
  <si>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</si>
  <si>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</si>
  <si>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</si>
  <si>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</si>
  <si>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</si>
  <si>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</si>
  <si>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</si>
  <si>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</si>
  <si>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</si>
  <si>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</si>
  <si>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</si>
  <si>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</si>
  <si>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</si>
  <si>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</si>
  <si>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</si>
  <si>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</si>
  <si>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</si>
  <si>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</si>
  <si>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</si>
  <si>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</si>
  <si>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</si>
  <si>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</si>
  <si>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</si>
  <si>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</si>
  <si>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</si>
  <si>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</si>
  <si>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</si>
  <si>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</si>
  <si>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</si>
  <si>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</si>
  <si>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</si>
  <si>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</si>
  <si>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</si>
  <si>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</si>
  <si>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</si>
  <si>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</si>
  <si>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</si>
  <si>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</si>
  <si>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</si>
  <si>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</si>
  <si>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</si>
  <si>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</si>
  <si>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</si>
  <si>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</si>
  <si>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</si>
  <si>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</si>
  <si>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</si>
  <si>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</si>
  <si>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</si>
  <si>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</si>
  <si>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</si>
  <si>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</si>
  <si>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</si>
  <si>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</si>
  <si>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</si>
  <si>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</si>
  <si>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</si>
  <si>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</si>
  <si>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</si>
  <si>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</si>
  <si>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</si>
  <si>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</si>
  <si>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</si>
  <si>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</si>
  <si>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</si>
  <si>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</si>
  <si>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</si>
  <si>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</si>
  <si>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</si>
  <si>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</si>
  <si>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</si>
  <si>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</si>
  <si>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</si>
  <si>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</si>
  <si>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</si>
  <si>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</si>
  <si>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</si>
  <si>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</si>
  <si>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</si>
  <si>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</si>
  <si>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</si>
  <si>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</si>
  <si>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</si>
  <si>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</si>
  <si>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</si>
  <si>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</si>
  <si>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</si>
  <si>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</si>
  <si>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</si>
  <si>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</si>
  <si>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</si>
  <si>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</si>
  <si>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</si>
  <si>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</si>
  <si>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</si>
  <si>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</si>
  <si>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</si>
  <si>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</si>
  <si>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</si>
  <si>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</si>
  <si>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</si>
  <si>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</si>
  <si>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</si>
  <si>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</si>
  <si>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</si>
  <si>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</si>
  <si>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</si>
  <si>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</si>
  <si>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</si>
  <si>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</si>
  <si>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</si>
  <si>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</si>
  <si>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</si>
  <si>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</si>
  <si>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</si>
  <si>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</si>
  <si>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</si>
  <si>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</si>
  <si>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</si>
  <si>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</si>
  <si>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</si>
  <si>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</si>
  <si>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</si>
  <si>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</si>
  <si>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</si>
  <si>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</si>
  <si>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</si>
  <si>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</si>
  <si>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</si>
  <si>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</si>
  <si>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</si>
  <si>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</si>
  <si>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</si>
  <si>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</si>
  <si>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</si>
  <si>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</si>
  <si>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</si>
  <si>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</si>
  <si>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</si>
  <si>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</si>
  <si>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</si>
  <si>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</si>
  <si>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</si>
  <si>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</si>
  <si>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</si>
  <si>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</si>
  <si>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</si>
  <si>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</si>
  <si>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</si>
  <si>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</si>
  <si>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</si>
  <si>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</si>
  <si>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</si>
  <si>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</si>
  <si>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</si>
  <si>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</si>
  <si>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</si>
  <si>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</si>
  <si>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</si>
  <si>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</si>
  <si>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</si>
  <si>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</si>
  <si>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</si>
  <si>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</si>
  <si>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</si>
  <si>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</si>
  <si>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</si>
  <si>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</si>
  <si>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</si>
  <si>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</si>
  <si>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</si>
  <si>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</si>
  <si>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</si>
  <si>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</si>
  <si>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</si>
  <si>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</si>
  <si>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</si>
  <si>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</si>
  <si>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</si>
  <si>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</si>
  <si>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</si>
  <si>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</si>
  <si>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</si>
  <si>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</si>
  <si>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</si>
  <si>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</si>
  <si>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</si>
  <si>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</si>
  <si>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</si>
  <si>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</si>
  <si>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</si>
  <si>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</si>
  <si>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</si>
  <si>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</si>
  <si>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</si>
  <si>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</si>
  <si>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</si>
  <si>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</si>
  <si>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</si>
  <si>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</si>
  <si>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</si>
  <si>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</si>
  <si>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</si>
  <si>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</si>
  <si>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</si>
  <si>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</si>
  <si>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</si>
  <si>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</si>
  <si>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</si>
  <si>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</si>
  <si>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</si>
  <si>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</si>
  <si>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</si>
  <si>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</si>
  <si>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</si>
  <si>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</si>
  <si>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</si>
  <si>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</si>
  <si>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</si>
  <si>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</si>
  <si>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</si>
  <si>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</si>
  <si>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</si>
  <si>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</si>
  <si>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</si>
  <si>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</si>
  <si>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</si>
  <si>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</si>
  <si>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</si>
  <si>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</si>
  <si>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</si>
  <si>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</si>
  <si>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</si>
  <si>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</si>
  <si>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</si>
  <si>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</si>
  <si>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</si>
  <si>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</si>
  <si>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</si>
  <si>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</si>
  <si>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</si>
  <si>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</si>
  <si>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</si>
  <si>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</si>
  <si>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</si>
  <si>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</si>
  <si>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</si>
  <si>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</si>
  <si>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</si>
  <si>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</si>
  <si>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</si>
  <si>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</si>
  <si>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</si>
  <si>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</si>
  <si>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</si>
  <si>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</si>
  <si>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</si>
  <si>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</si>
  <si>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</si>
  <si>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</si>
  <si>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</si>
  <si>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</si>
  <si>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</si>
  <si>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</si>
  <si>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</si>
  <si>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</si>
  <si>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</si>
  <si>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</si>
  <si>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</si>
  <si>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</si>
  <si>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</si>
  <si>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</si>
  <si>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</si>
  <si>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</si>
  <si>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</si>
  <si>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</si>
  <si>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</si>
  <si>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</si>
  <si>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</si>
  <si>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</si>
  <si>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</si>
  <si>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</si>
  <si>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</si>
  <si>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</si>
  <si>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</si>
  <si>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</si>
  <si>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</si>
  <si>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</si>
  <si>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</si>
  <si>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</si>
  <si>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</si>
  <si>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</si>
  <si>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</si>
  <si>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</si>
  <si>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</si>
  <si>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</si>
  <si>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</si>
  <si>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</si>
  <si>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</si>
  <si>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</si>
  <si>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</si>
  <si>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</si>
  <si>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</si>
  <si>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</si>
  <si>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</si>
  <si>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</si>
  <si>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</si>
  <si>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</si>
  <si>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</si>
  <si>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</si>
  <si>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</si>
  <si>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</si>
  <si>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</si>
  <si>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</si>
  <si>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</si>
  <si>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</si>
  <si>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</si>
  <si>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</si>
  <si>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</si>
  <si>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</si>
  <si>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</si>
  <si>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</si>
  <si>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</si>
  <si>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</si>
  <si>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</si>
  <si>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</si>
  <si>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</si>
  <si>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</si>
  <si>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</si>
  <si>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</si>
  <si>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</si>
  <si>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</si>
  <si>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</si>
  <si>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</si>
  <si>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</si>
  <si>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</si>
  <si>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</si>
  <si>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</si>
  <si>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</si>
  <si>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</si>
  <si>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</si>
  <si>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</si>
  <si>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</si>
  <si>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</si>
  <si>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</si>
  <si>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</si>
  <si>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</si>
  <si>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</si>
  <si>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</si>
  <si>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</si>
  <si>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</si>
  <si>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</si>
  <si>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</si>
  <si>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</si>
  <si>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</si>
  <si>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</si>
  <si>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</si>
  <si>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</si>
  <si>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</si>
  <si>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</si>
  <si>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</si>
  <si>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</si>
  <si>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</si>
  <si>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</si>
  <si>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</si>
  <si>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</si>
  <si>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</si>
  <si>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</si>
  <si>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</si>
  <si>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</si>
  <si>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</si>
  <si>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</si>
  <si>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</si>
  <si>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</si>
  <si>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</si>
  <si>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</si>
  <si>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</si>
  <si>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</si>
  <si>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</si>
  <si>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</si>
  <si>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</si>
  <si>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</si>
  <si>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</si>
  <si>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</si>
  <si>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</si>
  <si>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</si>
  <si>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</si>
  <si>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</si>
  <si>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</si>
  <si>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</si>
  <si>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</si>
  <si>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</si>
  <si>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</si>
  <si>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</si>
  <si>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</si>
  <si>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</si>
  <si>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</si>
  <si>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</si>
  <si>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</si>
  <si>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</si>
  <si>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</si>
  <si>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</si>
  <si>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</si>
  <si>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</si>
  <si>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</si>
  <si>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</si>
  <si>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</si>
  <si>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</si>
  <si>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</si>
  <si>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</si>
  <si>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</si>
  <si>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</si>
  <si>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</si>
  <si>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</si>
  <si>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</si>
  <si>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</si>
  <si>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</si>
  <si>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</si>
  <si>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</si>
  <si>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</si>
  <si>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</si>
  <si>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</si>
  <si>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</si>
  <si>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</si>
  <si>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</si>
  <si>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</si>
  <si>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</si>
  <si>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</si>
  <si>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</si>
  <si>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</si>
  <si>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</si>
  <si>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</si>
  <si>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</si>
  <si>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</si>
  <si>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</si>
  <si>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</si>
  <si>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</si>
  <si>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</si>
  <si>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</si>
  <si>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</si>
  <si>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</si>
  <si>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</si>
  <si>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</si>
  <si>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</si>
  <si>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</si>
  <si>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</si>
  <si>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</si>
  <si>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</si>
  <si>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</si>
  <si>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</si>
  <si>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</si>
  <si>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</si>
  <si>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</si>
  <si>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</si>
  <si>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</si>
  <si>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</si>
  <si>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</si>
  <si>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</si>
  <si>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</si>
  <si>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</si>
  <si>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</si>
  <si>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</si>
  <si>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</si>
  <si>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</si>
  <si>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</si>
  <si>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</si>
  <si>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</si>
  <si>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</si>
  <si>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</si>
  <si>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</si>
  <si>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</si>
  <si>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</si>
  <si>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</si>
  <si>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</si>
  <si>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</si>
  <si>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</si>
  <si>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</si>
  <si>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</si>
  <si>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</si>
  <si>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</si>
  <si>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</si>
  <si>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</si>
  <si>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</si>
  <si>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</si>
  <si>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</si>
  <si>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</si>
  <si>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</si>
  <si>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</si>
  <si>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</si>
  <si>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</si>
  <si>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</si>
  <si>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</si>
  <si>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</si>
  <si>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</si>
  <si>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</si>
  <si>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</si>
  <si>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</si>
  <si>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</si>
  <si>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</si>
  <si>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</si>
  <si>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</si>
  <si>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</si>
  <si>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</si>
  <si>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</si>
  <si>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</si>
  <si>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</si>
  <si>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</si>
  <si>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</si>
  <si>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</si>
  <si>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</si>
  <si>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</si>
  <si>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</si>
  <si>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</si>
  <si>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</si>
  <si>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</si>
  <si>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</si>
  <si>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</si>
  <si>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</si>
  <si>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</si>
  <si>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</si>
  <si>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</si>
  <si>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</si>
  <si>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</si>
  <si>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</si>
  <si>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</si>
  <si>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</si>
  <si>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</si>
  <si>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</si>
  <si>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</si>
  <si>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</si>
  <si>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</si>
  <si>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</si>
  <si>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</si>
  <si>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</si>
  <si>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</si>
  <si>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</si>
  <si>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</si>
  <si>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</si>
  <si>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</si>
  <si>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</si>
  <si>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</si>
  <si>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</si>
  <si>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</si>
  <si>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</si>
  <si>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</si>
  <si>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</si>
  <si>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</si>
  <si>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</si>
  <si>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</si>
  <si>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</si>
  <si>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</si>
  <si>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</si>
  <si>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</si>
  <si>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</si>
  <si>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</si>
  <si>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</si>
  <si>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</si>
  <si>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</si>
  <si>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</si>
  <si>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</si>
  <si>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</si>
  <si>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</si>
  <si>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</si>
  <si>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</si>
  <si>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</si>
  <si>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</si>
  <si>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</si>
  <si>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</si>
  <si>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</si>
  <si>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</si>
  <si>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</si>
  <si>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</si>
  <si>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</si>
  <si>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</si>
  <si>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</si>
  <si>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</si>
  <si>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</si>
  <si>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</si>
  <si>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</si>
  <si>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</si>
  <si>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</si>
  <si>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</si>
  <si>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</si>
  <si>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</si>
  <si>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</si>
  <si>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</si>
  <si>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</si>
  <si>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</si>
  <si>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</si>
  <si>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</si>
  <si>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</si>
  <si>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</si>
  <si>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</si>
  <si>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</si>
  <si>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</si>
  <si>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</si>
  <si>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</si>
  <si>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</si>
  <si>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</si>
  <si>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</si>
  <si>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</si>
  <si>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</si>
  <si>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</si>
  <si>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</si>
  <si>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</si>
  <si>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</si>
  <si>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</si>
  <si>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</si>
  <si>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</si>
  <si>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</si>
  <si>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</si>
  <si>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</si>
  <si>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</si>
  <si>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</si>
  <si>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</si>
  <si>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</si>
  <si>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</si>
  <si>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</si>
  <si>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</si>
  <si>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</si>
  <si>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</si>
  <si>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</si>
  <si>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</si>
  <si>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</si>
  <si>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</si>
  <si>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</si>
  <si>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</si>
  <si>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</si>
  <si>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</si>
  <si>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</si>
  <si>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</si>
  <si>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</si>
  <si>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</si>
  <si>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</si>
  <si>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</si>
  <si>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</si>
  <si>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</si>
  <si>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</si>
  <si>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</si>
  <si>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</si>
  <si>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</si>
  <si>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</si>
  <si>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</si>
  <si>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</si>
  <si>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</si>
  <si>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</si>
  <si>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</si>
  <si>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</si>
  <si>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</si>
  <si>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</si>
  <si>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</si>
  <si>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</si>
  <si>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</si>
  <si>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</si>
  <si>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</si>
  <si>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</si>
  <si>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</si>
  <si>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</si>
  <si>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</si>
  <si>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</si>
  <si>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</si>
  <si>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</si>
  <si>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</si>
  <si>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</si>
  <si>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</si>
  <si>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</si>
  <si>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</si>
  <si>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</si>
  <si>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</si>
  <si>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</si>
  <si>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</si>
  <si>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</si>
  <si>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</si>
  <si>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</si>
  <si>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</si>
  <si>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</si>
  <si>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</si>
  <si>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</si>
  <si>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</si>
  <si>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</si>
  <si>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</si>
  <si>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</si>
  <si>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</si>
  <si>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</si>
  <si>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</si>
  <si>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</si>
  <si>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</si>
  <si>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</si>
  <si>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</si>
  <si>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</si>
  <si>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</si>
  <si>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</si>
  <si>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</si>
  <si>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</si>
  <si>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</si>
  <si>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</si>
  <si>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</si>
  <si>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</si>
  <si>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</si>
  <si>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</si>
  <si>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</si>
  <si>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</si>
  <si>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</si>
  <si>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</si>
  <si>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</si>
  <si>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</si>
  <si>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</si>
  <si>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</si>
  <si>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</si>
  <si>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</si>
  <si>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</si>
  <si>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</si>
  <si>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</si>
  <si>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</si>
  <si>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</si>
  <si>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</si>
  <si>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</si>
  <si>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</si>
  <si>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</si>
  <si>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</si>
  <si>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</si>
  <si>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</si>
  <si>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</si>
  <si>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</si>
  <si>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</si>
  <si>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</si>
  <si>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</si>
  <si>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</si>
  <si>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</si>
  <si>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</si>
  <si>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</si>
  <si>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</si>
  <si>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</si>
  <si>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</si>
  <si>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</si>
  <si>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</si>
  <si>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</si>
  <si>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</si>
  <si>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</si>
  <si>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</si>
  <si>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</si>
  <si>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</si>
  <si>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</si>
  <si>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</si>
  <si>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</si>
  <si>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</si>
  <si>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</si>
  <si>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</si>
  <si>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</si>
  <si>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</si>
  <si>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</si>
  <si>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</si>
  <si>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</si>
  <si>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</si>
  <si>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</si>
  <si>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</si>
  <si>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</si>
  <si>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</si>
  <si>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</si>
  <si>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</si>
  <si>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</si>
  <si>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</si>
  <si>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</si>
  <si>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</si>
  <si>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</si>
  <si>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</si>
  <si>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</si>
  <si>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</si>
  <si>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</si>
  <si>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</si>
  <si>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</si>
  <si>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</si>
  <si>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</si>
  <si>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</si>
  <si>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</si>
  <si>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</si>
  <si>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</si>
  <si>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</si>
  <si>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</si>
  <si>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</si>
  <si>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</si>
  <si>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</si>
  <si>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</si>
  <si>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</si>
  <si>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</si>
  <si>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</si>
  <si>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</si>
  <si>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</si>
  <si>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</si>
  <si>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</si>
  <si>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</si>
  <si>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</si>
  <si>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</si>
  <si>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</si>
  <si>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</si>
  <si>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</si>
  <si>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</si>
  <si>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</si>
  <si>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</si>
  <si>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</si>
  <si>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</si>
  <si>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</si>
  <si>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</si>
  <si>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</si>
  <si>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</si>
  <si>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</si>
  <si>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</si>
  <si>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</si>
  <si>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</si>
  <si>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</si>
  <si>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</si>
  <si>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</si>
  <si>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</si>
  <si>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</si>
  <si>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</si>
  <si>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</si>
  <si>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</si>
  <si>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</si>
  <si>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</si>
  <si>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</si>
  <si>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</si>
  <si>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</si>
  <si>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</si>
  <si>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</si>
  <si>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</si>
  <si>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</si>
  <si>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</si>
  <si>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</si>
  <si>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</si>
  <si>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</si>
  <si>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</si>
  <si>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</si>
  <si>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</si>
  <si>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</si>
  <si>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</si>
  <si>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</si>
  <si>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</si>
  <si>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</si>
  <si>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</si>
  <si>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</si>
  <si>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</si>
  <si>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</si>
  <si>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</si>
  <si>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</si>
  <si>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</si>
  <si>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</si>
  <si>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</si>
  <si>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</si>
  <si>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</si>
  <si>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</si>
  <si>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</si>
  <si>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</si>
  <si>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</si>
  <si>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</si>
  <si>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</si>
  <si>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</si>
  <si>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</si>
  <si>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</si>
  <si>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</si>
  <si>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</si>
  <si>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</si>
  <si>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</si>
  <si>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</si>
  <si>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</si>
  <si>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</si>
  <si>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</si>
  <si>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</si>
  <si>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</si>
  <si>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</si>
  <si>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</si>
  <si>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</si>
  <si>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</si>
  <si>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</si>
  <si>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</si>
  <si>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</si>
  <si>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</si>
  <si>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</si>
  <si>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</si>
  <si>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</si>
  <si>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</si>
  <si>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</si>
  <si>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</si>
  <si>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</si>
  <si>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</si>
  <si>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</si>
  <si>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</si>
  <si>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</si>
  <si>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</si>
  <si>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</si>
  <si>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</si>
  <si>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</si>
  <si>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</si>
  <si>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</si>
  <si>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</si>
  <si>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</si>
  <si>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</si>
  <si>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</si>
  <si>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</si>
  <si>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</si>
  <si>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</si>
  <si>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</si>
  <si>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</si>
  <si>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</si>
  <si>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</si>
  <si>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</si>
  <si>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</si>
  <si>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</si>
  <si>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</si>
  <si>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</si>
  <si>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</si>
  <si>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</si>
  <si>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</si>
  <si>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</si>
  <si>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</si>
  <si>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</si>
  <si>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</si>
  <si>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</si>
  <si>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</si>
  <si>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</si>
  <si>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</si>
  <si>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</si>
  <si>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</si>
  <si>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</si>
  <si>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</si>
  <si>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</si>
  <si>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</si>
  <si>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</si>
  <si>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</si>
  <si>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</si>
  <si>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</si>
  <si>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</si>
  <si>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</si>
  <si>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</si>
  <si>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</si>
  <si>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</si>
  <si>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</si>
  <si>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</si>
  <si>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</si>
  <si>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</si>
  <si>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</si>
  <si>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</si>
  <si>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</si>
  <si>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</si>
  <si>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</si>
  <si>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</si>
  <si>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</si>
  <si>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</si>
  <si>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</si>
  <si>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</si>
  <si>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</si>
  <si>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</si>
  <si>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</si>
  <si>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</si>
  <si>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</si>
  <si>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</si>
  <si>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</si>
  <si>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</si>
  <si>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</si>
  <si>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</si>
  <si>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</si>
  <si>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</si>
  <si>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</si>
  <si>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</si>
  <si>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</si>
  <si>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</si>
  <si>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</si>
  <si>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</si>
  <si>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</si>
  <si>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</si>
  <si>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</si>
  <si>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</si>
  <si>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</si>
  <si>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</si>
  <si>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</si>
  <si>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</si>
  <si>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</si>
  <si>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</si>
  <si>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</si>
  <si>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</si>
  <si>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</si>
  <si>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</si>
  <si>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</si>
  <si>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</si>
  <si>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</si>
  <si>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</si>
  <si>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</si>
  <si>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</si>
  <si>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</si>
  <si>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</si>
  <si>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</si>
  <si>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</si>
  <si>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</si>
  <si>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</si>
  <si>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</si>
  <si>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</si>
  <si>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</si>
  <si>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</si>
  <si>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</si>
  <si>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</si>
  <si>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</si>
  <si>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</si>
  <si>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</si>
  <si>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</si>
  <si>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</si>
  <si>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</si>
  <si>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</si>
  <si>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</si>
  <si>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</si>
  <si>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</si>
  <si>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</si>
  <si>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</si>
  <si>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</si>
  <si>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</si>
  <si>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</si>
  <si>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</si>
  <si>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</si>
  <si>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</si>
  <si>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</si>
  <si>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</si>
  <si>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</si>
  <si>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</si>
  <si>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</si>
  <si>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</si>
  <si>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</si>
  <si>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</si>
  <si>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</si>
  <si>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</si>
  <si>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</si>
  <si>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</si>
  <si>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</si>
  <si>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</si>
  <si>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</si>
  <si>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</si>
  <si>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</si>
  <si>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</si>
  <si>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</si>
  <si>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</si>
  <si>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</si>
  <si>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</si>
  <si>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</si>
  <si>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</si>
  <si>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</si>
  <si>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</si>
  <si>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</si>
  <si>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</si>
  <si>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</si>
  <si>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</si>
  <si>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</si>
  <si>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</si>
  <si>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</si>
  <si>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</si>
  <si>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</si>
  <si>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</si>
  <si>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</si>
  <si>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</si>
  <si>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</si>
  <si>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</si>
  <si>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</si>
  <si>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</si>
  <si>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</si>
  <si>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</si>
  <si>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</si>
  <si>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</si>
  <si>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</si>
  <si>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</si>
  <si>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</si>
  <si>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</si>
  <si>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</si>
  <si>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</si>
  <si>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</si>
  <si>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</si>
  <si>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</si>
  <si>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</si>
  <si>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</si>
  <si>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</si>
  <si>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</si>
  <si>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</si>
  <si>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</si>
  <si>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</si>
  <si>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</si>
  <si>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</si>
  <si>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</si>
  <si>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</si>
  <si>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</si>
  <si>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</si>
  <si>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</si>
  <si>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</si>
  <si>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</si>
  <si>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</si>
  <si>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</si>
  <si>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</si>
  <si>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</si>
  <si>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</si>
  <si>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</si>
  <si>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</si>
  <si>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</si>
  <si>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</si>
  <si>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</si>
  <si>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</si>
  <si>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</si>
  <si>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</si>
  <si>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</si>
  <si>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</si>
  <si>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</si>
  <si>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</si>
  <si>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</si>
  <si>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</si>
  <si>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</si>
  <si>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</si>
  <si>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</si>
  <si>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</si>
  <si>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</si>
  <si>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</si>
  <si>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</si>
  <si>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</si>
  <si>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</si>
  <si>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</si>
  <si>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</si>
  <si>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</si>
  <si>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</si>
  <si>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</si>
  <si>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</si>
  <si>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</si>
  <si>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</si>
  <si>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</si>
  <si>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</si>
  <si>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</si>
  <si>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</si>
  <si>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</si>
  <si>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</si>
  <si>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</si>
  <si>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</si>
  <si>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</si>
  <si>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</si>
  <si>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</si>
  <si>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</si>
  <si>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</si>
  <si>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</si>
  <si>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</si>
  <si>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</si>
  <si>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</si>
  <si>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</si>
  <si>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</si>
  <si>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</si>
  <si>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</si>
  <si>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</si>
  <si>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</si>
  <si>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</si>
  <si>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</si>
  <si>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</si>
  <si>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</si>
  <si>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</si>
  <si>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</si>
  <si>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</si>
  <si>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</si>
  <si>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</si>
  <si>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</si>
  <si>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</si>
  <si>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</si>
  <si>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</si>
  <si>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</si>
  <si>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</si>
  <si>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</si>
  <si>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</si>
  <si>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</si>
  <si>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</si>
  <si>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</si>
  <si>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</si>
  <si>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</si>
  <si>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</si>
  <si>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</si>
  <si>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</si>
  <si>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</si>
  <si>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</si>
  <si>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</si>
  <si>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</si>
  <si>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</si>
  <si>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</si>
  <si>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</si>
  <si>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</si>
  <si>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</si>
  <si>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</si>
  <si>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</si>
  <si>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</si>
  <si>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</si>
  <si>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</si>
  <si>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</si>
  <si>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</si>
  <si>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</si>
  <si>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</si>
  <si>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</si>
  <si>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</si>
  <si>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</si>
  <si>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</si>
  <si>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</si>
  <si>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</si>
  <si>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</si>
  <si>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</si>
  <si>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</si>
  <si>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</si>
  <si>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</si>
  <si>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</si>
  <si>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</si>
  <si>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</si>
  <si>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</si>
  <si>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</si>
  <si>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</si>
  <si>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</si>
  <si>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</si>
  <si>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</si>
  <si>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</si>
  <si>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</si>
  <si>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</si>
  <si>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</si>
  <si>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</si>
  <si>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</si>
  <si>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</si>
  <si>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</si>
  <si>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</si>
  <si>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</si>
  <si>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</si>
  <si>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</si>
  <si>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</si>
  <si>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</si>
  <si>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</si>
  <si>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</si>
  <si>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</si>
  <si>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</si>
  <si>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</si>
  <si>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</si>
  <si>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</si>
  <si>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</si>
  <si>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</si>
  <si>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</si>
  <si>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</si>
  <si>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</si>
  <si>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</si>
  <si>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</si>
  <si>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</si>
  <si>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</si>
  <si>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</si>
  <si>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</si>
  <si>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</si>
  <si>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</si>
  <si>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</si>
  <si>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</si>
  <si>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</si>
  <si>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</si>
  <si>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</si>
  <si>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</si>
  <si>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</si>
  <si>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</si>
  <si>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</si>
  <si>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</si>
  <si>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</si>
  <si>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</si>
  <si>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</si>
  <si>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</si>
  <si>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</si>
  <si>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</si>
  <si>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</si>
  <si>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</si>
  <si>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</si>
  <si>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</si>
  <si>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</si>
  <si>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</si>
  <si>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</si>
  <si>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</si>
  <si>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</si>
  <si>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</si>
  <si>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</si>
  <si>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</si>
  <si>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</si>
  <si>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</si>
  <si>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</si>
  <si>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</si>
  <si>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</si>
  <si>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</si>
  <si>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</si>
  <si>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</si>
  <si>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</si>
  <si>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</si>
  <si>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</si>
  <si>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</si>
  <si>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</si>
  <si>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</si>
  <si>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</si>
  <si>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</si>
  <si>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</si>
  <si>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</si>
  <si>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</si>
  <si>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</si>
  <si>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</si>
  <si>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</si>
  <si>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</si>
  <si>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</si>
  <si>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</si>
  <si>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</si>
  <si>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</si>
  <si>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</si>
  <si>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</si>
  <si>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</si>
  <si>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</si>
  <si>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</si>
  <si>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</si>
  <si>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</si>
  <si>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</si>
  <si>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</si>
  <si>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</si>
  <si>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</si>
  <si>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</si>
  <si>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</si>
  <si>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</si>
  <si>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</si>
  <si>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</si>
  <si>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</si>
  <si>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</si>
  <si>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</si>
  <si>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</si>
  <si>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</si>
  <si>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</si>
  <si>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</si>
  <si>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</si>
  <si>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</si>
  <si>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</si>
  <si>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</si>
  <si>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</si>
  <si>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</si>
  <si>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</si>
  <si>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</si>
  <si>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</si>
  <si>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</si>
  <si>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</si>
  <si>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</si>
  <si>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</si>
  <si>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</si>
  <si>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</si>
  <si>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</si>
  <si>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</si>
  <si>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</si>
  <si>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</si>
  <si>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</si>
  <si>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</si>
  <si>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</si>
  <si>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</si>
  <si>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</si>
  <si>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</si>
  <si>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</si>
  <si>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</si>
  <si>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</si>
  <si>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</si>
  <si>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</si>
  <si>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</si>
  <si>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</si>
  <si>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</si>
  <si>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</si>
  <si>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</si>
  <si>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</si>
  <si>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</si>
  <si>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</si>
  <si>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</si>
  <si>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</si>
  <si>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</si>
  <si>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</si>
  <si>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</si>
  <si>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</si>
  <si>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</si>
  <si>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</si>
  <si>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</si>
  <si>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</si>
  <si>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</si>
  <si>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</si>
  <si>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</si>
  <si>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</si>
  <si>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</si>
  <si>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</si>
  <si>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</si>
  <si>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</si>
  <si>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</si>
  <si>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L000009923</t>
  </si>
  <si>
    <t>L000012458</t>
  </si>
  <si>
    <t>L000012471</t>
  </si>
  <si>
    <t>L000013456</t>
  </si>
  <si>
    <t>FR7992012</t>
  </si>
  <si>
    <t>CSCALA_1826$302_ST</t>
  </si>
  <si>
    <t>CSCALA_1826$301_MV</t>
  </si>
  <si>
    <t>CSCALA_1826$350_MV</t>
  </si>
  <si>
    <t>G000000765</t>
  </si>
  <si>
    <t>G000000152</t>
  </si>
  <si>
    <t>DFLTPGCOH_BF-C6_001826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</si>
  <si>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</si>
  <si>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</si>
  <si>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</si>
  <si>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</si>
  <si>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</si>
  <si>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</si>
  <si>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</si>
  <si>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</si>
  <si>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</si>
  <si>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</si>
  <si>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G000000243_DEFAULT</t>
  </si>
  <si>
    <t>CN01TPAZ08</t>
  </si>
  <si>
    <t>CN01OF0161</t>
  </si>
  <si>
    <t>CN01TPAZ06</t>
  </si>
  <si>
    <t>CN02TPZZ05</t>
  </si>
  <si>
    <t>CN02TPZZ08</t>
  </si>
  <si>
    <t>CN03TPZZ01</t>
  </si>
  <si>
    <t>CN03TPZZ03</t>
  </si>
  <si>
    <t>CN02TPZZ02</t>
  </si>
  <si>
    <t>CN02TQ1001</t>
  </si>
  <si>
    <t>CN02TQ1002</t>
  </si>
  <si>
    <t>CN02TQ1003</t>
  </si>
  <si>
    <t>CN03TPZZ02</t>
  </si>
  <si>
    <t>CN10DB1001</t>
  </si>
  <si>
    <t>CN10DB1002</t>
  </si>
  <si>
    <t>CN10DB1004</t>
  </si>
  <si>
    <t>CN09DB3303</t>
  </si>
  <si>
    <t>CN09DB3305</t>
  </si>
  <si>
    <t>CN09TQ1001</t>
  </si>
  <si>
    <t>CN09TQ1002</t>
  </si>
  <si>
    <t>CN09TQ1003</t>
  </si>
  <si>
    <t>CN09DB3309</t>
  </si>
  <si>
    <t>CN09DB3300</t>
  </si>
  <si>
    <t>CN09TM3000</t>
  </si>
  <si>
    <t>CN09DB3301</t>
  </si>
  <si>
    <t>CN09DB3307</t>
  </si>
  <si>
    <t>Standard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</si>
  <si>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</si>
  <si>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</si>
  <si>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</si>
  <si>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</si>
  <si>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</si>
  <si>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H00000325</t>
  </si>
  <si>
    <t>H000002956 - [Gu - Marketing Shared]</t>
  </si>
  <si>
    <t>H000000254</t>
  </si>
  <si>
    <t>H000002969 - [Gu - Promotion activities Fertility]</t>
  </si>
  <si>
    <t>LEAN_X310802ZA5020000</t>
  </si>
  <si>
    <t>LEAN_X310801AE5015000</t>
  </si>
  <si>
    <t>LEAN_X310171DE6230000</t>
  </si>
  <si>
    <t>LEAN_X310201AE5011000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</si>
  <si>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</si>
  <si>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</si>
  <si>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</si>
  <si>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</si>
  <si>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</si>
  <si>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</si>
  <si>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</si>
  <si>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</si>
  <si>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G000001264</t>
  </si>
  <si>
    <t>G000001179</t>
  </si>
  <si>
    <t>G000000707</t>
  </si>
  <si>
    <t>LS?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</si>
</sst>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64791203705" createdVersion="7" refreshedVersion="7" minRefreshableVersion="3" recordCount="4784" xr:uid="{11839AE3-6158-4318-87AD-2C711D0BF451}">
  <cacheSource type="worksheet">
    <worksheetSource name="Proc"/>
  </cacheSource>
  <cacheFields count="19">
    <cacheField name="App" numFmtId="0">
      <sharedItems containsBlank="1" count="162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5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8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8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21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2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1"/>
    <s v="Jojeff Tagnong"/>
    <m/>
  </r>
  <r>
    <x v="416"/>
    <x v="1"/>
    <x v="5"/>
    <s v="CSCALA_1022$ITR"/>
    <s v="G000001238"/>
    <s v="G000000243_DEFAULT"/>
    <s v="Non-LFF"/>
    <s v=""/>
    <m/>
    <b v="0"/>
    <x v="0"/>
    <x v="0"/>
    <d v="2025-11-07T00:00:00"/>
    <m/>
    <m/>
    <x v="1"/>
    <n v="1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0"/>
    <n v="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0"/>
    <n v="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0"/>
    <n v="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0"/>
    <n v="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0"/>
    <n v="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0"/>
    <n v="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0"/>
    <n v="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0"/>
    <n v="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0"/>
    <n v="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0"/>
    <n v="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0"/>
    <n v="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0"/>
    <n v="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0"/>
    <n v="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0"/>
    <n v="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0"/>
    <n v="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0"/>
    <n v="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0"/>
    <n v="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0"/>
    <n v="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0"/>
    <n v="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45.3541 Quality PS Field Service"/>
    <s v="L000013846"/>
    <s v="L000013846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15019 PSC - Central EU (GESA)"/>
    <s v="L000013915"/>
    <s v="L000013915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95000 Marketing"/>
    <s v="L000013845"/>
    <s v="L000013845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ITEMPEU_CH70AA0011 Freight Outbound 3110410000"/>
    <s v="L000009407"/>
    <s v="L00000940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51972 Buchs Outbound Freight"/>
    <s v="L000009413"/>
    <s v="L000009413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NOW_7210$$$0000051924 SP General COS Steinheim"/>
    <s v="L000010212"/>
    <s v="L000010212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41000 Sales"/>
    <s v="L000009437"/>
    <s v="L000009437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FLTFLE_1106T62100 Logistic"/>
    <s v="L000009437"/>
    <s v="L000009437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2125C03326 IL inbound freight"/>
    <s v="L000009657"/>
    <s v="L000012458"/>
    <s v="LFF (MDG-F)"/>
    <s v="2125C03326"/>
    <m/>
    <b v="0"/>
    <x v="2"/>
    <x v="0"/>
    <d v="2025-11-22T00:00:00"/>
    <m/>
    <m/>
    <x v="0"/>
    <n v="0"/>
    <s v="Ruby Grace Garcia"/>
    <m/>
  </r>
  <r>
    <x v="441"/>
    <x v="1"/>
    <x v="6"/>
    <s v="CLFF_7210$$$2022TQAZ93 IE Arklow freight"/>
    <s v="L000009485"/>
    <s v="L000009923"/>
    <s v="LFF (MDG-F)"/>
    <s v="2022TQAZ93"/>
    <m/>
    <b v="0"/>
    <x v="2"/>
    <x v="0"/>
    <d v="2025-11-22T00:00:00"/>
    <m/>
    <m/>
    <x v="0"/>
    <n v="0"/>
    <s v="Ruby Grace Garcia"/>
    <m/>
  </r>
  <r>
    <x v="441"/>
    <x v="1"/>
    <x v="2"/>
    <s v="CORAERP_MMOR1917.4165 Outbound IC Freight UK"/>
    <s v="L000009556"/>
    <s v="L000009556"/>
    <s v="Non-LFF"/>
    <s v=""/>
    <m/>
    <b v="1"/>
    <x v="2"/>
    <x v="0"/>
    <d v="2025-11-22T00:00:00"/>
    <m/>
    <m/>
    <x v="0"/>
    <n v="0"/>
    <s v="Ruby Grace Garcia"/>
    <m/>
  </r>
  <r>
    <x v="441"/>
    <x v="1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1937TQCZ91 EI outbound freight"/>
    <s v="L000010287"/>
    <s v="L000012471"/>
    <s v="LFF (MDG-F)"/>
    <s v="1937TQCZ91"/>
    <m/>
    <b v="0"/>
    <x v="2"/>
    <x v="0"/>
    <d v="2025-11-22T00:00:00"/>
    <m/>
    <m/>
    <x v="0"/>
    <n v="0"/>
    <s v="Ruby Grace Garcia"/>
    <m/>
  </r>
  <r>
    <x v="441"/>
    <x v="1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0"/>
    <n v="0"/>
    <s v="Ruby Grace Garcia"/>
    <m/>
  </r>
  <r>
    <x v="441"/>
    <x v="1"/>
    <x v="6"/>
    <s v="CLFF_7210$$$1937TMCZ9J Global Engineering and SME's"/>
    <s v="L000013867"/>
    <s v="L000013456"/>
    <s v="LFF (MDG-F)"/>
    <s v="1937TMCZ9J"/>
    <m/>
    <b v="0"/>
    <x v="2"/>
    <x v="0"/>
    <d v="2025-11-22T00:00:00"/>
    <m/>
    <m/>
    <x v="0"/>
    <n v="0"/>
    <s v="Ruby Grace Garcia"/>
    <m/>
  </r>
  <r>
    <x v="442"/>
    <x v="1"/>
    <x v="5"/>
    <s v="CSCALA_1826$302_ST"/>
    <s v="G000000765"/>
    <s v="DFLTPGCOH_BF-C6_001826"/>
    <s v="Non-LFF"/>
    <s v=""/>
    <m/>
    <b v="0"/>
    <x v="0"/>
    <x v="0"/>
    <d v="2025-11-24T00:00:00"/>
    <m/>
    <m/>
    <x v="0"/>
    <n v="0"/>
    <s v="Jojeff Tagnong"/>
    <m/>
  </r>
  <r>
    <x v="442"/>
    <x v="1"/>
    <x v="5"/>
    <s v="CSCALA_1826$301_MV"/>
    <s v="G000000152"/>
    <s v="DFLTPGCOH_BF-C6_001826"/>
    <s v="Non-LFF"/>
    <s v=""/>
    <m/>
    <b v="0"/>
    <x v="0"/>
    <x v="0"/>
    <d v="2025-11-24T00:00:00"/>
    <m/>
    <m/>
    <x v="0"/>
    <n v="0"/>
    <s v="Jojeff Tagnong"/>
    <m/>
  </r>
  <r>
    <x v="442"/>
    <x v="1"/>
    <x v="5"/>
    <s v="CSCALA_1826$350_MV"/>
    <s v="G000000152"/>
    <s v="DFLTPGCOH_BF-C6_001826"/>
    <s v="Non-LFF"/>
    <s v=""/>
    <m/>
    <b v="0"/>
    <x v="0"/>
    <x v="0"/>
    <d v="2025-11-24T00:00:00"/>
    <m/>
    <m/>
    <x v="0"/>
    <n v="0"/>
    <s v="Jojeff Tagnong"/>
    <m/>
  </r>
  <r>
    <x v="443"/>
    <x v="1"/>
    <x v="6"/>
    <s v="CLFF_1000$$$CN01TPAZ08"/>
    <s v="P000001380"/>
    <s v="P000000571"/>
    <s v="LFF (MDG-F)"/>
    <s v="CN01TPAZ08"/>
    <m/>
    <b v="0"/>
    <x v="3"/>
    <x v="0"/>
    <d v="2025-11-24T00:00:00"/>
    <m/>
    <m/>
    <x v="0"/>
    <n v="0"/>
    <s v="John Rowie Del Rosario"/>
    <m/>
  </r>
  <r>
    <x v="443"/>
    <x v="1"/>
    <x v="6"/>
    <s v="CLFF_1000$$$CN01OF0161"/>
    <s v="P000001380"/>
    <s v="P000000571"/>
    <s v="LFF (MDG-F)"/>
    <s v="CN01OF0161"/>
    <m/>
    <b v="0"/>
    <x v="3"/>
    <x v="0"/>
    <d v="2025-11-24T00:00:00"/>
    <m/>
    <m/>
    <x v="0"/>
    <n v="0"/>
    <s v="John Rowie Del Rosario"/>
    <m/>
  </r>
  <r>
    <x v="443"/>
    <x v="1"/>
    <x v="6"/>
    <s v="CLFF_1000$$$CN01TPAZ06"/>
    <s v="P000001380"/>
    <s v="P000000571"/>
    <s v="LFF (MDG-F)"/>
    <s v="CN01TPAZ06"/>
    <m/>
    <b v="0"/>
    <x v="3"/>
    <x v="0"/>
    <d v="2025-11-24T00:00:00"/>
    <m/>
    <m/>
    <x v="0"/>
    <n v="0"/>
    <s v="John Rowie Del Rosario"/>
    <m/>
  </r>
  <r>
    <x v="443"/>
    <x v="1"/>
    <x v="6"/>
    <s v="CLFF_1000$$$CN02TPZZ05"/>
    <s v="P000001380"/>
    <s v="P000000571"/>
    <s v="LFF (MDG-F)"/>
    <s v="CN02TPZZ05"/>
    <m/>
    <b v="0"/>
    <x v="3"/>
    <x v="0"/>
    <d v="2025-11-24T00:00:00"/>
    <m/>
    <m/>
    <x v="0"/>
    <n v="0"/>
    <s v="John Rowie Del Rosario"/>
    <m/>
  </r>
  <r>
    <x v="443"/>
    <x v="1"/>
    <x v="6"/>
    <s v="CLFF_1000$$$CN02TPZZ08"/>
    <s v="P000001380"/>
    <s v="P000000571"/>
    <s v="LFF (MDG-F)"/>
    <s v="CN02TPZZ08"/>
    <m/>
    <b v="0"/>
    <x v="3"/>
    <x v="0"/>
    <d v="2025-11-24T00:00:00"/>
    <m/>
    <m/>
    <x v="0"/>
    <n v="0"/>
    <s v="John Rowie Del Rosario"/>
    <m/>
  </r>
  <r>
    <x v="443"/>
    <x v="1"/>
    <x v="6"/>
    <s v="CLFF_1000$$$CN03TPZZ01"/>
    <s v="P000001380"/>
    <s v="P000000571"/>
    <s v="LFF (MDG-F)"/>
    <s v="CN03TPZZ01"/>
    <m/>
    <b v="0"/>
    <x v="3"/>
    <x v="0"/>
    <d v="2025-11-24T00:00:00"/>
    <m/>
    <m/>
    <x v="0"/>
    <n v="0"/>
    <s v="John Rowie Del Rosario"/>
    <m/>
  </r>
  <r>
    <x v="443"/>
    <x v="1"/>
    <x v="6"/>
    <s v="CLFF_1000$$$CN03TPZZ03"/>
    <s v="P000001380"/>
    <s v="P000000571"/>
    <s v="LFF (MDG-F)"/>
    <s v="CN03TPZZ03"/>
    <m/>
    <b v="0"/>
    <x v="3"/>
    <x v="0"/>
    <d v="2025-11-24T00:00:00"/>
    <m/>
    <m/>
    <x v="0"/>
    <n v="0"/>
    <s v="John Rowie Del Rosario"/>
    <m/>
  </r>
  <r>
    <x v="443"/>
    <x v="1"/>
    <x v="6"/>
    <s v="CLFF_1000$$$CN02TPZZ02"/>
    <s v="P000001380"/>
    <s v="P000000571"/>
    <s v="LFF (MDG-F)"/>
    <s v="CN02TPZZ02"/>
    <m/>
    <b v="0"/>
    <x v="3"/>
    <x v="0"/>
    <d v="2025-11-24T00:00:00"/>
    <m/>
    <m/>
    <x v="0"/>
    <n v="0"/>
    <s v="John Rowie Del Rosario"/>
    <m/>
  </r>
  <r>
    <x v="443"/>
    <x v="1"/>
    <x v="6"/>
    <s v="CLFF_1000$$$CN02TQ1001"/>
    <s v="P000001380"/>
    <s v="P000000571"/>
    <s v="LFF (MDG-F)"/>
    <s v="CN02TQ1001"/>
    <m/>
    <b v="0"/>
    <x v="3"/>
    <x v="0"/>
    <d v="2025-11-24T00:00:00"/>
    <m/>
    <m/>
    <x v="0"/>
    <n v="0"/>
    <s v="John Rowie Del Rosario"/>
    <m/>
  </r>
  <r>
    <x v="443"/>
    <x v="1"/>
    <x v="6"/>
    <s v="CLFF_1000$$$CN02TQ1002"/>
    <s v="P000001380"/>
    <s v="P000000571"/>
    <s v="LFF (MDG-F)"/>
    <s v="CN02TQ1002"/>
    <m/>
    <b v="0"/>
    <x v="3"/>
    <x v="0"/>
    <d v="2025-11-24T00:00:00"/>
    <m/>
    <m/>
    <x v="0"/>
    <n v="0"/>
    <s v="John Rowie Del Rosario"/>
    <m/>
  </r>
  <r>
    <x v="443"/>
    <x v="1"/>
    <x v="6"/>
    <s v="CLFF_1000$$$CN02TQ1003"/>
    <s v="P000001380"/>
    <s v="P000000571"/>
    <s v="LFF (MDG-F)"/>
    <s v="CN02TQ1003"/>
    <m/>
    <b v="0"/>
    <x v="3"/>
    <x v="0"/>
    <d v="2025-11-24T00:00:00"/>
    <m/>
    <m/>
    <x v="0"/>
    <n v="0"/>
    <s v="John Rowie Del Rosario"/>
    <m/>
  </r>
  <r>
    <x v="443"/>
    <x v="1"/>
    <x v="6"/>
    <s v="CLFF_1000$$$CN03TPZZ02"/>
    <s v="P000001380"/>
    <s v="P000000571"/>
    <s v="LFF (MDG-F)"/>
    <s v="CN03TPZZ02"/>
    <m/>
    <b v="0"/>
    <x v="3"/>
    <x v="0"/>
    <d v="2025-11-24T00:00:00"/>
    <m/>
    <m/>
    <x v="0"/>
    <n v="0"/>
    <s v="John Rowie Del Rosario"/>
    <m/>
  </r>
  <r>
    <x v="443"/>
    <x v="1"/>
    <x v="6"/>
    <s v="CLFF_VMCA$$$CN10DB1001"/>
    <s v="P000001380"/>
    <s v="P000000571"/>
    <s v="LFF (MDG-F)"/>
    <s v="CN10DB1001"/>
    <m/>
    <b v="0"/>
    <x v="3"/>
    <x v="0"/>
    <d v="2025-11-24T00:00:00"/>
    <m/>
    <m/>
    <x v="0"/>
    <n v="0"/>
    <s v="John Rowie Del Rosario"/>
    <m/>
  </r>
  <r>
    <x v="443"/>
    <x v="1"/>
    <x v="6"/>
    <s v="CLFF_VMCA$$$CN10DB1002"/>
    <s v="P000001380"/>
    <s v="P000000571"/>
    <s v="LFF (MDG-F)"/>
    <s v="CN10DB1002"/>
    <m/>
    <b v="0"/>
    <x v="3"/>
    <x v="0"/>
    <d v="2025-11-24T00:00:00"/>
    <m/>
    <m/>
    <x v="0"/>
    <n v="0"/>
    <s v="John Rowie Del Rosario"/>
    <m/>
  </r>
  <r>
    <x v="443"/>
    <x v="1"/>
    <x v="6"/>
    <s v="CLFF_VMCA$$$CN10DB1004"/>
    <s v="P000001380"/>
    <s v="P000000571"/>
    <s v="LFF (MDG-F)"/>
    <s v="CN10DB1004"/>
    <m/>
    <b v="0"/>
    <x v="3"/>
    <x v="0"/>
    <d v="2025-11-24T00:00:00"/>
    <m/>
    <m/>
    <x v="0"/>
    <n v="0"/>
    <s v="John Rowie Del Rosario"/>
    <m/>
  </r>
  <r>
    <x v="443"/>
    <x v="1"/>
    <x v="6"/>
    <s v="CLFF_VMCA$$$CN09DB3303"/>
    <s v="P000001380"/>
    <s v="P000000571"/>
    <s v="LFF (MDG-F)"/>
    <s v="CN09DB3303"/>
    <m/>
    <b v="0"/>
    <x v="3"/>
    <x v="0"/>
    <d v="2025-11-24T00:00:00"/>
    <m/>
    <m/>
    <x v="0"/>
    <n v="0"/>
    <s v="John Rowie Del Rosario"/>
    <m/>
  </r>
  <r>
    <x v="443"/>
    <x v="1"/>
    <x v="6"/>
    <s v="CLFF_VMCA$$$CN09DB3305"/>
    <s v="P000001380"/>
    <s v="P000000571"/>
    <s v="LFF (MDG-F)"/>
    <s v="CN09DB3305"/>
    <m/>
    <b v="0"/>
    <x v="3"/>
    <x v="0"/>
    <d v="2025-11-24T00:00:00"/>
    <m/>
    <m/>
    <x v="0"/>
    <n v="0"/>
    <s v="John Rowie Del Rosario"/>
    <m/>
  </r>
  <r>
    <x v="443"/>
    <x v="1"/>
    <x v="6"/>
    <s v="CLFF_VMCA$$$CN09TQ1001"/>
    <s v="P000001380"/>
    <s v="P000000571"/>
    <s v="LFF (MDG-F)"/>
    <s v="CN09TQ1001"/>
    <m/>
    <b v="0"/>
    <x v="3"/>
    <x v="0"/>
    <d v="2025-11-24T00:00:00"/>
    <m/>
    <m/>
    <x v="0"/>
    <n v="0"/>
    <s v="John Rowie Del Rosario"/>
    <m/>
  </r>
  <r>
    <x v="443"/>
    <x v="1"/>
    <x v="6"/>
    <s v="CLFF_VMCA$$$CN09TQ1002"/>
    <s v="P000001380"/>
    <s v="P000000571"/>
    <s v="LFF (MDG-F)"/>
    <s v="CN09TQ1002"/>
    <m/>
    <b v="0"/>
    <x v="3"/>
    <x v="0"/>
    <d v="2025-11-24T00:00:00"/>
    <m/>
    <m/>
    <x v="0"/>
    <n v="0"/>
    <s v="John Rowie Del Rosario"/>
    <m/>
  </r>
  <r>
    <x v="443"/>
    <x v="1"/>
    <x v="6"/>
    <s v="CLFF_VMCA$$$CN09TQ1003"/>
    <s v="P000001380"/>
    <s v="P000000571"/>
    <s v="LFF (MDG-F)"/>
    <s v="CN09TQ1003"/>
    <m/>
    <b v="0"/>
    <x v="3"/>
    <x v="0"/>
    <d v="2025-11-24T00:00:00"/>
    <m/>
    <m/>
    <x v="0"/>
    <n v="0"/>
    <s v="John Rowie Del Rosario"/>
    <m/>
  </r>
  <r>
    <x v="443"/>
    <x v="1"/>
    <x v="6"/>
    <s v="CLFF_VMCA$$$CN09DB3309"/>
    <s v="P000001380"/>
    <s v="P000000571"/>
    <s v="LFF (MDG-F)"/>
    <s v="CN09DB3309"/>
    <m/>
    <b v="0"/>
    <x v="3"/>
    <x v="0"/>
    <d v="2025-11-24T00:00:00"/>
    <m/>
    <m/>
    <x v="0"/>
    <n v="0"/>
    <s v="John Rowie Del Rosario"/>
    <m/>
  </r>
  <r>
    <x v="443"/>
    <x v="1"/>
    <x v="6"/>
    <s v="CLFF_VMCA$$$CN09DB3300"/>
    <s v="P000001380"/>
    <s v="P000000571"/>
    <s v="LFF (MDG-F)"/>
    <s v="CN09DB3300"/>
    <m/>
    <b v="0"/>
    <x v="3"/>
    <x v="0"/>
    <d v="2025-11-24T00:00:00"/>
    <m/>
    <m/>
    <x v="0"/>
    <n v="0"/>
    <s v="John Rowie Del Rosario"/>
    <m/>
  </r>
  <r>
    <x v="443"/>
    <x v="1"/>
    <x v="6"/>
    <s v="CLFF_VMCA$$$CN09TM3000"/>
    <s v="P000001380"/>
    <s v="P000000571"/>
    <s v="LFF (MDG-F)"/>
    <s v="CN09TM3000"/>
    <m/>
    <b v="0"/>
    <x v="3"/>
    <x v="0"/>
    <d v="2025-11-24T00:00:00"/>
    <m/>
    <m/>
    <x v="0"/>
    <n v="0"/>
    <s v="John Rowie Del Rosario"/>
    <m/>
  </r>
  <r>
    <x v="443"/>
    <x v="1"/>
    <x v="6"/>
    <s v="CLFF_VMCA$$$CN09DB3301"/>
    <s v="P000001380"/>
    <s v="P000000571"/>
    <s v="LFF (MDG-F)"/>
    <s v="CN09DB3301"/>
    <m/>
    <b v="0"/>
    <x v="3"/>
    <x v="0"/>
    <d v="2025-11-24T00:00:00"/>
    <m/>
    <m/>
    <x v="0"/>
    <n v="0"/>
    <s v="John Rowie Del Rosario"/>
    <m/>
  </r>
  <r>
    <x v="443"/>
    <x v="1"/>
    <x v="6"/>
    <s v="CLFF_VMCA$$$CN09DB3307"/>
    <s v="P000001380"/>
    <s v="P000000571"/>
    <s v="LFF (MDG-F)"/>
    <s v="CN09DB3307"/>
    <m/>
    <b v="0"/>
    <x v="3"/>
    <x v="0"/>
    <d v="2025-11-24T00:00:00"/>
    <m/>
    <m/>
    <x v="0"/>
    <n v="0"/>
    <s v="John Rowie Del Rosario"/>
    <m/>
  </r>
  <r>
    <x v="444"/>
    <x v="1"/>
    <x v="5"/>
    <s v="PLEAN_X310511TN5013218 SMASEP MAVENCLAD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002TN5013200 FERT-NA-ESHRE"/>
    <s v="H000000262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201MA5013200 Morocco Local congresses (MA50)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301MA5015200 Projet Maroc : Sobrus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511MA5013221 Merck event Neuro MA&amp;SA-fees"/>
    <s v="H000000286"/>
    <s v="H000000888"/>
    <m/>
    <s v=""/>
    <m/>
    <b v="0"/>
    <x v="1"/>
    <x v="0"/>
    <d v="2025-11-24T00:00:00"/>
    <m/>
    <m/>
    <x v="0"/>
    <n v="0"/>
    <s v="Daniella Sasa"/>
    <m/>
  </r>
  <r>
    <x v="444"/>
    <x v="1"/>
    <x v="5"/>
    <s v="PLEAN_X310201TN6013221 SMART XXI Regional Standalone"/>
    <s v="H000000318"/>
    <s v="H000000888"/>
    <m/>
    <s v=""/>
    <m/>
    <b v="0"/>
    <x v="1"/>
    <x v="0"/>
    <d v="2025-11-24T00:00:00"/>
    <m/>
    <m/>
    <x v="0"/>
    <n v="0"/>
    <s v="Daniella Sas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11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r="1">
      <x v="1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27">
        <item m="1" x="1011"/>
        <item x="0"/>
        <item m="1" x="1081"/>
        <item m="1" x="1502"/>
        <item m="1" x="664"/>
        <item m="1" x="1519"/>
        <item m="1" x="1041"/>
        <item m="1" x="1131"/>
        <item m="1" x="1552"/>
        <item m="1" x="1346"/>
        <item m="1" x="1034"/>
        <item m="1" x="1618"/>
        <item m="1" x="1364"/>
        <item m="1" x="1608"/>
        <item m="1" x="982"/>
        <item m="1" x="883"/>
        <item m="1" x="587"/>
        <item m="1" x="848"/>
        <item m="1" x="1572"/>
        <item m="1" x="640"/>
        <item m="1" x="948"/>
        <item m="1" x="1316"/>
        <item m="1" x="1031"/>
        <item m="1" x="1124"/>
        <item m="1" x="1420"/>
        <item m="1" x="1605"/>
        <item m="1" x="1066"/>
        <item m="1" x="1088"/>
        <item m="1" x="853"/>
        <item m="1" x="1254"/>
        <item m="1" x="1013"/>
        <item m="1" x="1559"/>
        <item m="1" x="1216"/>
        <item m="1" x="649"/>
        <item m="1" x="757"/>
        <item m="1" x="1544"/>
        <item m="1" x="1308"/>
        <item m="1" x="562"/>
        <item m="1" x="1394"/>
        <item m="1" x="1060"/>
        <item m="1" x="1355"/>
        <item m="1" x="941"/>
        <item m="1" x="1293"/>
        <item m="1" x="552"/>
        <item m="1" x="582"/>
        <item m="1" x="1621"/>
        <item m="1" x="1300"/>
        <item m="1" x="1368"/>
        <item m="1" x="1475"/>
        <item m="1" x="1244"/>
        <item m="1" x="1342"/>
        <item m="1" x="1181"/>
        <item m="1" x="636"/>
        <item m="1" x="827"/>
        <item m="1" x="1603"/>
        <item m="1" x="1171"/>
        <item m="1" x="1311"/>
        <item m="1" x="839"/>
        <item m="1" x="800"/>
        <item m="1" x="1092"/>
        <item m="1" x="984"/>
        <item m="1" x="1017"/>
        <item m="1" x="576"/>
        <item m="1" x="715"/>
        <item m="1" x="1377"/>
        <item m="1" x="1594"/>
        <item m="1" x="780"/>
        <item m="1" x="1185"/>
        <item m="1" x="1195"/>
        <item m="1" x="1372"/>
        <item m="1" x="1482"/>
        <item m="1" x="1360"/>
        <item m="1" x="655"/>
        <item m="1" x="1503"/>
        <item m="1" x="1233"/>
        <item m="1" x="1220"/>
        <item m="1" x="755"/>
        <item m="1" x="1108"/>
        <item m="1" x="1455"/>
        <item m="1" x="573"/>
        <item m="1" x="1152"/>
        <item m="1" x="1505"/>
        <item m="1" x="1343"/>
        <item m="1" x="1078"/>
        <item m="1" x="1120"/>
        <item m="1" x="1001"/>
        <item m="1" x="1236"/>
        <item m="1" x="1048"/>
        <item m="1" x="1280"/>
        <item m="1" x="764"/>
        <item m="1" x="1593"/>
        <item m="1" x="1118"/>
        <item m="1" x="1404"/>
        <item m="1" x="481"/>
        <item m="1" x="1609"/>
        <item m="1" x="1145"/>
        <item m="1" x="1434"/>
        <item m="1" x="1347"/>
        <item m="1" x="1125"/>
        <item m="1" x="635"/>
        <item m="1" x="642"/>
        <item m="1" x="682"/>
        <item m="1" x="864"/>
        <item m="1" x="1288"/>
        <item m="1" x="1049"/>
        <item m="1" x="1165"/>
        <item m="1" x="1228"/>
        <item m="1" x="1375"/>
        <item m="1" x="1458"/>
        <item m="1" x="1020"/>
        <item m="1" x="741"/>
        <item m="1" x="584"/>
        <item m="1" x="727"/>
        <item m="1" x="1602"/>
        <item m="1" x="759"/>
        <item m="1" x="1440"/>
        <item m="1" x="1369"/>
        <item m="1" x="987"/>
        <item m="1" x="1059"/>
        <item m="1" x="925"/>
        <item m="1" x="1182"/>
        <item m="1" x="1557"/>
        <item m="1" x="733"/>
        <item m="1" x="681"/>
        <item m="1" x="616"/>
        <item m="1" x="1282"/>
        <item m="1" x="1542"/>
        <item m="1" x="1470"/>
        <item m="1" x="1127"/>
        <item m="1" x="651"/>
        <item m="1" x="1376"/>
        <item m="1" x="828"/>
        <item m="1" x="1082"/>
        <item m="1" x="1257"/>
        <item m="1" x="1365"/>
        <item m="1" x="485"/>
        <item m="1" x="1314"/>
        <item m="1" x="1277"/>
        <item m="1" x="718"/>
        <item m="1" x="1166"/>
        <item m="1" x="1054"/>
        <item m="1" x="1007"/>
        <item m="1" x="740"/>
        <item m="1" x="676"/>
        <item m="1" x="916"/>
        <item m="1" x="1103"/>
        <item m="1" x="510"/>
        <item m="1" x="849"/>
        <item m="1" x="708"/>
        <item m="1" x="450"/>
        <item m="1" x="960"/>
        <item m="1" x="1161"/>
        <item m="1" x="1043"/>
        <item m="1" x="1089"/>
        <item m="1" x="1408"/>
        <item m="1" x="990"/>
        <item m="1" x="1516"/>
        <item m="1" x="1240"/>
        <item m="1" x="1179"/>
        <item m="1" x="693"/>
        <item m="1" x="1326"/>
        <item m="1" x="1604"/>
        <item m="1" x="1292"/>
        <item m="1" x="1276"/>
        <item m="1" x="563"/>
        <item m="1" x="611"/>
        <item m="1" x="1146"/>
        <item m="1" x="652"/>
        <item m="1" x="1589"/>
        <item m="1" x="1255"/>
        <item m="1" x="1180"/>
        <item m="1" x="1132"/>
        <item m="1" x="933"/>
        <item m="1" x="561"/>
        <item m="1" x="661"/>
        <item m="1" x="767"/>
        <item m="1" x="1500"/>
        <item m="1" x="1532"/>
        <item m="1" x="1231"/>
        <item m="1" x="958"/>
        <item m="1" x="1046"/>
        <item m="1" x="556"/>
        <item m="1" x="596"/>
        <item m="1" x="935"/>
        <item m="1" x="1160"/>
        <item m="1" x="1073"/>
        <item m="1" x="731"/>
        <item m="1" x="964"/>
        <item m="1" x="678"/>
        <item m="1" x="873"/>
        <item m="1" x="795"/>
        <item m="1" x="630"/>
        <item m="1" x="766"/>
        <item m="1" x="1136"/>
        <item m="1" x="546"/>
        <item m="1" x="785"/>
        <item m="1" x="577"/>
        <item m="1" x="1270"/>
        <item m="1" x="1459"/>
        <item m="1" x="1069"/>
        <item m="1" x="713"/>
        <item m="1" x="1363"/>
        <item m="1" x="1208"/>
        <item m="1" x="725"/>
        <item m="1" x="726"/>
        <item m="1" x="911"/>
        <item m="1" x="601"/>
        <item m="1" x="790"/>
        <item m="1" x="585"/>
        <item m="1" x="771"/>
        <item m="1" x="1339"/>
        <item m="1" x="850"/>
        <item m="1" x="1217"/>
        <item m="1" x="1267"/>
        <item m="1" x="1401"/>
        <item m="1" x="1405"/>
        <item m="1" x="1122"/>
        <item m="1" x="963"/>
        <item m="1" x="1002"/>
        <item m="1" x="1569"/>
        <item m="1" x="862"/>
        <item m="1" x="674"/>
        <item m="1" x="1052"/>
        <item m="1" x="509"/>
        <item m="1" x="1573"/>
        <item m="1" x="1036"/>
        <item m="1" x="470"/>
        <item m="1" x="1491"/>
        <item m="1" x="1534"/>
        <item m="1" x="1371"/>
        <item m="1" x="748"/>
        <item m="1" x="487"/>
        <item m="1" x="1421"/>
        <item m="1" x="812"/>
        <item m="1" x="448"/>
        <item m="1" x="1592"/>
        <item m="1" x="836"/>
        <item m="1" x="991"/>
        <item m="1" x="1436"/>
        <item m="1" x="523"/>
        <item m="1" x="1348"/>
        <item m="1" x="1156"/>
        <item m="1" x="1021"/>
        <item m="1" x="891"/>
        <item m="1" x="638"/>
        <item m="1" x="1139"/>
        <item m="1" x="841"/>
        <item m="1" x="1379"/>
        <item m="1" x="701"/>
        <item m="1" x="1449"/>
        <item m="1" x="1456"/>
        <item m="1" x="1140"/>
        <item m="1" x="1330"/>
        <item m="1" x="747"/>
        <item m="1" x="1044"/>
        <item m="1" x="1333"/>
        <item m="1" x="917"/>
        <item m="1" x="1207"/>
        <item m="1" x="846"/>
        <item m="1" x="631"/>
        <item m="1" x="835"/>
        <item m="1" x="1601"/>
        <item m="1" x="1543"/>
        <item m="1" x="688"/>
        <item m="1" x="1489"/>
        <item m="1" x="495"/>
        <item m="1" x="1511"/>
        <item m="1" x="530"/>
        <item m="1" x="832"/>
        <item m="1" x="930"/>
        <item m="1" x="877"/>
        <item m="1" x="1484"/>
        <item m="1" x="1387"/>
        <item m="1" x="628"/>
        <item m="1" x="1198"/>
        <item m="1" x="1406"/>
        <item m="1" x="1540"/>
        <item m="1" x="1447"/>
        <item m="1" x="533"/>
        <item m="1" x="1613"/>
        <item m="1" x="684"/>
        <item m="1" x="965"/>
        <item m="1" x="1409"/>
        <item m="1" x="532"/>
        <item m="1" x="1468"/>
        <item m="1" x="697"/>
        <item m="1" x="1341"/>
        <item m="1" x="1205"/>
        <item m="1" x="1183"/>
        <item m="1" x="762"/>
        <item m="1" x="724"/>
        <item m="1" x="1536"/>
        <item m="1" x="477"/>
        <item m="1" x="659"/>
        <item m="1" x="1318"/>
        <item m="1" x="1429"/>
        <item m="1" x="1356"/>
        <item m="1" x="1560"/>
        <item m="1" x="1064"/>
        <item m="1" x="691"/>
        <item m="1" x="811"/>
        <item m="1" x="1130"/>
        <item m="1" x="872"/>
        <item m="1" x="1200"/>
        <item m="1" x="813"/>
        <item m="1" x="615"/>
        <item m="1" x="1268"/>
        <item m="1" x="670"/>
        <item m="1" x="550"/>
        <item m="1" x="1402"/>
        <item m="1" x="1549"/>
        <item m="1" x="1250"/>
        <item m="1" x="515"/>
        <item m="1" x="1441"/>
        <item m="1" x="1239"/>
        <item m="1" x="1349"/>
        <item m="1" x="1488"/>
        <item m="1" x="716"/>
        <item m="1" x="908"/>
        <item m="1" x="746"/>
        <item m="1" x="1014"/>
        <item m="1" x="938"/>
        <item m="1" x="968"/>
        <item m="1" x="1504"/>
        <item m="1" x="950"/>
        <item m="1" x="1153"/>
        <item m="1" x="685"/>
        <item m="1" x="884"/>
        <item m="1" x="858"/>
        <item m="1" x="1201"/>
        <item m="1" x="1104"/>
        <item m="1" x="1332"/>
        <item m="1" x="854"/>
        <item m="1" x="1490"/>
        <item m="1" x="692"/>
        <item m="1" x="618"/>
        <item m="1" x="874"/>
        <item m="1" x="1415"/>
        <item m="1" x="525"/>
        <item m="1" x="526"/>
        <item m="1" x="822"/>
        <item m="1" x="1495"/>
        <item m="1" x="889"/>
        <item m="1" x="534"/>
        <item m="1" x="694"/>
        <item m="1" x="936"/>
        <item m="1" x="1247"/>
        <item m="1" x="1219"/>
        <item m="1" x="890"/>
        <item m="1" x="471"/>
        <item m="1" x="609"/>
        <item m="1" x="821"/>
        <item m="1" x="709"/>
        <item m="1" x="466"/>
        <item m="1" x="1419"/>
        <item m="1" x="1548"/>
        <item m="1" x="1018"/>
        <item m="1" x="1448"/>
        <item m="1" x="1508"/>
        <item m="1" x="531"/>
        <item m="1" x="1546"/>
        <item m="1" x="1284"/>
        <item m="1" x="707"/>
        <item m="1" x="893"/>
        <item m="1" x="797"/>
        <item m="1" x="1159"/>
        <item m="1" x="730"/>
        <item m="1" x="946"/>
        <item m="1" x="1241"/>
        <item m="1" x="1366"/>
        <item m="1" x="869"/>
        <item m="1" x="997"/>
        <item m="1" x="809"/>
        <item m="1" x="735"/>
        <item m="1" x="1246"/>
        <item m="1" x="1361"/>
        <item m="1" x="1523"/>
        <item m="1" x="565"/>
        <item m="1" x="769"/>
        <item m="1" x="1209"/>
        <item m="1" x="610"/>
        <item m="1" x="897"/>
        <item m="1" x="1278"/>
        <item m="1" x="543"/>
        <item m="1" x="753"/>
        <item m="1" x="863"/>
        <item m="1" x="1469"/>
        <item m="1" x="702"/>
        <item m="1" x="972"/>
        <item m="1" x="1525"/>
        <item m="1" x="653"/>
        <item m="1" x="842"/>
        <item m="1" x="1030"/>
        <item m="1" x="1367"/>
        <item m="1" x="665"/>
        <item m="1" x="921"/>
        <item m="1" x="763"/>
        <item m="1" x="1259"/>
        <item m="1" x="1445"/>
        <item m="1" x="571"/>
        <item m="1" x="791"/>
        <item m="1" x="1527"/>
        <item m="1" x="1492"/>
        <item m="1" x="592"/>
        <item m="1" x="909"/>
        <item m="1" x="1433"/>
        <item m="1" x="1564"/>
        <item m="1" x="1435"/>
        <item m="1" x="1410"/>
        <item m="1" x="541"/>
        <item m="1" x="717"/>
        <item m="1" x="799"/>
        <item m="1" x="788"/>
        <item m="1" x="1015"/>
        <item m="1" x="503"/>
        <item m="1" x="1202"/>
        <item m="1" x="1273"/>
        <item m="1" x="455"/>
        <item m="1" x="1533"/>
        <item m="1" x="1395"/>
        <item m="1" x="1524"/>
        <item m="1" x="1554"/>
        <item m="1" x="1590"/>
        <item m="1" x="1528"/>
        <item m="1" x="892"/>
        <item m="1" x="1252"/>
        <item m="1" x="859"/>
        <item m="1" x="1265"/>
        <item m="1" x="1230"/>
        <item m="1" x="668"/>
        <item m="1" x="706"/>
        <item m="1" x="844"/>
        <item m="1" x="1309"/>
        <item m="1" x="829"/>
        <item m="1" x="575"/>
        <item m="1" x="1574"/>
        <item m="1" x="1324"/>
        <item m="1" x="1157"/>
        <item m="1" x="1189"/>
        <item m="1" x="1238"/>
        <item m="1" x="663"/>
        <item m="1" x="1005"/>
        <item m="1" x="1350"/>
        <item m="1" x="501"/>
        <item m="1" x="744"/>
        <item m="1" x="644"/>
        <item m="1" x="641"/>
        <item m="1" x="645"/>
        <item m="1" x="446"/>
        <item m="1" x="667"/>
        <item m="1" x="1464"/>
        <item m="1" x="468"/>
        <item m="1" x="1114"/>
        <item m="1" x="1551"/>
        <item m="1" x="1362"/>
        <item m="1" x="622"/>
        <item m="1" x="1622"/>
        <item m="1" x="551"/>
        <item m="1" x="918"/>
        <item m="1" x="1141"/>
        <item m="1" x="597"/>
        <item m="1" x="1050"/>
        <item m="1" x="1210"/>
        <item m="1" x="1478"/>
        <item m="1" x="1380"/>
        <item m="1" x="459"/>
        <item m="1" x="1142"/>
        <item m="1" x="542"/>
        <item m="1" x="778"/>
        <item m="1" x="750"/>
        <item m="1" x="512"/>
        <item m="1" x="1105"/>
        <item m="1" x="1112"/>
        <item m="1" x="1212"/>
        <item m="1" x="961"/>
        <item m="1" x="1461"/>
        <item m="1" x="870"/>
        <item m="1" x="1580"/>
        <item m="1" x="1215"/>
        <item m="1" x="1106"/>
        <item m="1" x="770"/>
        <item m="1" x="1178"/>
        <item m="1" x="1476"/>
        <item m="1" x="1541"/>
        <item m="1" x="1520"/>
        <item m="1" x="1450"/>
        <item m="1" x="1199"/>
        <item m="1" x="1312"/>
        <item m="1" x="825"/>
        <item m="1" x="1274"/>
        <item m="1" x="1099"/>
        <item m="1" x="1058"/>
        <item m="1" x="1056"/>
        <item m="1" x="1057"/>
        <item m="1" x="754"/>
        <item m="1" x="798"/>
        <item m="1" x="1411"/>
        <item m="1" x="976"/>
        <item m="1" x="818"/>
        <item m="1" x="860"/>
        <item m="1" x="906"/>
        <item m="1" x="1158"/>
        <item m="1" x="1496"/>
        <item m="1" x="1585"/>
        <item m="1" x="703"/>
        <item m="1" x="654"/>
        <item m="1" x="491"/>
        <item m="1" x="513"/>
        <item m="1" x="810"/>
        <item m="1" x="598"/>
        <item m="1" x="926"/>
        <item m="1" x="1462"/>
        <item m="1" x="803"/>
        <item m="1" x="595"/>
        <item m="1" x="1354"/>
        <item m="1" x="472"/>
        <item m="1" x="1480"/>
        <item m="1" x="1555"/>
        <item m="1" x="1619"/>
        <item m="1" x="1494"/>
        <item m="1" x="737"/>
        <item m="1" x="514"/>
        <item m="1" x="978"/>
        <item m="1" x="1062"/>
        <item m="1" x="1258"/>
        <item m="1" x="1226"/>
        <item m="1" x="1262"/>
        <item m="1" x="1039"/>
        <item m="1" x="1077"/>
        <item m="1" x="1518"/>
        <item m="1" x="1281"/>
        <item m="1" x="1251"/>
        <item m="1" x="1190"/>
        <item m="1" x="1263"/>
        <item m="1" x="464"/>
        <item m="1" x="469"/>
        <item m="1" x="1072"/>
        <item m="1" x="1457"/>
        <item m="1" x="1027"/>
        <item m="1" x="1597"/>
        <item m="1" x="996"/>
        <item m="1" x="1172"/>
        <item m="1" x="1243"/>
        <item m="1" x="857"/>
        <item m="1" x="689"/>
        <item m="1" x="1065"/>
        <item m="1" x="751"/>
        <item m="1" x="1606"/>
        <item m="1" x="1521"/>
        <item m="1" x="1334"/>
        <item m="1" x="591"/>
        <item m="1" x="518"/>
        <item m="1" x="1091"/>
        <item m="1" x="1335"/>
        <item m="1" x="1624"/>
        <item m="1" x="970"/>
        <item m="1" x="1571"/>
        <item m="1" x="505"/>
        <item m="1" x="619"/>
        <item m="1" x="931"/>
        <item m="1" x="1022"/>
        <item m="1" x="1451"/>
        <item m="1" x="775"/>
        <item m="1" x="1454"/>
        <item m="1" x="871"/>
        <item m="1" x="1443"/>
        <item m="1" x="1607"/>
        <item m="1" x="535"/>
        <item m="1" x="1591"/>
        <item m="1" x="482"/>
        <item m="1" x="1344"/>
        <item m="1" x="962"/>
        <item m="1" x="793"/>
        <item m="1" x="756"/>
        <item m="1" x="900"/>
        <item m="1" x="499"/>
        <item m="1" x="1584"/>
        <item m="1" x="583"/>
        <item m="1" x="604"/>
        <item m="1" x="1477"/>
        <item m="1" x="1556"/>
        <item m="1" x="1070"/>
        <item m="1" x="1211"/>
        <item m="1" x="912"/>
        <item m="1" x="1025"/>
        <item m="1" x="1174"/>
        <item m="1" x="1291"/>
        <item m="1" x="878"/>
        <item m="1" x="1154"/>
        <item m="1" x="973"/>
        <item m="1" x="1610"/>
        <item m="1" x="463"/>
        <item m="1" x="902"/>
        <item m="1" x="843"/>
        <item m="1" x="804"/>
        <item m="1" x="1598"/>
        <item m="1" x="1416"/>
        <item m="1" x="1547"/>
        <item m="1" x="560"/>
        <item m="1" x="1558"/>
        <item m="1" x="1545"/>
        <item m="1" x="1422"/>
        <item m="1" x="657"/>
        <item m="1" x="1026"/>
        <item m="1" x="1119"/>
        <item m="1" x="865"/>
        <item m="1" x="1463"/>
        <item m="1" x="1249"/>
        <item m="1" x="1269"/>
        <item m="1" x="1163"/>
        <item m="1" x="506"/>
        <item m="1" x="1336"/>
        <item m="1" x="1498"/>
        <item m="1" x="903"/>
        <item m="1" x="1617"/>
        <item m="1" x="1111"/>
        <item m="1" x="698"/>
        <item m="1" x="831"/>
        <item m="1" x="867"/>
        <item m="1" x="1526"/>
        <item m="1" x="1510"/>
        <item m="1" x="570"/>
        <item m="1" x="572"/>
        <item m="1" x="486"/>
        <item m="1" x="1446"/>
        <item m="1" x="488"/>
        <item m="1" x="905"/>
        <item m="1" x="805"/>
        <item m="1" x="1261"/>
        <item m="1" x="1204"/>
        <item m="1" x="1553"/>
        <item m="1" x="1485"/>
        <item m="1" x="977"/>
        <item m="1" x="1191"/>
        <item m="1" x="1426"/>
        <item m="1" x="539"/>
        <item m="1" x="971"/>
        <item m="1" x="901"/>
        <item m="1" x="1595"/>
        <item m="1" x="1562"/>
        <item m="1" x="993"/>
        <item m="1" x="599"/>
        <item m="1" x="894"/>
        <item m="1" x="1067"/>
        <item m="1" x="521"/>
        <item m="1" x="1357"/>
        <item m="1" x="951"/>
        <item m="1" x="761"/>
        <item m="1" x="855"/>
        <item m="1" x="1301"/>
        <item m="1" x="1600"/>
        <item m="1" x="679"/>
        <item m="1" x="1452"/>
        <item m="1" x="673"/>
        <item m="1" x="1237"/>
        <item m="1" x="1009"/>
        <item m="1" x="940"/>
        <item m="1" x="662"/>
        <item m="1" x="729"/>
        <item m="1" x="517"/>
        <item m="1" x="1317"/>
        <item m="1" x="830"/>
        <item m="1" x="554"/>
        <item m="1" x="1168"/>
        <item m="1" x="1483"/>
        <item m="1" x="1023"/>
        <item m="1" x="981"/>
        <item m="1" x="452"/>
        <item m="1" x="1588"/>
        <item m="1" x="838"/>
        <item m="1" x="898"/>
        <item m="1" x="1305"/>
        <item m="1" x="1582"/>
        <item m="1" x="1507"/>
        <item m="1" x="1358"/>
        <item m="1" x="1473"/>
        <item m="1" x="634"/>
        <item m="1" x="833"/>
        <item m="1" x="666"/>
        <item m="1" x="458"/>
        <item m="1" x="1071"/>
        <item m="1" x="520"/>
        <item m="1" x="742"/>
        <item m="1" x="686"/>
        <item m="1" x="632"/>
        <item m="1" x="1587"/>
        <item m="1" x="683"/>
        <item m="1" x="1285"/>
        <item m="1" x="1497"/>
        <item m="1" x="623"/>
        <item m="1" x="527"/>
        <item m="1" x="1320"/>
        <item m="1" x="1296"/>
        <item m="1" x="1337"/>
        <item m="1" x="1256"/>
        <item m="1" x="600"/>
        <item m="1" x="956"/>
        <item m="1" x="1224"/>
        <item m="1" x="1474"/>
        <item m="1" x="1068"/>
        <item m="1" x="1186"/>
        <item m="1" x="1530"/>
        <item m="1" x="942"/>
        <item m="1" x="786"/>
        <item m="1" x="1019"/>
        <item m="1" x="966"/>
        <item m="1" x="896"/>
        <item m="1" x="1413"/>
        <item m="1" x="1100"/>
        <item m="1" x="1196"/>
        <item m="1" x="447"/>
        <item m="1" x="992"/>
        <item m="1" x="594"/>
        <item m="1" x="861"/>
        <item m="1" x="999"/>
        <item m="1" x="529"/>
        <item m="1" x="646"/>
        <item m="1" x="1101"/>
        <item m="1" x="1298"/>
        <item m="1" x="1568"/>
        <item m="1" x="1611"/>
        <item m="1" x="1221"/>
        <item m="1" x="569"/>
        <item m="1" x="497"/>
        <item m="1" x="1083"/>
        <item m="1" x="705"/>
        <item m="1" x="979"/>
        <item m="1" x="607"/>
        <item m="1" x="710"/>
        <item m="1" x="1137"/>
        <item m="1" x="1493"/>
        <item m="1" x="1424"/>
        <item m="1" x="840"/>
        <item m="1" x="875"/>
        <item m="1" x="1151"/>
        <item m="1" x="1581"/>
        <item m="1" x="1307"/>
        <item m="1" x="473"/>
        <item m="1" x="1535"/>
        <item m="1" x="581"/>
        <item m="1" x="1227"/>
        <item m="1" x="1272"/>
        <item m="1" x="1275"/>
        <item m="1" x="1615"/>
        <item m="1" x="508"/>
        <item m="1" x="1286"/>
        <item m="1" x="1383"/>
        <item m="1" x="1155"/>
        <item m="1" x="1325"/>
        <item m="1" x="567"/>
        <item m="1" x="959"/>
        <item m="1" x="806"/>
        <item m="1" x="1418"/>
        <item m="1" x="1513"/>
        <item m="1" x="1042"/>
        <item m="1" x="1481"/>
        <item m="1" x="1529"/>
        <item m="1" x="882"/>
        <item m="1" x="1385"/>
        <item m="1" x="1248"/>
        <item m="1" x="1531"/>
        <item m="1" x="1575"/>
        <item m="1" x="1313"/>
        <item m="1" x="923"/>
        <item m="1" x="728"/>
        <item m="1" x="1563"/>
        <item m="1" x="1110"/>
        <item m="1" x="1084"/>
        <item m="1" x="1093"/>
        <item m="1" x="1614"/>
        <item m="1" x="1338"/>
        <item m="1" x="1033"/>
        <item m="1" x="1302"/>
        <item m="1" x="1279"/>
        <item m="1" x="895"/>
        <item m="1" x="796"/>
        <item m="1" x="1295"/>
        <item m="1" x="690"/>
        <item m="1" x="647"/>
        <item m="1" x="589"/>
        <item m="1" x="1576"/>
        <item m="1" x="1192"/>
        <item m="1" x="927"/>
        <item m="1" x="1008"/>
        <item m="1" x="489"/>
        <item m="1" x="1565"/>
        <item m="1" x="1116"/>
        <item m="1" x="1264"/>
        <item m="1" x="712"/>
        <item m="1" x="1396"/>
        <item m="1" x="899"/>
        <item m="1" x="792"/>
        <item m="1" x="1620"/>
        <item m="1" x="922"/>
        <item m="1" x="1561"/>
        <item m="1" x="1147"/>
        <item m="1" x="823"/>
        <item m="1" x="614"/>
        <item m="1" x="557"/>
        <item m="1" x="851"/>
        <item m="1" x="548"/>
        <item m="1" x="519"/>
        <item m="1" x="536"/>
        <item m="1" x="815"/>
        <item m="1" x="660"/>
        <item m="1" x="967"/>
        <item m="1" x="1024"/>
        <item m="1" x="1123"/>
        <item m="1" x="994"/>
        <item m="1" x="1327"/>
        <item m="1" x="1391"/>
        <item m="1" x="603"/>
        <item m="1" x="613"/>
        <item m="1" x="802"/>
        <item m="1" x="944"/>
        <item m="1" x="734"/>
        <item m="1" x="1287"/>
        <item m="1" x="1037"/>
        <item m="1" x="954"/>
        <item m="1" x="1087"/>
        <item m="1" x="1393"/>
        <item m="1" x="1331"/>
        <item m="1" x="1417"/>
        <item m="1" x="1173"/>
        <item m="1" x="593"/>
        <item m="1" x="1599"/>
        <item m="1" x="1012"/>
        <item m="1" x="627"/>
        <item m="1" x="451"/>
        <item m="1" x="1596"/>
        <item m="1" x="1080"/>
        <item m="1" x="1047"/>
        <item m="1" x="819"/>
        <item m="1" x="699"/>
        <item m="1" x="783"/>
        <item m="1" x="937"/>
        <item m="1" x="1512"/>
        <item m="1" x="1431"/>
        <item m="1" x="807"/>
        <item m="1" x="880"/>
        <item m="1" x="887"/>
        <item m="1" x="1425"/>
        <item m="1" x="1028"/>
        <item m="1" x="500"/>
        <item m="1" x="1061"/>
        <item m="1" x="1340"/>
        <item m="1" x="1466"/>
        <item m="1" x="1359"/>
        <item m="1" x="1167"/>
        <item m="1" x="1465"/>
        <item m="1" x="479"/>
        <item m="1" x="1382"/>
        <item m="1" x="461"/>
        <item m="1" x="801"/>
        <item m="1" x="465"/>
        <item m="1" x="624"/>
        <item m="1" x="714"/>
        <item m="1" x="720"/>
        <item m="1" x="1138"/>
        <item m="1" x="1392"/>
        <item m="1" x="919"/>
        <item m="1" x="490"/>
        <item m="1" x="696"/>
        <item m="1" x="484"/>
        <item m="1" x="1479"/>
        <item m="1" x="704"/>
        <item m="1" x="1040"/>
        <item m="1" x="1499"/>
        <item m="1" x="826"/>
        <item m="1" x="768"/>
        <item m="1" x="1164"/>
        <item m="1" x="721"/>
        <item m="1" x="1029"/>
        <item m="1" x="1323"/>
        <item m="1" x="462"/>
        <item m="1" x="975"/>
        <item m="1" x="1094"/>
        <item m="1" x="586"/>
        <item m="1" x="928"/>
        <item m="1" x="1063"/>
        <item m="1" x="814"/>
        <item m="1" x="852"/>
        <item m="1" x="579"/>
        <item m="1" x="985"/>
        <item m="1" x="449"/>
        <item m="1" x="1121"/>
        <item m="1" x="1514"/>
        <item m="1" x="1235"/>
        <item m="1" x="1229"/>
        <item m="1" x="1128"/>
        <item m="1" x="454"/>
        <item m="1" x="1260"/>
        <item m="1" x="1303"/>
        <item m="1" x="1109"/>
        <item m="1" x="453"/>
        <item m="1" x="1460"/>
        <item m="1" x="1427"/>
        <item m="1" x="457"/>
        <item m="1" x="736"/>
        <item m="1" x="1126"/>
        <item m="1" x="1381"/>
        <item m="1" x="578"/>
        <item m="1" x="474"/>
        <item m="1" x="633"/>
        <item m="1" x="524"/>
        <item m="1" x="932"/>
        <item m="1" x="745"/>
        <item m="1" x="743"/>
        <item m="1" x="914"/>
        <item m="1" x="1016"/>
        <item m="1" x="920"/>
        <item m="1" x="1117"/>
        <item m="1" x="969"/>
        <item m="1" x="834"/>
        <item m="1" x="949"/>
        <item m="1" x="1442"/>
        <item m="1" x="1537"/>
        <item m="1" x="794"/>
        <item m="1" x="1517"/>
        <item m="1" x="559"/>
        <item m="1" x="1506"/>
        <item m="1" x="1203"/>
        <item m="1" x="1374"/>
        <item m="1" x="1453"/>
        <item m="1" x="1133"/>
        <item m="1" x="1345"/>
        <item m="1" x="637"/>
        <item m="1" x="620"/>
        <item m="1" x="1242"/>
        <item m="1" x="1214"/>
        <item m="1" x="776"/>
        <item m="1" x="1612"/>
        <item m="1" x="1184"/>
        <item m="1" x="924"/>
        <item m="1" x="998"/>
        <item m="1" x="957"/>
        <item m="1" x="1467"/>
        <item m="1" x="1471"/>
        <item m="1" x="467"/>
        <item m="1" x="1351"/>
        <item m="1" x="1397"/>
        <item m="1" x="516"/>
        <item m="1" x="888"/>
        <item m="1" x="879"/>
        <item m="1" x="1386"/>
        <item m="1" x="1085"/>
        <item m="1" x="1289"/>
        <item m="1" x="955"/>
        <item m="1" x="1306"/>
        <item m="1" x="494"/>
        <item m="1" x="617"/>
        <item m="1" x="1586"/>
        <item m="1" x="1206"/>
        <item m="1" x="1578"/>
        <item m="1" x="498"/>
        <item m="1" x="758"/>
        <item m="1" x="574"/>
        <item m="1" x="507"/>
        <item m="1" x="522"/>
        <item m="1" x="1074"/>
        <item m="1" x="1107"/>
        <item m="1" x="779"/>
        <item m="1" x="1197"/>
        <item m="1" x="1515"/>
        <item m="1" x="866"/>
        <item m="1" x="945"/>
        <item m="1" x="1095"/>
        <item m="1" x="1583"/>
        <item m="1" x="760"/>
        <item m="1" x="772"/>
        <item m="1" x="782"/>
        <item m="1" x="1403"/>
        <item m="1" x="1539"/>
        <item m="1" x="456"/>
        <item m="1" x="1283"/>
        <item m="1" x="1579"/>
        <item m="1" x="680"/>
        <item m="1" x="995"/>
        <item m="1" x="1616"/>
        <item m="1" x="1522"/>
        <item m="1" x="669"/>
        <item m="1" x="781"/>
        <item m="1" x="868"/>
        <item m="1" x="1193"/>
        <item m="1" x="1390"/>
        <item m="1" x="625"/>
        <item m="1" x="1096"/>
        <item m="1" x="621"/>
        <item m="1" x="590"/>
        <item m="1" x="538"/>
        <item m="1" x="1509"/>
        <item m="1" x="1102"/>
        <item m="1" x="1550"/>
        <item m="1" x="943"/>
        <item m="1" x="1567"/>
        <item m="1" x="1319"/>
        <item m="1" x="608"/>
        <item m="1" x="1423"/>
        <item m="1" x="1437"/>
        <item m="1" x="1097"/>
        <item m="1" x="1472"/>
        <item m="1" x="1310"/>
        <item m="1" x="1175"/>
        <item m="1" x="492"/>
        <item m="1" x="1321"/>
        <item m="1" x="1053"/>
        <item m="1" x="986"/>
        <item m="1" x="1329"/>
        <item m="1" x="913"/>
        <item m="1" x="547"/>
        <item m="1" x="719"/>
        <item m="1" x="496"/>
        <item m="1" x="845"/>
        <item m="1" x="1223"/>
        <item m="1" x="808"/>
        <item m="1" x="671"/>
        <item m="1" x="886"/>
        <item m="1" x="564"/>
        <item m="1" x="816"/>
        <item m="1" x="687"/>
        <item m="1" x="1038"/>
        <item m="1" x="1625"/>
        <item m="1" x="1079"/>
        <item m="1" x="675"/>
        <item m="1" x="952"/>
        <item m="1" x="658"/>
        <item m="1" x="711"/>
        <item m="1" x="1003"/>
        <item m="1" x="1271"/>
        <item m="1" x="988"/>
        <item m="1" x="1438"/>
        <item m="1" x="1000"/>
        <item m="1" x="1234"/>
        <item m="1" x="549"/>
        <item m="1" x="1032"/>
        <item m="1" x="672"/>
        <item m="1" x="602"/>
        <item m="1" x="1328"/>
        <item m="1" x="643"/>
        <item m="1" x="1352"/>
        <item m="1" x="544"/>
        <item m="1" x="1169"/>
        <item m="1" x="1176"/>
        <item m="1" x="580"/>
        <item m="1" x="1098"/>
        <item m="1" x="476"/>
        <item m="1" x="1299"/>
        <item m="1" x="1004"/>
        <item m="1" x="1225"/>
        <item m="1" x="1194"/>
        <item m="1" x="1414"/>
        <item m="1" x="1187"/>
        <item m="1" x="765"/>
        <item m="1" x="1266"/>
        <item m="1" x="1400"/>
        <item m="1" x="1090"/>
        <item m="1" x="1222"/>
        <item m="1" x="555"/>
        <item m="1" x="1388"/>
        <item m="1" x="1045"/>
        <item m="1" x="910"/>
        <item m="1" x="1294"/>
        <item m="1" x="820"/>
        <item m="1" x="1143"/>
        <item m="1" x="677"/>
        <item m="1" x="773"/>
        <item m="1" x="1170"/>
        <item m="1" x="939"/>
        <item m="1" x="483"/>
        <item m="1" x="817"/>
        <item m="1" x="1297"/>
        <item m="1" x="1399"/>
        <item m="1" x="502"/>
        <item m="1" x="787"/>
        <item m="1" x="722"/>
        <item m="1" x="1055"/>
        <item m="1" x="1148"/>
        <item m="1" x="588"/>
        <item m="1" x="1570"/>
        <item m="1" x="553"/>
        <item m="1" x="626"/>
        <item m="1" x="1407"/>
        <item m="1" x="915"/>
        <item m="1" x="929"/>
        <item m="1" x="983"/>
        <item m="1" x="558"/>
        <item m="1" x="837"/>
        <item m="1" x="1232"/>
        <item m="1" x="1144"/>
        <item m="1" x="934"/>
        <item m="1" x="881"/>
        <item m="1" x="511"/>
        <item m="1" x="749"/>
        <item m="1" x="1213"/>
        <item m="1" x="847"/>
        <item m="1" x="1010"/>
        <item m="1" x="947"/>
        <item m="1" x="1129"/>
        <item m="1" x="493"/>
        <item m="1" x="974"/>
        <item m="1" x="648"/>
        <item m="1" x="1051"/>
        <item m="1" x="1177"/>
        <item m="1" x="1253"/>
        <item m="1" x="1188"/>
        <item m="1" x="1149"/>
        <item m="1" x="1075"/>
        <item m="1" x="1486"/>
        <item m="1" x="1378"/>
        <item m="1" x="629"/>
        <item m="1" x="1370"/>
        <item m="1" x="824"/>
        <item m="1" x="1134"/>
        <item m="1" x="540"/>
        <item m="1" x="1113"/>
        <item m="1" x="980"/>
        <item m="1" x="1412"/>
        <item m="1" x="566"/>
        <item m="1" x="1623"/>
        <item m="1" x="605"/>
        <item m="1" x="545"/>
        <item m="1" x="1115"/>
        <item m="1" x="1315"/>
        <item m="1" x="1218"/>
        <item m="1" x="504"/>
        <item m="1" x="656"/>
        <item m="1" x="1444"/>
        <item m="1" x="1384"/>
        <item m="1" x="639"/>
        <item m="1" x="612"/>
        <item m="1" x="907"/>
        <item m="1" x="528"/>
        <item m="1" x="1135"/>
        <item m="1" x="568"/>
        <item m="1" x="738"/>
        <item m="1" x="1035"/>
        <item m="1" x="1566"/>
        <item m="1" x="606"/>
        <item m="1" x="876"/>
        <item m="1" x="723"/>
        <item m="1" x="885"/>
        <item m="1" x="1439"/>
        <item m="1" x="1322"/>
        <item m="1" x="784"/>
        <item m="1" x="537"/>
        <item m="1" x="1487"/>
        <item m="1" x="650"/>
        <item m="1" x="1432"/>
        <item m="1" x="989"/>
        <item m="1" x="1373"/>
        <item m="1" x="732"/>
        <item m="1" x="904"/>
        <item m="1" x="1389"/>
        <item m="1" x="1577"/>
        <item m="1" x="1353"/>
        <item m="1" x="752"/>
        <item m="1" x="695"/>
        <item m="1" x="1398"/>
        <item m="1" x="1162"/>
        <item m="1" x="1006"/>
        <item m="1" x="1430"/>
        <item m="1" x="478"/>
        <item m="1" x="475"/>
        <item m="1" x="1150"/>
        <item m="1" x="1290"/>
        <item m="1" x="1245"/>
        <item m="1" x="1428"/>
        <item m="1" x="953"/>
        <item m="1" x="700"/>
        <item m="1" x="774"/>
        <item m="1" x="1304"/>
        <item m="1" x="856"/>
        <item m="1" x="1086"/>
        <item m="1" x="1501"/>
        <item m="1" x="739"/>
        <item m="1" x="1076"/>
        <item m="1" x="460"/>
        <item m="1" x="78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m="1" x="777"/>
        <item m="1" x="1538"/>
        <item m="1" x="480"/>
        <item m="1" x="44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617"/>
    </i>
    <i r="2">
      <x v="3"/>
    </i>
    <i r="2">
      <x v="11"/>
    </i>
    <i r="1">
      <x v="1619"/>
    </i>
    <i r="2">
      <x v="8"/>
    </i>
    <i r="1">
      <x v="1620"/>
    </i>
    <i r="2">
      <x v="11"/>
    </i>
    <i r="1">
      <x v="1621"/>
    </i>
    <i r="2">
      <x v="8"/>
    </i>
    <i>
      <x v="1"/>
    </i>
    <i r="1">
      <x v="1580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5" totalsRowShown="0" totalsRowDxfId="26">
  <autoFilter ref="A1:C136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94" totalsRowShown="0">
  <autoFilter ref="A1:S4794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Tm1 Replication"/>
      </filters>
    </filterColumn>
    <filterColumn colId="6">
      <filters>
        <filter val="Non-LFF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4" totalsRowShown="0">
  <autoFilter ref="A1:B14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202</v>
      </c>
    </row>
    <row r="5" spans="1:2">
      <c r="A5" s="111" t="s">
        <v>369</v>
      </c>
      <c r="B5" s="150">
        <v>196</v>
      </c>
    </row>
    <row r="6" spans="1:2">
      <c r="A6" s="111" t="s">
        <v>404</v>
      </c>
      <c r="B6" s="150"/>
    </row>
    <row r="7" spans="1:2">
      <c r="A7" s="111" t="s">
        <v>370</v>
      </c>
      <c r="B7" s="150">
        <v>4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182</v>
      </c>
    </row>
    <row r="15" spans="1:2">
      <c r="A15" s="111" t="s">
        <v>369</v>
      </c>
      <c r="B15" s="150">
        <v>178</v>
      </c>
    </row>
    <row r="16" spans="1:2">
      <c r="A16" s="111" t="s">
        <v>375</v>
      </c>
      <c r="B16" s="150">
        <v>4</v>
      </c>
    </row>
    <row r="17" spans="1:2">
      <c r="A17" s="17" t="s">
        <v>569</v>
      </c>
      <c r="B17" s="150">
        <v>148</v>
      </c>
    </row>
    <row r="18" spans="1:2">
      <c r="A18" s="111" t="s">
        <v>369</v>
      </c>
      <c r="B18" s="150">
        <v>139</v>
      </c>
    </row>
    <row r="19" spans="1:2">
      <c r="A19" s="111" t="s">
        <v>370</v>
      </c>
      <c r="B19" s="150">
        <v>6</v>
      </c>
    </row>
    <row r="20" spans="1:2">
      <c r="A20" s="111" t="s">
        <v>377</v>
      </c>
      <c r="B20" s="150">
        <v>1</v>
      </c>
    </row>
    <row r="21" spans="1:2">
      <c r="A21" s="111" t="s">
        <v>692</v>
      </c>
      <c r="B21" s="150">
        <v>2</v>
      </c>
    </row>
    <row r="22" spans="1:2">
      <c r="A22" s="17" t="s">
        <v>570</v>
      </c>
      <c r="B22" s="150">
        <v>149</v>
      </c>
    </row>
    <row r="23" spans="1:2">
      <c r="A23" s="111" t="s">
        <v>369</v>
      </c>
      <c r="B23" s="150">
        <v>118</v>
      </c>
    </row>
    <row r="24" spans="1:2">
      <c r="A24" s="111" t="s">
        <v>377</v>
      </c>
      <c r="B24" s="150">
        <v>6</v>
      </c>
    </row>
    <row r="25" spans="1:2">
      <c r="A25" s="111" t="s">
        <v>375</v>
      </c>
      <c r="B25" s="150">
        <v>25</v>
      </c>
    </row>
    <row r="26" spans="1:2">
      <c r="A26" s="17" t="s">
        <v>381</v>
      </c>
      <c r="B26" s="150">
        <v>681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8" sqref="D18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58</v>
      </c>
      <c r="C5"/>
      <c r="D5"/>
      <c r="E5"/>
    </row>
    <row r="6" spans="1:6">
      <c r="A6" s="111" t="s">
        <v>6934</v>
      </c>
      <c r="B6" s="150">
        <v>24</v>
      </c>
      <c r="C6" s="126"/>
      <c r="D6" s="124"/>
      <c r="E6" s="124"/>
    </row>
    <row r="7" spans="1:6">
      <c r="A7" s="112" t="s">
        <v>369</v>
      </c>
      <c r="B7" s="150">
        <v>20</v>
      </c>
      <c r="C7"/>
      <c r="D7"/>
      <c r="E7"/>
    </row>
    <row r="8" spans="1:6">
      <c r="A8" s="112" t="s">
        <v>375</v>
      </c>
      <c r="B8" s="150">
        <v>4</v>
      </c>
      <c r="C8" s="56"/>
      <c r="D8" s="124"/>
      <c r="E8" s="124"/>
    </row>
    <row r="9" spans="1:6">
      <c r="A9" s="111" t="s">
        <v>6972</v>
      </c>
      <c r="B9" s="150">
        <v>3</v>
      </c>
      <c r="C9"/>
      <c r="D9"/>
    </row>
    <row r="10" spans="1:6">
      <c r="A10" s="112" t="s">
        <v>370</v>
      </c>
      <c r="B10" s="150">
        <v>3</v>
      </c>
      <c r="C10" s="53"/>
      <c r="D10" s="124"/>
      <c r="E10" s="124"/>
    </row>
    <row r="11" spans="1:6">
      <c r="A11" s="111" t="s">
        <v>6979</v>
      </c>
      <c r="B11" s="150">
        <v>25</v>
      </c>
      <c r="C11"/>
      <c r="D11"/>
    </row>
    <row r="12" spans="1:6">
      <c r="A12" s="112" t="s">
        <v>375</v>
      </c>
      <c r="B12" s="150">
        <v>25</v>
      </c>
      <c r="C12" s="126"/>
      <c r="D12"/>
    </row>
    <row r="13" spans="1:6">
      <c r="A13" s="111" t="s">
        <v>6980</v>
      </c>
      <c r="B13" s="150">
        <v>6</v>
      </c>
      <c r="C13"/>
      <c r="D13"/>
    </row>
    <row r="14" spans="1:6">
      <c r="A14" s="112" t="s">
        <v>370</v>
      </c>
      <c r="B14" s="150">
        <v>6</v>
      </c>
      <c r="C14" s="126"/>
      <c r="D14"/>
    </row>
    <row r="15" spans="1:6">
      <c r="A15" s="17" t="s">
        <v>4326</v>
      </c>
      <c r="B15" s="150">
        <v>3</v>
      </c>
      <c r="C15"/>
      <c r="D15" s="124"/>
      <c r="E15" s="124"/>
    </row>
    <row r="16" spans="1:6">
      <c r="A16" s="111" t="s">
        <v>6639</v>
      </c>
      <c r="B16" s="150">
        <v>2</v>
      </c>
      <c r="C16"/>
      <c r="D16"/>
    </row>
    <row r="17" spans="1:5">
      <c r="A17" s="112" t="s">
        <v>692</v>
      </c>
      <c r="B17" s="150">
        <v>2</v>
      </c>
      <c r="C17"/>
      <c r="D17" s="124"/>
      <c r="E17" s="124"/>
    </row>
    <row r="18" spans="1:5">
      <c r="A18" s="111" t="s">
        <v>6784</v>
      </c>
      <c r="B18" s="150">
        <v>1</v>
      </c>
      <c r="C18" s="126"/>
      <c r="D18"/>
    </row>
    <row r="19" spans="1:5">
      <c r="A19" s="112" t="s">
        <v>370</v>
      </c>
      <c r="B19" s="150">
        <v>1</v>
      </c>
      <c r="C19" s="47"/>
      <c r="D19"/>
    </row>
    <row r="20" spans="1:5">
      <c r="A20" s="17" t="s">
        <v>381</v>
      </c>
      <c r="B20" s="150">
        <v>61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5"/>
  <sheetViews>
    <sheetView topLeftCell="A1323" workbookViewId="0">
      <selection activeCell="C1364" sqref="C1364:C136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94"/>
  <sheetViews>
    <sheetView tabSelected="1" topLeftCell="A4783" zoomScale="105" zoomScaleNormal="105" workbookViewId="0">
      <selection activeCell="C4789" sqref="C4789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6.21875" customWidth="1"/>
    <col min="5" max="5" width="39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242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217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217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217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217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217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217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217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217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217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217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217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213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210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210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210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210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210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210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210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210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210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210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210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210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210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210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210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210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210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210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210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210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210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210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210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210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210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210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210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210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210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210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210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210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210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210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210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210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210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210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210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210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210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209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209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209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209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209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209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209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209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209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209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209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209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209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209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209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209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209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209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209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209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209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209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209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209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209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209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209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209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209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209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209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209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209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209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209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209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209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209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209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209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209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209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209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209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209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209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209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209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209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209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209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209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209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209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209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209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209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209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209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208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208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208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208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208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207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207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205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205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204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201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201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201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201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201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201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201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201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201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201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201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201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201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201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201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201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201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201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201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201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201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200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200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200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200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200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195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195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195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190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190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190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190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190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190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190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190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190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190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190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190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190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190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190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190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190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190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186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186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186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181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180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180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180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180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180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180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180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180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180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180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180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180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166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166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165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165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165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155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140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140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140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140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140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140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140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140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140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140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140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140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140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140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140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140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140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140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140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140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137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137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137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137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136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136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136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136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136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136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136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136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136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136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136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136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136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136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136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136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136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136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136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136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136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136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136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136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136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136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136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136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136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136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135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135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135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135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135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135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135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135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135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135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135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135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135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135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135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135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135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135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131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131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131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131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131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131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131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131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131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131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131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131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131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131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131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131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131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131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131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131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131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131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131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131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131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131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131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131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131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131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131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131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131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131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131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131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131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131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131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131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131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131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131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131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131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131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131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131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131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131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131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131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131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131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131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131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131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131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131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131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131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131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131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131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131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131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131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131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131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131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131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131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131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131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131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131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131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131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131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131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131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131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131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131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131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131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131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131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131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131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131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131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125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125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120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120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115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115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115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115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115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115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115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115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115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115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115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115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115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115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115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115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115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115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115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115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115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115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115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115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115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115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115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115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115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115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115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115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115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115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115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115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115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115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115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115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115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115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115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115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115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115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115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115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115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115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115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115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115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115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115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115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115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115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115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115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115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115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115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115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115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115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115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115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115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115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115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115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115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115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115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115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115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115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115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115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115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115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115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115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115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115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115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115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115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115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115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115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115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115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115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115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115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115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115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115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115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115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115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115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115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112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112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112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112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113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110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110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105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105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105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105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105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105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105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105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105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105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105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103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103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103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103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103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103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103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103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103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103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103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103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103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103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103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103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103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103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103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103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103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103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103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103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103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103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103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103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103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103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103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103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103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103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103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103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103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103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103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103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103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103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103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103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103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103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103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103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103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103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103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103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103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103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103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103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103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103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103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103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103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103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103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103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103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103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103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103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103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103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103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103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103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103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103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103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103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103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103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103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103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103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103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103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103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103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103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103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103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103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103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103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103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103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103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103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103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103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103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103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103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103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103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103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103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103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103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103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103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103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103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103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103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103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103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103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103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103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103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103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103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103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103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103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103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103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103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103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103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103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103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103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103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103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103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103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103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103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103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103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103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103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103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103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103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103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103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103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103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103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103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103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103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103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103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103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103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103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103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103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103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103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103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103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103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103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103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103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103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103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103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103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103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103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103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103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103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103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103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103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103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103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103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103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103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103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103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103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103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103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103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103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103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103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103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103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103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103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103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103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103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103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103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103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103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103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103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103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103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103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103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103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103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103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103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103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103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103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103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103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103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103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103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103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103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103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103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103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103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103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103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103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103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103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103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103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103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103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103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103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103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103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103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103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103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103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103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103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103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103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103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103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103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103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103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103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103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103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103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103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103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103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103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103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103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103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103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103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103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103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103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103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103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103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103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103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103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103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103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103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103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103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103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103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103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103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103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103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103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103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103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103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103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103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103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103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103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103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103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103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103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103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103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103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103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103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103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103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103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103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103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103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103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103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103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103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103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103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103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103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103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103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103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103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103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103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103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103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103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103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103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103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103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103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103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101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101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101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101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101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101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101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101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101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101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100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100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100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99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99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99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99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99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99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98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98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96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95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95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95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94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94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94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92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92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92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92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92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92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92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89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89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89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89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89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89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89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89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89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89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89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89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89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89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89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89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89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89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89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89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89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89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89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89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89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89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89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89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89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88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88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86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86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86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86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86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86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86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86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86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86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84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84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84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84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84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84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84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84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83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83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83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83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83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83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83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83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83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83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83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83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83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83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83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83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83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81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81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81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81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81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81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81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81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81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81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81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81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81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81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81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81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81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81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81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81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81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81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81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81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81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81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81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81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81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81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81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81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81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81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81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81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81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81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81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81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81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81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81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81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81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81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81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81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81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81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81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81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81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81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81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81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81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81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81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81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81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81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81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81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81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81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81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81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81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81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81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81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81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81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81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81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81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81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81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81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81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81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81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81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81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81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81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81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81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81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81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81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81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81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81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81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81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81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81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81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81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81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81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81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81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81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81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81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81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81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81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81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81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81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81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81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81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81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81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81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81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81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81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81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81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81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81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81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81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81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81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81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81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81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81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81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81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81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81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81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81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81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81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81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81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81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81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81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81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81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81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81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81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81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81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81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81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81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81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81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81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81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81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81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81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81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81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81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81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81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81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81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81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81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81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81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81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81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81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81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81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81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81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81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81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81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81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81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81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81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81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81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81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81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81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81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81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81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81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81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81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81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81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81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81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81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81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81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81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81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81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81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81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81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81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81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81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81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81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81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81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81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81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81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81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81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81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81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81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81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81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81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81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81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81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81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81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81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81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81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81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81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81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81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81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81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81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81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81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81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81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81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81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81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81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81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81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81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81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81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81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81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81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81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81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81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81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81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81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81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81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81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81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81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81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81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81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81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81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81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81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81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81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81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81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81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81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81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81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81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81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81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81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81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81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80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80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80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80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80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80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80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80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80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80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80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80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80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80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80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80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80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80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80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80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80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80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80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80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80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80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80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80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80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80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80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80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80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80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80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80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80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80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80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80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80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80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80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80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80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80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80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80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80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80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80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80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80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80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80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80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80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80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80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80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80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80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80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80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80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80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80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80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80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80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80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80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80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80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80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80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80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80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80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80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80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80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80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80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80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80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80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80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80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80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80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80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80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80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80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80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80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80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80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80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80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80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80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80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80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80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80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80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80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80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80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80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80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80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80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80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80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80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80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80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80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80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80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80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80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80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80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80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80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80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80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80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80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80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80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80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80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80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80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80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80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80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80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80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80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80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80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80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80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80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80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80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80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80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80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80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80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80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80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80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80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80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80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80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80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80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80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80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80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80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80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80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80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80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80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80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80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80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80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80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80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80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80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80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80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80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80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80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80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80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80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80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80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80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80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80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80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80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80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80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80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80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77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77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77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77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77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77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77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77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77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77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77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77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77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77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77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77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77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77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77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77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77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77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77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77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77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77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77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77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77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77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77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77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77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77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77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77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77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77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77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77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77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77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77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76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76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75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75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75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75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75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75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75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74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74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74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73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73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73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73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73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73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73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73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73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73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73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73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73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73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73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73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73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73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73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73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73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73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73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73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73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73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73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73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73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73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73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73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73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73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73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73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73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73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73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73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73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73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73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73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73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73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73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73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73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73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73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73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73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73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73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73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73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73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73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73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73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73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73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73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73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73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73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73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73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73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73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73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73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73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73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73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73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73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73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73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73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73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73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73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73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73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73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73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73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73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73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73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73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73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72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72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72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72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72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72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72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72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72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72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72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72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72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72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72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72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72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72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72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71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71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71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71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71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71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71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71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71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71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71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71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71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71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71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71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71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71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70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70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70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70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70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70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70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70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70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70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70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70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67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67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67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67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67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67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67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67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67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67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67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67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67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67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67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67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67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67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67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67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67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67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67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67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67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67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67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67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67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66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66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66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66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66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66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66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66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66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66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66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66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66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66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66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66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66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66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66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66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66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66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66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66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66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66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66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66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66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66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66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66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66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66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66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65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65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65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65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65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65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65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65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65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65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65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65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65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65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65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65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65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65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65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65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65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65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65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65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65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65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65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65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65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65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65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65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65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65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65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65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65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65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65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65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65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65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65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65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65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65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65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65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65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65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65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65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65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65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65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65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65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65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65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65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65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65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65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65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65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65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65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65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65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65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65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65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65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65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65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65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65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65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65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65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65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65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65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65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65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65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65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65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65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65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65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65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65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65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65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65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65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65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65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65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65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65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65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65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65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65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65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65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65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65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65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65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65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65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65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65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65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65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65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65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65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65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65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65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65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65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65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65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65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65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65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65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65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65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65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65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65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65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65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65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65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65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65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65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65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65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65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65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65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65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65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65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65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65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65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65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65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65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65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65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65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65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65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65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65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65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65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65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65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65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65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65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65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65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65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65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65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65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65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65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65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65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65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65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65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65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65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65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65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65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65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65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65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65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65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65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65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65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65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65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65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65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65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65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65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65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65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65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65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65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65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65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65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65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65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65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65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65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65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65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65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65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65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65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65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65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65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65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65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65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65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65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65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65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65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65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63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63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63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63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63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63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63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63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63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63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63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63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63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63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63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63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62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62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62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62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62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62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62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62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62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62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62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62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62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62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62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62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62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62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62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62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62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62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62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62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62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62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62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62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62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62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62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62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62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62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62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62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62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62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62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61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61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61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61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61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61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61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61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61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61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61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61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61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61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61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61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61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61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60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60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60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60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60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60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60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60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60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60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60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60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60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60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60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60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60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60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60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60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60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60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60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60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60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60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60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60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60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60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60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60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60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60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60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60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60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60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60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60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60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60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60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60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60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60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60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60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60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60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60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60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60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60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60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60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60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60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60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60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60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60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60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60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60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60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60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60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60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60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60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60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60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60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60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60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60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60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60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60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60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60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60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60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60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60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60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60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60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60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60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60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60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60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60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60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60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60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60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60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60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60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60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60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60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60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60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60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60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60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60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60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60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60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60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56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56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56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56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56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56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56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56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56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56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56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56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55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55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55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55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55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55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55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55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55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55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55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55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55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55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55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55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55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55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55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55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55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55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55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55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55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55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55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55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55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55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55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52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52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52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52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52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52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52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52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52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51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50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50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50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50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50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50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49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49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49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49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49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49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49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49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49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49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49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49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49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49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49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49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49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49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49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49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48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48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48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48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48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48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48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48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48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48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48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48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47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47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47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47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47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47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47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47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47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47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47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47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44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44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44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44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44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44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44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44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44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44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44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44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44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44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44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44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44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44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44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44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44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44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44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44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44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44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44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44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44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44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44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44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44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44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44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44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44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44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44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44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44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44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44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44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44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44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44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44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44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44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43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43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43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43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43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43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43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43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43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43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43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43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43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43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43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43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40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39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39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39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39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39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39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37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37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37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37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37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37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37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37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37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37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37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37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37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37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37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37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37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37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37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37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37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37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37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37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37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37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37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37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37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37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37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37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37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37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37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37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37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37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37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37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37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37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37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37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37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37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37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35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35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35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35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35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35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35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35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35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35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35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35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35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35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35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35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35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35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35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35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35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35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35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35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35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35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35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35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33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33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33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33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28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28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28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28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28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27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27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27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27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27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27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27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27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27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27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27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27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24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24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24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24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24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24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24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24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24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24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24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24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24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24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24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24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24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24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24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24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24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24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24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24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24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24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24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24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24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23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22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21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21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21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21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21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21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21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21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21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21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21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21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21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21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21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21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21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21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21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21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21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21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21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21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21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21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21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20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20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20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20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20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20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20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20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20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20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20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20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20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20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20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20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20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20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20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20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20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20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20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20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20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20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20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20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20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20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20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20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20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20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20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20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20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20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20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19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22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22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17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17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17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17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17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17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17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17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17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17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17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17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17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17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17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17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17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17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17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17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17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17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17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17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17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17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17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17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17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17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17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17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17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17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17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17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17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17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17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17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17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17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17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17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17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17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17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17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17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17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17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17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17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17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17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17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17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17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17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17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17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17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17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17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17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17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17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17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17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17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17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17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17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17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17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17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17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17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17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17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17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17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17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17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17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17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17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17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17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17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17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17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17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15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15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15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15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15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15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15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15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15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15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15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15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15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15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15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15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15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15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15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15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15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15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15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15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15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15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15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15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15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14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12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6989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12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12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9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9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9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9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9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9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9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9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9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9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9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9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9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9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9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9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9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9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9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9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9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9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9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9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9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9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9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9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9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9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9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9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9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9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9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9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9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9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9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9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9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9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9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9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9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9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9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9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9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9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9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9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9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9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9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9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9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9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9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5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5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5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5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5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5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5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5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5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5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5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5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5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5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3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3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3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3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3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3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3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1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1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1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1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1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1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open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1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open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1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open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1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open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1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open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1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open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1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open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1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open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1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open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1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open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1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open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1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open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1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open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1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open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1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open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1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open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1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open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1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open</v>
      </c>
      <c r="C4745" s="149" t="s">
        <v>370</v>
      </c>
      <c r="D4745" t="s">
        <v>6947</v>
      </c>
      <c r="E4745" t="s">
        <v>6964</v>
      </c>
      <c r="F4745" s="150" t="s">
        <v>6969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0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1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open</v>
      </c>
      <c r="C4746" s="149" t="s">
        <v>370</v>
      </c>
      <c r="D4746" t="s">
        <v>6948</v>
      </c>
      <c r="E4746" t="s">
        <v>6965</v>
      </c>
      <c r="F4746" s="150" t="s">
        <v>6968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0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1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open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1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open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1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open</v>
      </c>
      <c r="C4749" s="149" t="s">
        <v>370</v>
      </c>
      <c r="D4749" t="s">
        <v>6951</v>
      </c>
      <c r="E4749" t="s">
        <v>4797</v>
      </c>
      <c r="F4749" s="150" t="s">
        <v>6970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0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1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open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1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open</v>
      </c>
      <c r="C4751" s="149" t="s">
        <v>375</v>
      </c>
      <c r="D4751" t="s">
        <v>6953</v>
      </c>
      <c r="E4751" t="s">
        <v>6473</v>
      </c>
      <c r="F4751" s="150" t="s">
        <v>6971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0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1</v>
      </c>
      <c r="R4751" s="170" t="s">
        <v>489</v>
      </c>
      <c r="S4751" s="150"/>
    </row>
    <row r="4752" spans="1:19">
      <c r="A4752" t="s">
        <v>6972</v>
      </c>
      <c r="B4752" s="150" t="str">
        <f>IFERROR(VLOOKUP(Proc[[#This Row],[App]],Table2[],3,0),"open")</f>
        <v>open</v>
      </c>
      <c r="C4752" t="s">
        <v>370</v>
      </c>
      <c r="D4752" t="s">
        <v>6973</v>
      </c>
      <c r="E4752" t="s">
        <v>6976</v>
      </c>
      <c r="F4752" s="150" t="s">
        <v>6978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0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on track</v>
      </c>
      <c r="Q4752" s="3">
        <f ca="1">IF(Proc[[#This Row],[DateClosed]]="",ABS(NETWORKDAYS(Proc[[#This Row],[DateOpened]],TODAY()))-1,ABS(NETWORKDAYS(Proc[[#This Row],[DateOpened]],Proc[[#This Row],[DateClosed]]))-1)</f>
        <v>1</v>
      </c>
      <c r="R4752" s="172" t="s">
        <v>515</v>
      </c>
      <c r="S4752" s="150"/>
    </row>
    <row r="4753" spans="1:19">
      <c r="A4753" t="s">
        <v>6972</v>
      </c>
      <c r="B4753" s="150" t="str">
        <f>IFERROR(VLOOKUP(Proc[[#This Row],[App]],Table2[],3,0),"open")</f>
        <v>open</v>
      </c>
      <c r="C4753" t="s">
        <v>370</v>
      </c>
      <c r="D4753" t="s">
        <v>6974</v>
      </c>
      <c r="E4753" t="s">
        <v>6977</v>
      </c>
      <c r="F4753" s="150" t="s">
        <v>6978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0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on track</v>
      </c>
      <c r="Q4753" s="3">
        <f ca="1">IF(Proc[[#This Row],[DateClosed]]="",ABS(NETWORKDAYS(Proc[[#This Row],[DateOpened]],TODAY()))-1,ABS(NETWORKDAYS(Proc[[#This Row],[DateOpened]],Proc[[#This Row],[DateClosed]]))-1)</f>
        <v>1</v>
      </c>
      <c r="R4753" s="172" t="s">
        <v>515</v>
      </c>
      <c r="S4753" s="150"/>
    </row>
    <row r="4754" spans="1:19">
      <c r="A4754" t="s">
        <v>6972</v>
      </c>
      <c r="B4754" s="150" t="str">
        <f>IFERROR(VLOOKUP(Proc[[#This Row],[App]],Table2[],3,0),"open")</f>
        <v>open</v>
      </c>
      <c r="C4754" s="149" t="s">
        <v>370</v>
      </c>
      <c r="D4754" t="s">
        <v>6975</v>
      </c>
      <c r="E4754" t="s">
        <v>6977</v>
      </c>
      <c r="F4754" s="150" t="s">
        <v>6978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0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on track</v>
      </c>
      <c r="Q4754" s="3">
        <f ca="1">IF(Proc[[#This Row],[DateClosed]]="",ABS(NETWORKDAYS(Proc[[#This Row],[DateOpened]],TODAY()))-1,ABS(NETWORKDAYS(Proc[[#This Row],[DateOpened]],Proc[[#This Row],[DateClosed]]))-1)</f>
        <v>1</v>
      </c>
      <c r="R4754" s="172" t="s">
        <v>515</v>
      </c>
      <c r="S4754" s="150"/>
    </row>
    <row r="4755" spans="1:19" hidden="1">
      <c r="A4755" t="s">
        <v>6979</v>
      </c>
      <c r="B4755" s="150" t="str">
        <f>IFERROR(VLOOKUP(Proc[[#This Row],[App]],Table2[],3,0),"open")</f>
        <v>open</v>
      </c>
      <c r="C4755" s="149" t="s">
        <v>375</v>
      </c>
      <c r="D4755" t="s">
        <v>6751</v>
      </c>
      <c r="E4755" t="s">
        <v>6988</v>
      </c>
      <c r="F4755" s="150" t="s">
        <v>6776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0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on track</v>
      </c>
      <c r="Q4755" s="3">
        <f ca="1">IF(Proc[[#This Row],[DateClosed]]="",ABS(NETWORKDAYS(Proc[[#This Row],[DateOpened]],TODAY()))-1,ABS(NETWORKDAYS(Proc[[#This Row],[DateOpened]],Proc[[#This Row],[DateClosed]]))-1)</f>
        <v>1</v>
      </c>
      <c r="R4755" s="172" t="s">
        <v>5709</v>
      </c>
      <c r="S4755" s="150"/>
    </row>
    <row r="4756" spans="1:19" hidden="1">
      <c r="A4756" t="s">
        <v>6979</v>
      </c>
      <c r="B4756" s="150" t="str">
        <f>IFERROR(VLOOKUP(Proc[[#This Row],[App]],Table2[],3,0),"open")</f>
        <v>open</v>
      </c>
      <c r="C4756" s="149" t="s">
        <v>375</v>
      </c>
      <c r="D4756" t="s">
        <v>6752</v>
      </c>
      <c r="E4756" s="149" t="s">
        <v>6988</v>
      </c>
      <c r="F4756" s="150" t="s">
        <v>6776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0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on track</v>
      </c>
      <c r="Q4756" s="3">
        <f ca="1">IF(Proc[[#This Row],[DateClosed]]="",ABS(NETWORKDAYS(Proc[[#This Row],[DateOpened]],TODAY()))-1,ABS(NETWORKDAYS(Proc[[#This Row],[DateOpened]],Proc[[#This Row],[DateClosed]]))-1)</f>
        <v>1</v>
      </c>
      <c r="R4756" s="172" t="s">
        <v>5709</v>
      </c>
      <c r="S4756" s="150"/>
    </row>
    <row r="4757" spans="1:19" hidden="1">
      <c r="A4757" s="149" t="s">
        <v>6979</v>
      </c>
      <c r="B4757" s="150" t="str">
        <f>IFERROR(VLOOKUP(Proc[[#This Row],[App]],Table2[],3,0),"open")</f>
        <v>open</v>
      </c>
      <c r="C4757" s="149" t="s">
        <v>375</v>
      </c>
      <c r="D4757" t="s">
        <v>6753</v>
      </c>
      <c r="E4757" s="149" t="s">
        <v>6988</v>
      </c>
      <c r="F4757" s="150" t="s">
        <v>6776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0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on track</v>
      </c>
      <c r="Q4757" s="3">
        <f ca="1">IF(Proc[[#This Row],[DateClosed]]="",ABS(NETWORKDAYS(Proc[[#This Row],[DateOpened]],TODAY()))-1,ABS(NETWORKDAYS(Proc[[#This Row],[DateOpened]],Proc[[#This Row],[DateClosed]]))-1)</f>
        <v>1</v>
      </c>
      <c r="R4757" s="172" t="s">
        <v>5709</v>
      </c>
      <c r="S4757" s="150"/>
    </row>
    <row r="4758" spans="1:19" hidden="1">
      <c r="A4758" s="149" t="s">
        <v>6979</v>
      </c>
      <c r="B4758" s="150" t="str">
        <f>IFERROR(VLOOKUP(Proc[[#This Row],[App]],Table2[],3,0),"open")</f>
        <v>open</v>
      </c>
      <c r="C4758" s="149" t="s">
        <v>375</v>
      </c>
      <c r="D4758" t="s">
        <v>6754</v>
      </c>
      <c r="E4758" s="149" t="s">
        <v>6988</v>
      </c>
      <c r="F4758" s="150" t="s">
        <v>6776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0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on track</v>
      </c>
      <c r="Q4758" s="3">
        <f ca="1">IF(Proc[[#This Row],[DateClosed]]="",ABS(NETWORKDAYS(Proc[[#This Row],[DateOpened]],TODAY()))-1,ABS(NETWORKDAYS(Proc[[#This Row],[DateOpened]],Proc[[#This Row],[DateClosed]]))-1)</f>
        <v>1</v>
      </c>
      <c r="R4758" s="172" t="s">
        <v>5709</v>
      </c>
      <c r="S4758" s="150"/>
    </row>
    <row r="4759" spans="1:19" hidden="1">
      <c r="A4759" s="149" t="s">
        <v>6979</v>
      </c>
      <c r="B4759" s="150" t="str">
        <f>IFERROR(VLOOKUP(Proc[[#This Row],[App]],Table2[],3,0),"open")</f>
        <v>open</v>
      </c>
      <c r="C4759" s="149" t="s">
        <v>375</v>
      </c>
      <c r="D4759" t="s">
        <v>6755</v>
      </c>
      <c r="E4759" s="149" t="s">
        <v>6988</v>
      </c>
      <c r="F4759" s="150" t="s">
        <v>6776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0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on track</v>
      </c>
      <c r="Q4759" s="3">
        <f ca="1">IF(Proc[[#This Row],[DateClosed]]="",ABS(NETWORKDAYS(Proc[[#This Row],[DateOpened]],TODAY()))-1,ABS(NETWORKDAYS(Proc[[#This Row],[DateOpened]],Proc[[#This Row],[DateClosed]]))-1)</f>
        <v>1</v>
      </c>
      <c r="R4759" s="172" t="s">
        <v>5709</v>
      </c>
      <c r="S4759" s="150"/>
    </row>
    <row r="4760" spans="1:19" hidden="1">
      <c r="A4760" s="149" t="s">
        <v>6979</v>
      </c>
      <c r="B4760" s="150" t="str">
        <f>IFERROR(VLOOKUP(Proc[[#This Row],[App]],Table2[],3,0),"open")</f>
        <v>open</v>
      </c>
      <c r="C4760" s="149" t="s">
        <v>375</v>
      </c>
      <c r="D4760" t="s">
        <v>6756</v>
      </c>
      <c r="E4760" s="149" t="s">
        <v>6988</v>
      </c>
      <c r="F4760" s="150" t="s">
        <v>6776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0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on track</v>
      </c>
      <c r="Q4760" s="3">
        <f ca="1">IF(Proc[[#This Row],[DateClosed]]="",ABS(NETWORKDAYS(Proc[[#This Row],[DateOpened]],TODAY()))-1,ABS(NETWORKDAYS(Proc[[#This Row],[DateOpened]],Proc[[#This Row],[DateClosed]]))-1)</f>
        <v>1</v>
      </c>
      <c r="R4760" s="172" t="s">
        <v>5709</v>
      </c>
      <c r="S4760" s="150"/>
    </row>
    <row r="4761" spans="1:19" hidden="1">
      <c r="A4761" s="149" t="s">
        <v>6979</v>
      </c>
      <c r="B4761" s="150" t="str">
        <f>IFERROR(VLOOKUP(Proc[[#This Row],[App]],Table2[],3,0),"open")</f>
        <v>open</v>
      </c>
      <c r="C4761" s="149" t="s">
        <v>375</v>
      </c>
      <c r="D4761" t="s">
        <v>6757</v>
      </c>
      <c r="E4761" s="149" t="s">
        <v>6988</v>
      </c>
      <c r="F4761" s="150" t="s">
        <v>6776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0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on track</v>
      </c>
      <c r="Q4761" s="3">
        <f ca="1">IF(Proc[[#This Row],[DateClosed]]="",ABS(NETWORKDAYS(Proc[[#This Row],[DateOpened]],TODAY()))-1,ABS(NETWORKDAYS(Proc[[#This Row],[DateOpened]],Proc[[#This Row],[DateClosed]]))-1)</f>
        <v>1</v>
      </c>
      <c r="R4761" s="172" t="s">
        <v>5709</v>
      </c>
      <c r="S4761" s="150"/>
    </row>
    <row r="4762" spans="1:19" hidden="1">
      <c r="A4762" s="149" t="s">
        <v>6979</v>
      </c>
      <c r="B4762" s="150" t="str">
        <f>IFERROR(VLOOKUP(Proc[[#This Row],[App]],Table2[],3,0),"open")</f>
        <v>open</v>
      </c>
      <c r="C4762" s="149" t="s">
        <v>375</v>
      </c>
      <c r="D4762" t="s">
        <v>6758</v>
      </c>
      <c r="E4762" s="149" t="s">
        <v>6988</v>
      </c>
      <c r="F4762" s="150" t="s">
        <v>6776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0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on track</v>
      </c>
      <c r="Q4762" s="3">
        <f ca="1">IF(Proc[[#This Row],[DateClosed]]="",ABS(NETWORKDAYS(Proc[[#This Row],[DateOpened]],TODAY()))-1,ABS(NETWORKDAYS(Proc[[#This Row],[DateOpened]],Proc[[#This Row],[DateClosed]]))-1)</f>
        <v>1</v>
      </c>
      <c r="R4762" s="172" t="s">
        <v>5709</v>
      </c>
      <c r="S4762" s="150"/>
    </row>
    <row r="4763" spans="1:19" hidden="1">
      <c r="A4763" s="149" t="s">
        <v>6979</v>
      </c>
      <c r="B4763" s="150" t="str">
        <f>IFERROR(VLOOKUP(Proc[[#This Row],[App]],Table2[],3,0),"open")</f>
        <v>open</v>
      </c>
      <c r="C4763" s="149" t="s">
        <v>375</v>
      </c>
      <c r="D4763" t="s">
        <v>6759</v>
      </c>
      <c r="E4763" s="149" t="s">
        <v>6988</v>
      </c>
      <c r="F4763" s="150" t="s">
        <v>6776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0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on track</v>
      </c>
      <c r="Q4763" s="3">
        <f ca="1">IF(Proc[[#This Row],[DateClosed]]="",ABS(NETWORKDAYS(Proc[[#This Row],[DateOpened]],TODAY()))-1,ABS(NETWORKDAYS(Proc[[#This Row],[DateOpened]],Proc[[#This Row],[DateClosed]]))-1)</f>
        <v>1</v>
      </c>
      <c r="R4763" s="172" t="s">
        <v>5709</v>
      </c>
      <c r="S4763" s="150"/>
    </row>
    <row r="4764" spans="1:19" hidden="1">
      <c r="A4764" s="149" t="s">
        <v>6979</v>
      </c>
      <c r="B4764" s="150" t="str">
        <f>IFERROR(VLOOKUP(Proc[[#This Row],[App]],Table2[],3,0),"open")</f>
        <v>open</v>
      </c>
      <c r="C4764" s="149" t="s">
        <v>375</v>
      </c>
      <c r="D4764" t="s">
        <v>6760</v>
      </c>
      <c r="E4764" s="149" t="s">
        <v>6988</v>
      </c>
      <c r="F4764" s="150" t="s">
        <v>6776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0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on track</v>
      </c>
      <c r="Q4764" s="3">
        <f ca="1">IF(Proc[[#This Row],[DateClosed]]="",ABS(NETWORKDAYS(Proc[[#This Row],[DateOpened]],TODAY()))-1,ABS(NETWORKDAYS(Proc[[#This Row],[DateOpened]],Proc[[#This Row],[DateClosed]]))-1)</f>
        <v>1</v>
      </c>
      <c r="R4764" s="172" t="s">
        <v>5709</v>
      </c>
      <c r="S4764" s="150"/>
    </row>
    <row r="4765" spans="1:19" hidden="1">
      <c r="A4765" s="149" t="s">
        <v>6979</v>
      </c>
      <c r="B4765" s="150" t="str">
        <f>IFERROR(VLOOKUP(Proc[[#This Row],[App]],Table2[],3,0),"open")</f>
        <v>open</v>
      </c>
      <c r="C4765" s="149" t="s">
        <v>375</v>
      </c>
      <c r="D4765" t="s">
        <v>6761</v>
      </c>
      <c r="E4765" s="149" t="s">
        <v>6988</v>
      </c>
      <c r="F4765" s="150" t="s">
        <v>6776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0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on track</v>
      </c>
      <c r="Q4765" s="3">
        <f ca="1">IF(Proc[[#This Row],[DateClosed]]="",ABS(NETWORKDAYS(Proc[[#This Row],[DateOpened]],TODAY()))-1,ABS(NETWORKDAYS(Proc[[#This Row],[DateOpened]],Proc[[#This Row],[DateClosed]]))-1)</f>
        <v>1</v>
      </c>
      <c r="R4765" s="172" t="s">
        <v>5709</v>
      </c>
      <c r="S4765" s="150"/>
    </row>
    <row r="4766" spans="1:19" hidden="1">
      <c r="A4766" s="149" t="s">
        <v>6979</v>
      </c>
      <c r="B4766" s="150" t="str">
        <f>IFERROR(VLOOKUP(Proc[[#This Row],[App]],Table2[],3,0),"open")</f>
        <v>open</v>
      </c>
      <c r="C4766" s="149" t="s">
        <v>375</v>
      </c>
      <c r="D4766" t="s">
        <v>6762</v>
      </c>
      <c r="E4766" s="149" t="s">
        <v>6988</v>
      </c>
      <c r="F4766" s="150" t="s">
        <v>6776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0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on track</v>
      </c>
      <c r="Q4766" s="3">
        <f ca="1">IF(Proc[[#This Row],[DateClosed]]="",ABS(NETWORKDAYS(Proc[[#This Row],[DateOpened]],TODAY()))-1,ABS(NETWORKDAYS(Proc[[#This Row],[DateOpened]],Proc[[#This Row],[DateClosed]]))-1)</f>
        <v>1</v>
      </c>
      <c r="R4766" s="172" t="s">
        <v>5709</v>
      </c>
      <c r="S4766" s="150"/>
    </row>
    <row r="4767" spans="1:19" hidden="1">
      <c r="A4767" s="149" t="s">
        <v>6979</v>
      </c>
      <c r="B4767" s="150" t="str">
        <f>IFERROR(VLOOKUP(Proc[[#This Row],[App]],Table2[],3,0),"open")</f>
        <v>open</v>
      </c>
      <c r="C4767" s="149" t="s">
        <v>375</v>
      </c>
      <c r="D4767" t="s">
        <v>6763</v>
      </c>
      <c r="E4767" s="149" t="s">
        <v>6988</v>
      </c>
      <c r="F4767" s="150" t="s">
        <v>6776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0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on track</v>
      </c>
      <c r="Q4767" s="3">
        <f ca="1">IF(Proc[[#This Row],[DateClosed]]="",ABS(NETWORKDAYS(Proc[[#This Row],[DateOpened]],TODAY()))-1,ABS(NETWORKDAYS(Proc[[#This Row],[DateOpened]],Proc[[#This Row],[DateClosed]]))-1)</f>
        <v>1</v>
      </c>
      <c r="R4767" s="172" t="s">
        <v>5709</v>
      </c>
      <c r="S4767" s="150"/>
    </row>
    <row r="4768" spans="1:19" hidden="1">
      <c r="A4768" s="149" t="s">
        <v>6979</v>
      </c>
      <c r="B4768" s="150" t="str">
        <f>IFERROR(VLOOKUP(Proc[[#This Row],[App]],Table2[],3,0),"open")</f>
        <v>open</v>
      </c>
      <c r="C4768" s="149" t="s">
        <v>375</v>
      </c>
      <c r="D4768" t="s">
        <v>6764</v>
      </c>
      <c r="E4768" s="149" t="s">
        <v>6988</v>
      </c>
      <c r="F4768" s="150" t="s">
        <v>6776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0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on track</v>
      </c>
      <c r="Q4768" s="3">
        <f ca="1">IF(Proc[[#This Row],[DateClosed]]="",ABS(NETWORKDAYS(Proc[[#This Row],[DateOpened]],TODAY()))-1,ABS(NETWORKDAYS(Proc[[#This Row],[DateOpened]],Proc[[#This Row],[DateClosed]]))-1)</f>
        <v>1</v>
      </c>
      <c r="R4768" s="172" t="s">
        <v>5709</v>
      </c>
      <c r="S4768" s="150"/>
    </row>
    <row r="4769" spans="1:19" hidden="1">
      <c r="A4769" s="149" t="s">
        <v>6979</v>
      </c>
      <c r="B4769" s="150" t="str">
        <f>IFERROR(VLOOKUP(Proc[[#This Row],[App]],Table2[],3,0),"open")</f>
        <v>open</v>
      </c>
      <c r="C4769" s="149" t="s">
        <v>375</v>
      </c>
      <c r="D4769" t="s">
        <v>6765</v>
      </c>
      <c r="E4769" s="149" t="s">
        <v>6988</v>
      </c>
      <c r="F4769" s="150" t="s">
        <v>6776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0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on track</v>
      </c>
      <c r="Q4769" s="3">
        <f ca="1">IF(Proc[[#This Row],[DateClosed]]="",ABS(NETWORKDAYS(Proc[[#This Row],[DateOpened]],TODAY()))-1,ABS(NETWORKDAYS(Proc[[#This Row],[DateOpened]],Proc[[#This Row],[DateClosed]]))-1)</f>
        <v>1</v>
      </c>
      <c r="R4769" s="172" t="s">
        <v>5709</v>
      </c>
      <c r="S4769" s="150"/>
    </row>
    <row r="4770" spans="1:19" hidden="1">
      <c r="A4770" s="149" t="s">
        <v>6979</v>
      </c>
      <c r="B4770" s="150" t="str">
        <f>IFERROR(VLOOKUP(Proc[[#This Row],[App]],Table2[],3,0),"open")</f>
        <v>open</v>
      </c>
      <c r="C4770" s="149" t="s">
        <v>375</v>
      </c>
      <c r="D4770" t="s">
        <v>6766</v>
      </c>
      <c r="E4770" s="149" t="s">
        <v>6988</v>
      </c>
      <c r="F4770" s="150" t="s">
        <v>6776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0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on track</v>
      </c>
      <c r="Q4770" s="3">
        <f ca="1">IF(Proc[[#This Row],[DateClosed]]="",ABS(NETWORKDAYS(Proc[[#This Row],[DateOpened]],TODAY()))-1,ABS(NETWORKDAYS(Proc[[#This Row],[DateOpened]],Proc[[#This Row],[DateClosed]]))-1)</f>
        <v>1</v>
      </c>
      <c r="R4770" s="172" t="s">
        <v>5709</v>
      </c>
      <c r="S4770" s="150"/>
    </row>
    <row r="4771" spans="1:19" hidden="1">
      <c r="A4771" s="149" t="s">
        <v>6979</v>
      </c>
      <c r="B4771" s="150" t="str">
        <f>IFERROR(VLOOKUP(Proc[[#This Row],[App]],Table2[],3,0),"open")</f>
        <v>open</v>
      </c>
      <c r="C4771" s="149" t="s">
        <v>375</v>
      </c>
      <c r="D4771" t="s">
        <v>6767</v>
      </c>
      <c r="E4771" s="149" t="s">
        <v>6988</v>
      </c>
      <c r="F4771" s="150" t="s">
        <v>6776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0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on track</v>
      </c>
      <c r="Q4771" s="3">
        <f ca="1">IF(Proc[[#This Row],[DateClosed]]="",ABS(NETWORKDAYS(Proc[[#This Row],[DateOpened]],TODAY()))-1,ABS(NETWORKDAYS(Proc[[#This Row],[DateOpened]],Proc[[#This Row],[DateClosed]]))-1)</f>
        <v>1</v>
      </c>
      <c r="R4771" s="172" t="s">
        <v>5709</v>
      </c>
      <c r="S4771" s="150"/>
    </row>
    <row r="4772" spans="1:19" hidden="1">
      <c r="A4772" s="149" t="s">
        <v>6979</v>
      </c>
      <c r="B4772" s="150" t="str">
        <f>IFERROR(VLOOKUP(Proc[[#This Row],[App]],Table2[],3,0),"open")</f>
        <v>open</v>
      </c>
      <c r="C4772" s="149" t="s">
        <v>375</v>
      </c>
      <c r="D4772" t="s">
        <v>6768</v>
      </c>
      <c r="E4772" s="149" t="s">
        <v>6988</v>
      </c>
      <c r="F4772" s="150" t="s">
        <v>6776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0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on track</v>
      </c>
      <c r="Q4772" s="3">
        <f ca="1">IF(Proc[[#This Row],[DateClosed]]="",ABS(NETWORKDAYS(Proc[[#This Row],[DateOpened]],TODAY()))-1,ABS(NETWORKDAYS(Proc[[#This Row],[DateOpened]],Proc[[#This Row],[DateClosed]]))-1)</f>
        <v>1</v>
      </c>
      <c r="R4772" s="172" t="s">
        <v>5709</v>
      </c>
      <c r="S4772" s="150"/>
    </row>
    <row r="4773" spans="1:19" hidden="1">
      <c r="A4773" s="149" t="s">
        <v>6979</v>
      </c>
      <c r="B4773" s="150" t="str">
        <f>IFERROR(VLOOKUP(Proc[[#This Row],[App]],Table2[],3,0),"open")</f>
        <v>open</v>
      </c>
      <c r="C4773" s="149" t="s">
        <v>375</v>
      </c>
      <c r="D4773" t="s">
        <v>6769</v>
      </c>
      <c r="E4773" s="149" t="s">
        <v>6988</v>
      </c>
      <c r="F4773" s="150" t="s">
        <v>6776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0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on track</v>
      </c>
      <c r="Q4773" s="3">
        <f ca="1">IF(Proc[[#This Row],[DateClosed]]="",ABS(NETWORKDAYS(Proc[[#This Row],[DateOpened]],TODAY()))-1,ABS(NETWORKDAYS(Proc[[#This Row],[DateOpened]],Proc[[#This Row],[DateClosed]]))-1)</f>
        <v>1</v>
      </c>
      <c r="R4773" s="172" t="s">
        <v>5709</v>
      </c>
      <c r="S4773" s="150"/>
    </row>
    <row r="4774" spans="1:19" hidden="1">
      <c r="A4774" s="149" t="s">
        <v>6979</v>
      </c>
      <c r="B4774" s="150" t="str">
        <f>IFERROR(VLOOKUP(Proc[[#This Row],[App]],Table2[],3,0),"open")</f>
        <v>open</v>
      </c>
      <c r="C4774" s="149" t="s">
        <v>375</v>
      </c>
      <c r="D4774" t="s">
        <v>6770</v>
      </c>
      <c r="E4774" s="149" t="s">
        <v>6988</v>
      </c>
      <c r="F4774" s="150" t="s">
        <v>6776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0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on track</v>
      </c>
      <c r="Q4774" s="3">
        <f ca="1">IF(Proc[[#This Row],[DateClosed]]="",ABS(NETWORKDAYS(Proc[[#This Row],[DateOpened]],TODAY()))-1,ABS(NETWORKDAYS(Proc[[#This Row],[DateOpened]],Proc[[#This Row],[DateClosed]]))-1)</f>
        <v>1</v>
      </c>
      <c r="R4774" s="172" t="s">
        <v>5709</v>
      </c>
      <c r="S4774" s="150"/>
    </row>
    <row r="4775" spans="1:19" hidden="1">
      <c r="A4775" s="149" t="s">
        <v>6979</v>
      </c>
      <c r="B4775" s="150" t="str">
        <f>IFERROR(VLOOKUP(Proc[[#This Row],[App]],Table2[],3,0),"open")</f>
        <v>open</v>
      </c>
      <c r="C4775" s="149" t="s">
        <v>375</v>
      </c>
      <c r="D4775" t="s">
        <v>6771</v>
      </c>
      <c r="E4775" s="149" t="s">
        <v>6988</v>
      </c>
      <c r="F4775" s="150" t="s">
        <v>6776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0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on track</v>
      </c>
      <c r="Q4775" s="3">
        <f ca="1">IF(Proc[[#This Row],[DateClosed]]="",ABS(NETWORKDAYS(Proc[[#This Row],[DateOpened]],TODAY()))-1,ABS(NETWORKDAYS(Proc[[#This Row],[DateOpened]],Proc[[#This Row],[DateClosed]]))-1)</f>
        <v>1</v>
      </c>
      <c r="R4775" s="172" t="s">
        <v>5709</v>
      </c>
      <c r="S4775" s="150"/>
    </row>
    <row r="4776" spans="1:19" hidden="1">
      <c r="A4776" s="149" t="s">
        <v>6979</v>
      </c>
      <c r="B4776" s="150" t="str">
        <f>IFERROR(VLOOKUP(Proc[[#This Row],[App]],Table2[],3,0),"open")</f>
        <v>open</v>
      </c>
      <c r="C4776" s="149" t="s">
        <v>375</v>
      </c>
      <c r="D4776" t="s">
        <v>6772</v>
      </c>
      <c r="E4776" s="149" t="s">
        <v>6988</v>
      </c>
      <c r="F4776" s="150" t="s">
        <v>6776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0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on track</v>
      </c>
      <c r="Q4776" s="3">
        <f ca="1">IF(Proc[[#This Row],[DateClosed]]="",ABS(NETWORKDAYS(Proc[[#This Row],[DateOpened]],TODAY()))-1,ABS(NETWORKDAYS(Proc[[#This Row],[DateOpened]],Proc[[#This Row],[DateClosed]]))-1)</f>
        <v>1</v>
      </c>
      <c r="R4776" s="172" t="s">
        <v>5709</v>
      </c>
      <c r="S4776" s="150"/>
    </row>
    <row r="4777" spans="1:19" hidden="1">
      <c r="A4777" s="149" t="s">
        <v>6979</v>
      </c>
      <c r="B4777" s="150" t="str">
        <f>IFERROR(VLOOKUP(Proc[[#This Row],[App]],Table2[],3,0),"open")</f>
        <v>open</v>
      </c>
      <c r="C4777" s="149" t="s">
        <v>375</v>
      </c>
      <c r="D4777" t="s">
        <v>6773</v>
      </c>
      <c r="E4777" s="149" t="s">
        <v>6988</v>
      </c>
      <c r="F4777" s="150" t="s">
        <v>6776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0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on track</v>
      </c>
      <c r="Q4777" s="3">
        <f ca="1">IF(Proc[[#This Row],[DateClosed]]="",ABS(NETWORKDAYS(Proc[[#This Row],[DateOpened]],TODAY()))-1,ABS(NETWORKDAYS(Proc[[#This Row],[DateOpened]],Proc[[#This Row],[DateClosed]]))-1)</f>
        <v>1</v>
      </c>
      <c r="R4777" s="172" t="s">
        <v>5709</v>
      </c>
      <c r="S4777" s="150"/>
    </row>
    <row r="4778" spans="1:19" hidden="1">
      <c r="A4778" s="149" t="s">
        <v>6979</v>
      </c>
      <c r="B4778" s="150" t="str">
        <f>IFERROR(VLOOKUP(Proc[[#This Row],[App]],Table2[],3,0),"open")</f>
        <v>open</v>
      </c>
      <c r="C4778" s="149" t="s">
        <v>375</v>
      </c>
      <c r="D4778" t="s">
        <v>6774</v>
      </c>
      <c r="E4778" s="149" t="s">
        <v>6988</v>
      </c>
      <c r="F4778" s="150" t="s">
        <v>6776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0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on track</v>
      </c>
      <c r="Q4778" s="3">
        <f ca="1">IF(Proc[[#This Row],[DateClosed]]="",ABS(NETWORKDAYS(Proc[[#This Row],[DateOpened]],TODAY()))-1,ABS(NETWORKDAYS(Proc[[#This Row],[DateOpened]],Proc[[#This Row],[DateClosed]]))-1)</f>
        <v>1</v>
      </c>
      <c r="R4778" s="172" t="s">
        <v>5709</v>
      </c>
      <c r="S4778" s="150"/>
    </row>
    <row r="4779" spans="1:19" hidden="1">
      <c r="A4779" s="149" t="s">
        <v>6979</v>
      </c>
      <c r="B4779" s="150" t="str">
        <f>IFERROR(VLOOKUP(Proc[[#This Row],[App]],Table2[],3,0),"open")</f>
        <v>open</v>
      </c>
      <c r="C4779" s="149" t="s">
        <v>375</v>
      </c>
      <c r="D4779" t="s">
        <v>6775</v>
      </c>
      <c r="E4779" s="149" t="s">
        <v>6988</v>
      </c>
      <c r="F4779" s="150" t="s">
        <v>6776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0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on track</v>
      </c>
      <c r="Q4779" s="3">
        <f ca="1">IF(Proc[[#This Row],[DateClosed]]="",ABS(NETWORKDAYS(Proc[[#This Row],[DateOpened]],TODAY()))-1,ABS(NETWORKDAYS(Proc[[#This Row],[DateOpened]],Proc[[#This Row],[DateClosed]]))-1)</f>
        <v>1</v>
      </c>
      <c r="R4779" s="172" t="s">
        <v>5709</v>
      </c>
      <c r="S4779" s="150"/>
    </row>
    <row r="4780" spans="1:19">
      <c r="A4780" t="s">
        <v>6980</v>
      </c>
      <c r="B4780" s="150" t="str">
        <f>IFERROR(VLOOKUP(Proc[[#This Row],[App]],Table2[],3,0),"open")</f>
        <v>open</v>
      </c>
      <c r="C4780" s="149" t="s">
        <v>370</v>
      </c>
      <c r="D4780" t="s">
        <v>6981</v>
      </c>
      <c r="E4780" t="s">
        <v>1012</v>
      </c>
      <c r="F4780" s="150" t="s">
        <v>2338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0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on track</v>
      </c>
      <c r="Q4780" s="3">
        <f ca="1">IF(Proc[[#This Row],[DateClosed]]="",ABS(NETWORKDAYS(Proc[[#This Row],[DateOpened]],TODAY()))-1,ABS(NETWORKDAYS(Proc[[#This Row],[DateOpened]],Proc[[#This Row],[DateClosed]]))-1)</f>
        <v>1</v>
      </c>
      <c r="R4780" s="172" t="s">
        <v>6987</v>
      </c>
      <c r="S4780" s="150"/>
    </row>
    <row r="4781" spans="1:19">
      <c r="A4781" t="s">
        <v>6980</v>
      </c>
      <c r="B4781" s="150" t="str">
        <f>IFERROR(VLOOKUP(Proc[[#This Row],[App]],Table2[],3,0),"open")</f>
        <v>open</v>
      </c>
      <c r="C4781" s="149" t="s">
        <v>370</v>
      </c>
      <c r="D4781" t="s">
        <v>6982</v>
      </c>
      <c r="E4781" t="s">
        <v>555</v>
      </c>
      <c r="F4781" s="150" t="s">
        <v>2338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0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on track</v>
      </c>
      <c r="Q4781" s="3">
        <f ca="1">IF(Proc[[#This Row],[DateClosed]]="",ABS(NETWORKDAYS(Proc[[#This Row],[DateOpened]],TODAY()))-1,ABS(NETWORKDAYS(Proc[[#This Row],[DateOpened]],Proc[[#This Row],[DateClosed]]))-1)</f>
        <v>1</v>
      </c>
      <c r="R4781" s="172" t="s">
        <v>6987</v>
      </c>
      <c r="S4781" s="150"/>
    </row>
    <row r="4782" spans="1:19">
      <c r="A4782" s="149" t="s">
        <v>6980</v>
      </c>
      <c r="B4782" s="150" t="str">
        <f>IFERROR(VLOOKUP(Proc[[#This Row],[App]],Table2[],3,0),"open")</f>
        <v>open</v>
      </c>
      <c r="C4782" s="149" t="s">
        <v>370</v>
      </c>
      <c r="D4782" t="s">
        <v>6983</v>
      </c>
      <c r="E4782" t="s">
        <v>1012</v>
      </c>
      <c r="F4782" s="150" t="s">
        <v>2338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0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on track</v>
      </c>
      <c r="Q4782" s="3">
        <f ca="1">IF(Proc[[#This Row],[DateClosed]]="",ABS(NETWORKDAYS(Proc[[#This Row],[DateOpened]],TODAY()))-1,ABS(NETWORKDAYS(Proc[[#This Row],[DateOpened]],Proc[[#This Row],[DateClosed]]))-1)</f>
        <v>1</v>
      </c>
      <c r="R4782" s="172" t="s">
        <v>6987</v>
      </c>
      <c r="S4782" s="150"/>
    </row>
    <row r="4783" spans="1:19">
      <c r="A4783" s="149" t="s">
        <v>6980</v>
      </c>
      <c r="B4783" s="150" t="str">
        <f>IFERROR(VLOOKUP(Proc[[#This Row],[App]],Table2[],3,0),"open")</f>
        <v>open</v>
      </c>
      <c r="C4783" s="149" t="s">
        <v>370</v>
      </c>
      <c r="D4783" t="s">
        <v>6984</v>
      </c>
      <c r="E4783" t="s">
        <v>1012</v>
      </c>
      <c r="F4783" s="150" t="s">
        <v>2338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0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on track</v>
      </c>
      <c r="Q4783" s="3">
        <f ca="1">IF(Proc[[#This Row],[DateClosed]]="",ABS(NETWORKDAYS(Proc[[#This Row],[DateOpened]],TODAY()))-1,ABS(NETWORKDAYS(Proc[[#This Row],[DateOpened]],Proc[[#This Row],[DateClosed]]))-1)</f>
        <v>1</v>
      </c>
      <c r="R4783" s="172" t="s">
        <v>6987</v>
      </c>
      <c r="S4783" s="150"/>
    </row>
    <row r="4784" spans="1:19">
      <c r="A4784" s="149" t="s">
        <v>6980</v>
      </c>
      <c r="B4784" s="150" t="str">
        <f>IFERROR(VLOOKUP(Proc[[#This Row],[App]],Table2[],3,0),"open")</f>
        <v>open</v>
      </c>
      <c r="C4784" s="149" t="s">
        <v>370</v>
      </c>
      <c r="D4784" t="s">
        <v>6985</v>
      </c>
      <c r="E4784" t="s">
        <v>1012</v>
      </c>
      <c r="F4784" s="150" t="s">
        <v>2338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0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on track</v>
      </c>
      <c r="Q4784" s="3">
        <f ca="1">IF(Proc[[#This Row],[DateClosed]]="",ABS(NETWORKDAYS(Proc[[#This Row],[DateOpened]],TODAY()))-1,ABS(NETWORKDAYS(Proc[[#This Row],[DateOpened]],Proc[[#This Row],[DateClosed]]))-1)</f>
        <v>1</v>
      </c>
      <c r="R4784" s="172" t="s">
        <v>6987</v>
      </c>
      <c r="S4784" s="150"/>
    </row>
    <row r="4785" spans="1:19">
      <c r="A4785" s="149" t="s">
        <v>6980</v>
      </c>
      <c r="B4785" s="150" t="str">
        <f>IFERROR(VLOOKUP(Proc[[#This Row],[App]],Table2[],3,0),"open")</f>
        <v>open</v>
      </c>
      <c r="C4785" s="149" t="s">
        <v>370</v>
      </c>
      <c r="D4785" t="s">
        <v>6986</v>
      </c>
      <c r="E4785" t="s">
        <v>554</v>
      </c>
      <c r="F4785" s="150" t="s">
        <v>2338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0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on track</v>
      </c>
      <c r="Q4785" s="3">
        <f ca="1">IF(Proc[[#This Row],[DateClosed]]="",ABS(NETWORKDAYS(Proc[[#This Row],[DateOpened]],TODAY()))-1,ABS(NETWORKDAYS(Proc[[#This Row],[DateOpened]],Proc[[#This Row],[DateClosed]]))-1)</f>
        <v>1</v>
      </c>
      <c r="R4785" s="172" t="s">
        <v>6987</v>
      </c>
      <c r="S4785" s="150"/>
    </row>
    <row r="4786" spans="1:19">
      <c r="A4786" t="s">
        <v>7016</v>
      </c>
      <c r="B4786" s="150" t="str">
        <f>IFERROR(VLOOKUP(Proc[[#This Row],[App]],Table2[],3,0),"open")</f>
        <v>open</v>
      </c>
      <c r="C4786" s="149" t="s">
        <v>370</v>
      </c>
      <c r="D4786" t="s">
        <v>7017</v>
      </c>
      <c r="E4786" t="s">
        <v>7021</v>
      </c>
      <c r="F4786" s="150" t="s">
        <v>7025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0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on track</v>
      </c>
      <c r="Q4786" s="3">
        <f ca="1">IF(Proc[[#This Row],[DateClosed]]="",ABS(NETWORKDAYS(Proc[[#This Row],[DateOpened]],TODAY()))-1,ABS(NETWORKDAYS(Proc[[#This Row],[DateOpened]],Proc[[#This Row],[DateClosed]]))-1)</f>
        <v>0</v>
      </c>
      <c r="R4786" s="173" t="s">
        <v>7029</v>
      </c>
      <c r="S4786" s="150"/>
    </row>
    <row r="4787" spans="1:19">
      <c r="A4787" t="s">
        <v>7016</v>
      </c>
      <c r="B4787" s="150" t="str">
        <f>IFERROR(VLOOKUP(Proc[[#This Row],[App]],Table2[],3,0),"open")</f>
        <v>open</v>
      </c>
      <c r="C4787" s="149" t="s">
        <v>370</v>
      </c>
      <c r="D4787" t="s">
        <v>7018</v>
      </c>
      <c r="E4787" t="s">
        <v>7022</v>
      </c>
      <c r="F4787" s="150" t="s">
        <v>7026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0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on track</v>
      </c>
      <c r="Q4787" s="3">
        <f ca="1">IF(Proc[[#This Row],[DateClosed]]="",ABS(NETWORKDAYS(Proc[[#This Row],[DateOpened]],TODAY()))-1,ABS(NETWORKDAYS(Proc[[#This Row],[DateOpened]],Proc[[#This Row],[DateClosed]]))-1)</f>
        <v>0</v>
      </c>
      <c r="R4787" s="173" t="s">
        <v>7029</v>
      </c>
      <c r="S4787" s="150"/>
    </row>
    <row r="4788" spans="1:19">
      <c r="A4788" s="149" t="s">
        <v>7016</v>
      </c>
      <c r="B4788" s="150" t="str">
        <f>IFERROR(VLOOKUP(Proc[[#This Row],[App]],Table2[],3,0),"open")</f>
        <v>open</v>
      </c>
      <c r="C4788" s="149" t="s">
        <v>370</v>
      </c>
      <c r="D4788" t="s">
        <v>7019</v>
      </c>
      <c r="E4788" t="s">
        <v>7023</v>
      </c>
      <c r="F4788" s="150" t="s">
        <v>7027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0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on track</v>
      </c>
      <c r="Q4788" s="3">
        <f ca="1">IF(Proc[[#This Row],[DateClosed]]="",ABS(NETWORKDAYS(Proc[[#This Row],[DateOpened]],TODAY()))-1,ABS(NETWORKDAYS(Proc[[#This Row],[DateOpened]],Proc[[#This Row],[DateClosed]]))-1)</f>
        <v>0</v>
      </c>
      <c r="R4788" s="173" t="s">
        <v>7029</v>
      </c>
      <c r="S4788" s="150"/>
    </row>
    <row r="4789" spans="1:19">
      <c r="A4789" s="149" t="s">
        <v>7016</v>
      </c>
      <c r="B4789" s="150" t="str">
        <f>IFERROR(VLOOKUP(Proc[[#This Row],[App]],Table2[],3,0),"open")</f>
        <v>open</v>
      </c>
      <c r="C4789" s="149" t="s">
        <v>370</v>
      </c>
      <c r="D4789" t="s">
        <v>7020</v>
      </c>
      <c r="E4789" t="s">
        <v>7024</v>
      </c>
      <c r="F4789" s="150" t="s">
        <v>7028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0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on track</v>
      </c>
      <c r="Q4789" s="3">
        <f ca="1">IF(Proc[[#This Row],[DateClosed]]="",ABS(NETWORKDAYS(Proc[[#This Row],[DateOpened]],TODAY()))-1,ABS(NETWORKDAYS(Proc[[#This Row],[DateOpened]],Proc[[#This Row],[DateClosed]]))-1)</f>
        <v>0</v>
      </c>
      <c r="R4789" s="173" t="s">
        <v>7029</v>
      </c>
      <c r="S4789" s="150"/>
    </row>
    <row r="4790" spans="1:19">
      <c r="A4790" t="s">
        <v>7030</v>
      </c>
      <c r="B4790" s="150" t="str">
        <f>IFERROR(VLOOKUP(Proc[[#This Row],[App]],Table2[],3,0),"open")</f>
        <v>open</v>
      </c>
      <c r="C4790" t="s">
        <v>404</v>
      </c>
      <c r="D4790" t="s">
        <v>7031</v>
      </c>
      <c r="E4790" t="s">
        <v>7036</v>
      </c>
      <c r="F4790" s="150" t="s">
        <v>7037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0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on track</v>
      </c>
      <c r="Q4790" s="3">
        <f ca="1">IF(Proc[[#This Row],[DateClosed]]="",ABS(NETWORKDAYS(Proc[[#This Row],[DateOpened]],TODAY()))-1,ABS(NETWORKDAYS(Proc[[#This Row],[DateOpened]],Proc[[#This Row],[DateClosed]]))-1)</f>
        <v>0</v>
      </c>
      <c r="R4790" s="172" t="s">
        <v>515</v>
      </c>
      <c r="S4790" s="150"/>
    </row>
    <row r="4791" spans="1:19">
      <c r="A4791" s="149" t="s">
        <v>7030</v>
      </c>
      <c r="B4791" s="150" t="str">
        <f>IFERROR(VLOOKUP(Proc[[#This Row],[App]],Table2[],3,0),"open")</f>
        <v>open</v>
      </c>
      <c r="C4791" s="149" t="s">
        <v>404</v>
      </c>
      <c r="D4791" t="s">
        <v>7032</v>
      </c>
      <c r="E4791" t="s">
        <v>7036</v>
      </c>
      <c r="F4791" s="150" t="s">
        <v>7037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0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on track</v>
      </c>
      <c r="Q4791" s="3">
        <f ca="1">IF(Proc[[#This Row],[DateClosed]]="",ABS(NETWORKDAYS(Proc[[#This Row],[DateOpened]],TODAY()))-1,ABS(NETWORKDAYS(Proc[[#This Row],[DateOpened]],Proc[[#This Row],[DateClosed]]))-1)</f>
        <v>0</v>
      </c>
      <c r="R4791" s="172" t="s">
        <v>515</v>
      </c>
      <c r="S4791" s="150"/>
    </row>
    <row r="4792" spans="1:19">
      <c r="A4792" s="149" t="s">
        <v>7030</v>
      </c>
      <c r="B4792" s="150" t="str">
        <f>IFERROR(VLOOKUP(Proc[[#This Row],[App]],Table2[],3,0),"open")</f>
        <v>open</v>
      </c>
      <c r="C4792" s="149" t="s">
        <v>404</v>
      </c>
      <c r="D4792" t="s">
        <v>7033</v>
      </c>
      <c r="E4792" t="s">
        <v>7036</v>
      </c>
      <c r="F4792" s="150" t="s">
        <v>7038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0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on track</v>
      </c>
      <c r="Q4792" s="3">
        <f ca="1">IF(Proc[[#This Row],[DateClosed]]="",ABS(NETWORKDAYS(Proc[[#This Row],[DateOpened]],TODAY()))-1,ABS(NETWORKDAYS(Proc[[#This Row],[DateOpened]],Proc[[#This Row],[DateClosed]]))-1)</f>
        <v>0</v>
      </c>
      <c r="R4792" s="172" t="s">
        <v>515</v>
      </c>
      <c r="S4792" s="150"/>
    </row>
    <row r="4793" spans="1:19">
      <c r="A4793" s="149" t="s">
        <v>7030</v>
      </c>
      <c r="B4793" s="150" t="str">
        <f>IFERROR(VLOOKUP(Proc[[#This Row],[App]],Table2[],3,0),"open")</f>
        <v>open</v>
      </c>
      <c r="C4793" s="149" t="s">
        <v>370</v>
      </c>
      <c r="D4793" t="s">
        <v>7034</v>
      </c>
      <c r="E4793" t="s">
        <v>7036</v>
      </c>
      <c r="F4793" s="150" t="s">
        <v>7039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0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on track</v>
      </c>
      <c r="Q4793" s="3">
        <f ca="1">IF(Proc[[#This Row],[DateClosed]]="",ABS(NETWORKDAYS(Proc[[#This Row],[DateOpened]],TODAY()))-1,ABS(NETWORKDAYS(Proc[[#This Row],[DateOpened]],Proc[[#This Row],[DateClosed]]))-1)</f>
        <v>0</v>
      </c>
      <c r="R4793" s="172" t="s">
        <v>515</v>
      </c>
      <c r="S4793" s="150"/>
    </row>
    <row r="4794" spans="1:19">
      <c r="A4794" s="149" t="s">
        <v>7030</v>
      </c>
      <c r="B4794" s="150" t="str">
        <f>IFERROR(VLOOKUP(Proc[[#This Row],[App]],Table2[],3,0),"open")</f>
        <v>open</v>
      </c>
      <c r="C4794" s="149" t="s">
        <v>370</v>
      </c>
      <c r="D4794" t="s">
        <v>7035</v>
      </c>
      <c r="E4794" t="s">
        <v>7036</v>
      </c>
      <c r="F4794" s="150" t="s">
        <v>7039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0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on track</v>
      </c>
      <c r="Q4794" s="3">
        <f ca="1">IF(Proc[[#This Row],[DateClosed]]="",ABS(NETWORKDAYS(Proc[[#This Row],[DateOpened]],TODAY()))-1,ABS(NETWORKDAYS(Proc[[#This Row],[DateOpened]],Proc[[#This Row],[DateClosed]]))-1)</f>
        <v>0</v>
      </c>
      <c r="R4794" s="172" t="s">
        <v>515</v>
      </c>
      <c r="S4794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G2:G4794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C521F-C24D-49E2-AAB3-5F765B677986}">
  <dimension ref="A1:P67"/>
  <sheetViews>
    <sheetView workbookViewId="0">
      <selection activeCell="N2" sqref="N2:P27"/>
    </sheetView>
  </sheetViews>
  <sheetFormatPr defaultRowHeight="14.4"/>
  <sheetData>
    <row r="1" spans="1:16">
      <c r="A1" t="s">
        <v>6742</v>
      </c>
    </row>
    <row r="2" spans="1:16">
      <c r="A2" t="s">
        <v>6743</v>
      </c>
      <c r="N2">
        <v>1000</v>
      </c>
      <c r="O2" t="s">
        <v>7015</v>
      </c>
    </row>
    <row r="3" spans="1:16">
      <c r="A3" t="s">
        <v>6783</v>
      </c>
      <c r="B3" s="149" t="s">
        <v>6989</v>
      </c>
      <c r="N3" t="s">
        <v>6988</v>
      </c>
      <c r="P3" t="s">
        <v>6990</v>
      </c>
    </row>
    <row r="4" spans="1:16">
      <c r="A4" t="s">
        <v>6847</v>
      </c>
      <c r="B4" t="s">
        <v>6852</v>
      </c>
      <c r="N4" t="s">
        <v>6988</v>
      </c>
      <c r="P4" t="s">
        <v>6991</v>
      </c>
    </row>
    <row r="5" spans="1:16">
      <c r="A5" t="s">
        <v>6831</v>
      </c>
      <c r="B5" t="s">
        <v>2206</v>
      </c>
      <c r="N5" t="s">
        <v>6988</v>
      </c>
      <c r="P5" t="s">
        <v>6992</v>
      </c>
    </row>
    <row r="6" spans="1:16">
      <c r="A6" t="s">
        <v>6832</v>
      </c>
      <c r="B6" t="s">
        <v>2206</v>
      </c>
      <c r="N6" t="s">
        <v>6988</v>
      </c>
      <c r="P6" t="s">
        <v>6993</v>
      </c>
    </row>
    <row r="7" spans="1:16">
      <c r="A7" t="s">
        <v>6930</v>
      </c>
      <c r="B7" t="s">
        <v>2191</v>
      </c>
      <c r="N7" t="s">
        <v>6988</v>
      </c>
      <c r="P7" t="s">
        <v>6994</v>
      </c>
    </row>
    <row r="8" spans="1:16">
      <c r="A8" t="s">
        <v>6967</v>
      </c>
      <c r="B8" t="s">
        <v>6932</v>
      </c>
      <c r="N8" t="s">
        <v>6988</v>
      </c>
      <c r="P8" t="s">
        <v>6995</v>
      </c>
    </row>
    <row r="9" spans="1:16">
      <c r="A9" t="s">
        <v>6931</v>
      </c>
      <c r="B9" t="s">
        <v>6933</v>
      </c>
      <c r="N9" t="s">
        <v>6988</v>
      </c>
      <c r="P9" t="s">
        <v>6996</v>
      </c>
    </row>
    <row r="10" spans="1:16">
      <c r="A10" t="s">
        <v>3494</v>
      </c>
      <c r="B10" t="s">
        <v>1974</v>
      </c>
      <c r="N10" t="s">
        <v>6988</v>
      </c>
      <c r="P10" t="s">
        <v>6997</v>
      </c>
    </row>
    <row r="11" spans="1:16">
      <c r="A11" t="s">
        <v>6935</v>
      </c>
      <c r="B11" t="s">
        <v>6954</v>
      </c>
      <c r="N11" t="s">
        <v>6988</v>
      </c>
      <c r="P11" t="s">
        <v>6998</v>
      </c>
    </row>
    <row r="12" spans="1:16">
      <c r="A12" t="s">
        <v>6936</v>
      </c>
      <c r="B12" t="s">
        <v>3521</v>
      </c>
      <c r="N12" t="s">
        <v>6988</v>
      </c>
      <c r="P12" t="s">
        <v>6999</v>
      </c>
    </row>
    <row r="13" spans="1:16">
      <c r="A13" t="s">
        <v>6937</v>
      </c>
      <c r="B13" t="s">
        <v>3521</v>
      </c>
      <c r="N13" t="s">
        <v>6988</v>
      </c>
      <c r="P13" t="s">
        <v>7000</v>
      </c>
    </row>
    <row r="14" spans="1:16">
      <c r="A14" t="s">
        <v>6938</v>
      </c>
      <c r="B14" t="s">
        <v>3521</v>
      </c>
      <c r="N14" t="s">
        <v>6988</v>
      </c>
      <c r="P14" t="s">
        <v>7001</v>
      </c>
    </row>
    <row r="15" spans="1:16">
      <c r="A15" t="s">
        <v>5789</v>
      </c>
      <c r="B15" t="s">
        <v>6955</v>
      </c>
      <c r="N15" t="s">
        <v>6988</v>
      </c>
      <c r="P15" t="s">
        <v>7002</v>
      </c>
    </row>
    <row r="16" spans="1:16">
      <c r="A16" t="s">
        <v>3485</v>
      </c>
      <c r="B16" t="s">
        <v>3532</v>
      </c>
      <c r="N16" t="s">
        <v>6988</v>
      </c>
      <c r="P16" t="s">
        <v>7003</v>
      </c>
    </row>
    <row r="17" spans="1:16">
      <c r="A17" t="s">
        <v>3454</v>
      </c>
      <c r="B17" t="s">
        <v>6956</v>
      </c>
      <c r="N17" t="s">
        <v>6988</v>
      </c>
      <c r="P17" t="s">
        <v>7004</v>
      </c>
    </row>
    <row r="18" spans="1:16">
      <c r="A18" t="s">
        <v>6939</v>
      </c>
      <c r="B18" t="s">
        <v>6957</v>
      </c>
      <c r="N18" t="s">
        <v>6988</v>
      </c>
      <c r="P18" t="s">
        <v>7005</v>
      </c>
    </row>
    <row r="19" spans="1:16">
      <c r="A19" t="s">
        <v>3427</v>
      </c>
      <c r="B19" t="s">
        <v>6958</v>
      </c>
      <c r="N19" t="s">
        <v>6988</v>
      </c>
      <c r="P19" t="s">
        <v>7006</v>
      </c>
    </row>
    <row r="20" spans="1:16">
      <c r="A20" t="s">
        <v>6940</v>
      </c>
      <c r="B20" t="s">
        <v>6959</v>
      </c>
      <c r="N20" t="s">
        <v>6988</v>
      </c>
      <c r="P20" t="s">
        <v>7007</v>
      </c>
    </row>
    <row r="21" spans="1:16">
      <c r="A21" t="s">
        <v>6941</v>
      </c>
      <c r="B21" t="s">
        <v>6960</v>
      </c>
      <c r="N21" t="s">
        <v>6988</v>
      </c>
      <c r="P21" t="s">
        <v>7008</v>
      </c>
    </row>
    <row r="22" spans="1:16">
      <c r="A22" t="s">
        <v>6942</v>
      </c>
      <c r="B22" t="s">
        <v>2385</v>
      </c>
      <c r="N22" t="s">
        <v>6988</v>
      </c>
      <c r="P22" t="s">
        <v>7009</v>
      </c>
    </row>
    <row r="23" spans="1:16">
      <c r="A23" t="s">
        <v>6943</v>
      </c>
      <c r="B23" t="s">
        <v>6961</v>
      </c>
      <c r="N23" t="s">
        <v>6988</v>
      </c>
      <c r="P23" t="s">
        <v>7010</v>
      </c>
    </row>
    <row r="24" spans="1:16">
      <c r="A24" t="s">
        <v>6944</v>
      </c>
      <c r="B24" t="s">
        <v>6962</v>
      </c>
      <c r="N24" t="s">
        <v>6988</v>
      </c>
      <c r="P24" t="s">
        <v>7011</v>
      </c>
    </row>
    <row r="25" spans="1:16">
      <c r="A25" t="s">
        <v>6945</v>
      </c>
      <c r="B25" t="s">
        <v>6963</v>
      </c>
      <c r="N25" t="s">
        <v>6988</v>
      </c>
      <c r="P25" t="s">
        <v>7012</v>
      </c>
    </row>
    <row r="26" spans="1:16">
      <c r="A26" t="s">
        <v>6946</v>
      </c>
      <c r="B26" t="s">
        <v>6963</v>
      </c>
      <c r="N26" t="s">
        <v>6988</v>
      </c>
      <c r="P26" t="s">
        <v>7013</v>
      </c>
    </row>
    <row r="27" spans="1:16">
      <c r="A27" t="s">
        <v>6947</v>
      </c>
      <c r="B27" t="s">
        <v>6969</v>
      </c>
      <c r="N27" t="s">
        <v>6988</v>
      </c>
      <c r="P27" t="s">
        <v>7014</v>
      </c>
    </row>
    <row r="28" spans="1:16">
      <c r="A28" t="s">
        <v>6948</v>
      </c>
      <c r="B28" t="s">
        <v>6968</v>
      </c>
    </row>
    <row r="29" spans="1:16">
      <c r="A29" t="s">
        <v>6949</v>
      </c>
      <c r="B29" t="s">
        <v>6966</v>
      </c>
    </row>
    <row r="30" spans="1:16">
      <c r="A30" t="s">
        <v>6950</v>
      </c>
      <c r="B30" t="s">
        <v>6966</v>
      </c>
    </row>
    <row r="31" spans="1:16">
      <c r="A31" t="s">
        <v>6951</v>
      </c>
      <c r="B31" t="s">
        <v>6970</v>
      </c>
    </row>
    <row r="32" spans="1:16">
      <c r="A32" t="s">
        <v>6952</v>
      </c>
      <c r="B32" t="s">
        <v>3615</v>
      </c>
    </row>
    <row r="33" spans="1:2">
      <c r="A33" t="s">
        <v>6953</v>
      </c>
      <c r="B33" t="s">
        <v>6971</v>
      </c>
    </row>
    <row r="34" spans="1:2">
      <c r="A34" t="s">
        <v>6973</v>
      </c>
      <c r="B34" t="s">
        <v>6978</v>
      </c>
    </row>
    <row r="35" spans="1:2">
      <c r="A35" t="s">
        <v>6974</v>
      </c>
      <c r="B35" t="s">
        <v>6978</v>
      </c>
    </row>
    <row r="36" spans="1:2">
      <c r="A36" t="s">
        <v>6975</v>
      </c>
      <c r="B36" t="s">
        <v>6978</v>
      </c>
    </row>
    <row r="37" spans="1:2">
      <c r="A37" t="s">
        <v>6751</v>
      </c>
      <c r="B37" t="s">
        <v>6776</v>
      </c>
    </row>
    <row r="38" spans="1:2">
      <c r="A38" t="s">
        <v>6752</v>
      </c>
      <c r="B38" t="s">
        <v>6776</v>
      </c>
    </row>
    <row r="39" spans="1:2">
      <c r="A39" t="s">
        <v>6753</v>
      </c>
      <c r="B39" t="s">
        <v>6776</v>
      </c>
    </row>
    <row r="40" spans="1:2">
      <c r="A40" t="s">
        <v>6754</v>
      </c>
      <c r="B40" t="s">
        <v>6776</v>
      </c>
    </row>
    <row r="41" spans="1:2">
      <c r="A41" t="s">
        <v>6755</v>
      </c>
      <c r="B41" t="s">
        <v>6776</v>
      </c>
    </row>
    <row r="42" spans="1:2">
      <c r="A42" t="s">
        <v>6756</v>
      </c>
      <c r="B42" t="s">
        <v>6776</v>
      </c>
    </row>
    <row r="43" spans="1:2">
      <c r="A43" t="s">
        <v>6757</v>
      </c>
      <c r="B43" t="s">
        <v>6776</v>
      </c>
    </row>
    <row r="44" spans="1:2">
      <c r="A44" t="s">
        <v>6758</v>
      </c>
      <c r="B44" t="s">
        <v>6776</v>
      </c>
    </row>
    <row r="45" spans="1:2">
      <c r="A45" t="s">
        <v>6759</v>
      </c>
      <c r="B45" t="s">
        <v>6776</v>
      </c>
    </row>
    <row r="46" spans="1:2">
      <c r="A46" t="s">
        <v>6760</v>
      </c>
      <c r="B46" t="s">
        <v>6776</v>
      </c>
    </row>
    <row r="47" spans="1:2">
      <c r="A47" t="s">
        <v>6761</v>
      </c>
      <c r="B47" t="s">
        <v>6776</v>
      </c>
    </row>
    <row r="48" spans="1:2">
      <c r="A48" t="s">
        <v>6762</v>
      </c>
      <c r="B48" t="s">
        <v>6776</v>
      </c>
    </row>
    <row r="49" spans="1:2">
      <c r="A49" t="s">
        <v>6763</v>
      </c>
      <c r="B49" t="s">
        <v>6776</v>
      </c>
    </row>
    <row r="50" spans="1:2">
      <c r="A50" t="s">
        <v>6764</v>
      </c>
      <c r="B50" t="s">
        <v>6776</v>
      </c>
    </row>
    <row r="51" spans="1:2">
      <c r="A51" t="s">
        <v>6765</v>
      </c>
      <c r="B51" t="s">
        <v>6776</v>
      </c>
    </row>
    <row r="52" spans="1:2">
      <c r="A52" t="s">
        <v>6766</v>
      </c>
      <c r="B52" t="s">
        <v>6776</v>
      </c>
    </row>
    <row r="53" spans="1:2">
      <c r="A53" t="s">
        <v>6767</v>
      </c>
      <c r="B53" t="s">
        <v>6776</v>
      </c>
    </row>
    <row r="54" spans="1:2">
      <c r="A54" t="s">
        <v>6768</v>
      </c>
      <c r="B54" t="s">
        <v>6776</v>
      </c>
    </row>
    <row r="55" spans="1:2">
      <c r="A55" t="s">
        <v>6769</v>
      </c>
      <c r="B55" t="s">
        <v>6776</v>
      </c>
    </row>
    <row r="56" spans="1:2">
      <c r="A56" t="s">
        <v>6770</v>
      </c>
      <c r="B56" t="s">
        <v>6776</v>
      </c>
    </row>
    <row r="57" spans="1:2">
      <c r="A57" t="s">
        <v>6771</v>
      </c>
      <c r="B57" t="s">
        <v>6776</v>
      </c>
    </row>
    <row r="58" spans="1:2">
      <c r="A58" t="s">
        <v>6772</v>
      </c>
      <c r="B58" t="s">
        <v>6776</v>
      </c>
    </row>
    <row r="59" spans="1:2">
      <c r="A59" t="s">
        <v>6773</v>
      </c>
      <c r="B59" t="s">
        <v>6776</v>
      </c>
    </row>
    <row r="60" spans="1:2">
      <c r="A60" t="s">
        <v>6774</v>
      </c>
      <c r="B60" t="s">
        <v>6776</v>
      </c>
    </row>
    <row r="61" spans="1:2">
      <c r="A61" t="s">
        <v>6775</v>
      </c>
      <c r="B61" t="s">
        <v>6776</v>
      </c>
    </row>
    <row r="62" spans="1:2">
      <c r="A62" t="s">
        <v>6981</v>
      </c>
      <c r="B62" t="s">
        <v>2338</v>
      </c>
    </row>
    <row r="63" spans="1:2">
      <c r="A63" t="s">
        <v>6982</v>
      </c>
      <c r="B63" t="s">
        <v>2338</v>
      </c>
    </row>
    <row r="64" spans="1:2">
      <c r="A64" t="s">
        <v>6983</v>
      </c>
      <c r="B64" t="s">
        <v>2338</v>
      </c>
    </row>
    <row r="65" spans="1:2">
      <c r="A65" t="s">
        <v>6984</v>
      </c>
      <c r="B65" t="s">
        <v>2338</v>
      </c>
    </row>
    <row r="66" spans="1:2">
      <c r="A66" t="s">
        <v>6985</v>
      </c>
      <c r="B66" t="s">
        <v>2338</v>
      </c>
    </row>
    <row r="67" spans="1:2">
      <c r="A67" t="s">
        <v>6986</v>
      </c>
      <c r="B67" t="s">
        <v>2338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4"/>
  <sheetViews>
    <sheetView topLeftCell="A123" workbookViewId="0">
      <selection activeCell="F145" sqref="F145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6987</v>
      </c>
      <c r="B143" s="149" t="s">
        <v>569</v>
      </c>
    </row>
    <row r="144" spans="1:2">
      <c r="A144" s="173" t="s">
        <v>7029</v>
      </c>
      <c r="B144" t="s">
        <v>7040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2025-11-25T12:17:16Z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